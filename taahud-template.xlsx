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627c6260bbfc278/برنامج تعاهد/"/>
    </mc:Choice>
  </mc:AlternateContent>
  <xr:revisionPtr revIDLastSave="0" documentId="8_{B9E0DE0A-2F5C-4544-8D9F-6142E2DE5FF5}" xr6:coauthVersionLast="47" xr6:coauthVersionMax="47" xr10:uidLastSave="{00000000-0000-0000-0000-000000000000}"/>
  <workbookProtection workbookAlgorithmName="SHA-512" workbookHashValue="EhL1OqfCtMBmL3TFULr6Mq5ZeaGmfRSibUctRWtZOVadzJAQ8FZq9Irbyn0it0FPGdv5dhdqFOrCXILt606sIA==" workbookSaltValue="bU4Nqyr2VOsewDaTH5IaRw==" workbookSpinCount="100000" lockStructure="1"/>
  <bookViews>
    <workbookView xWindow="0" yWindow="740" windowWidth="29400" windowHeight="16740" tabRatio="500" firstSheet="3" activeTab="3" xr2:uid="{00000000-000D-0000-FFFF-FFFF00000000}"/>
  </bookViews>
  <sheets>
    <sheet name="الإعدادات" sheetId="2" state="hidden" r:id="rId1"/>
    <sheet name="طريقة الاستخدام" sheetId="1" state="hidden" r:id="rId2"/>
    <sheet name="الطلاب" sheetId="3" r:id="rId3"/>
    <sheet name="الإدخال" sheetId="4" r:id="rId4"/>
    <sheet name="تقرير المقرأة 1" sheetId="5" r:id="rId5"/>
    <sheet name="تقرير المقرأة 2" sheetId="6" r:id="rId6"/>
    <sheet name="أفضل 5 طلاب" sheetId="8" r:id="rId7"/>
    <sheet name="تقرير الحلقات" sheetId="7" r:id="rId8"/>
    <sheet name="تقرير البرنامج" sheetId="9" r:id="rId9"/>
    <sheet name="حلقة أبيّ بن مالك" sheetId="10" r:id="rId10"/>
    <sheet name="حلقة ابن رجب " sheetId="11" r:id="rId11"/>
    <sheet name="حلقة حسان بن ثابت " sheetId="12" r:id="rId12"/>
    <sheet name="حلقة عبدالرحمن بن النعمان " sheetId="13" r:id="rId13"/>
  </sheets>
  <definedNames>
    <definedName name="_xlnm._FilterDatabase" localSheetId="3" hidden="1">الإدخال!$A$4:$J$644</definedName>
    <definedName name="HalaqaList">الإعدادات!$C$12:$C$15</definedName>
    <definedName name="MaqraaList">الإعدادات!$C$8:$C$9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8" i="3" l="1"/>
  <c r="C37" i="3"/>
  <c r="C36" i="3"/>
  <c r="C35" i="3"/>
  <c r="C34" i="3"/>
  <c r="C33" i="3"/>
  <c r="C32" i="3"/>
  <c r="C31" i="3"/>
  <c r="D30" i="3"/>
  <c r="C30" i="3"/>
  <c r="D29" i="3"/>
  <c r="C29" i="3"/>
  <c r="C28" i="3"/>
  <c r="C27" i="3"/>
  <c r="C26" i="3"/>
  <c r="C18" i="3"/>
  <c r="C3" i="13"/>
  <c r="E20" i="13" s="1"/>
  <c r="C3" i="12"/>
  <c r="C3" i="11"/>
  <c r="B25" i="13"/>
  <c r="B24" i="13"/>
  <c r="F24" i="13" s="1"/>
  <c r="B23" i="13"/>
  <c r="E23" i="13" s="1"/>
  <c r="B22" i="13"/>
  <c r="B21" i="13"/>
  <c r="C21" i="13" s="1"/>
  <c r="F20" i="13"/>
  <c r="B20" i="13"/>
  <c r="C20" i="13" s="1"/>
  <c r="B19" i="13"/>
  <c r="C19" i="13" s="1"/>
  <c r="B18" i="13"/>
  <c r="B17" i="13"/>
  <c r="B16" i="13"/>
  <c r="B15" i="13"/>
  <c r="F15" i="13" s="1"/>
  <c r="F14" i="13"/>
  <c r="B14" i="13"/>
  <c r="E14" i="13" s="1"/>
  <c r="B13" i="13"/>
  <c r="F13" i="13" s="1"/>
  <c r="B12" i="13"/>
  <c r="C12" i="13" s="1"/>
  <c r="B11" i="13"/>
  <c r="B10" i="13"/>
  <c r="B25" i="12"/>
  <c r="B24" i="12"/>
  <c r="C24" i="12" s="1"/>
  <c r="B23" i="12"/>
  <c r="B22" i="12"/>
  <c r="B21" i="12"/>
  <c r="C21" i="12" s="1"/>
  <c r="B20" i="12"/>
  <c r="B19" i="12"/>
  <c r="C19" i="12" s="1"/>
  <c r="B18" i="12"/>
  <c r="B17" i="12"/>
  <c r="C17" i="12" s="1"/>
  <c r="B16" i="12"/>
  <c r="C16" i="12" s="1"/>
  <c r="B15" i="12"/>
  <c r="C15" i="12" s="1"/>
  <c r="B14" i="12"/>
  <c r="C14" i="12" s="1"/>
  <c r="B13" i="12"/>
  <c r="B12" i="12"/>
  <c r="B11" i="12"/>
  <c r="B10" i="12"/>
  <c r="E25" i="11"/>
  <c r="B25" i="11"/>
  <c r="B24" i="11"/>
  <c r="B23" i="11"/>
  <c r="E23" i="11" s="1"/>
  <c r="B22" i="11"/>
  <c r="E22" i="11" s="1"/>
  <c r="E21" i="11"/>
  <c r="B21" i="11"/>
  <c r="E20" i="11"/>
  <c r="B20" i="11"/>
  <c r="C20" i="11" s="1"/>
  <c r="E19" i="11"/>
  <c r="B19" i="11"/>
  <c r="F19" i="11" s="1"/>
  <c r="B18" i="11"/>
  <c r="E18" i="11" s="1"/>
  <c r="E17" i="11"/>
  <c r="B17" i="11"/>
  <c r="C17" i="11" s="1"/>
  <c r="B16" i="11"/>
  <c r="F16" i="11" s="1"/>
  <c r="B15" i="11"/>
  <c r="E15" i="11" s="1"/>
  <c r="B14" i="11"/>
  <c r="B13" i="11"/>
  <c r="C13" i="11" s="1"/>
  <c r="B12" i="11"/>
  <c r="F12" i="11" s="1"/>
  <c r="B11" i="11"/>
  <c r="B10" i="11"/>
  <c r="B11" i="10"/>
  <c r="C11" i="10" s="1"/>
  <c r="B12" i="10"/>
  <c r="C12" i="10" s="1"/>
  <c r="B13" i="10"/>
  <c r="C13" i="10" s="1"/>
  <c r="B14" i="10"/>
  <c r="C14" i="10" s="1"/>
  <c r="B15" i="10"/>
  <c r="C15" i="10" s="1"/>
  <c r="B16" i="10"/>
  <c r="B17" i="10"/>
  <c r="B18" i="10"/>
  <c r="C18" i="10" s="1"/>
  <c r="B19" i="10"/>
  <c r="C19" i="10" s="1"/>
  <c r="B20" i="10"/>
  <c r="B21" i="10"/>
  <c r="C21" i="10" s="1"/>
  <c r="B22" i="10"/>
  <c r="C22" i="10" s="1"/>
  <c r="B23" i="10"/>
  <c r="C23" i="10"/>
  <c r="B24" i="10"/>
  <c r="B25" i="10"/>
  <c r="B10" i="10"/>
  <c r="C10" i="10" s="1"/>
  <c r="C3" i="10"/>
  <c r="A1" i="10" s="1"/>
  <c r="A1" i="6"/>
  <c r="C3" i="6"/>
  <c r="O33" i="6" s="1"/>
  <c r="H33" i="6"/>
  <c r="L33" i="6"/>
  <c r="P33" i="6"/>
  <c r="Q33" i="6"/>
  <c r="S33" i="6"/>
  <c r="J34" i="6"/>
  <c r="K34" i="6"/>
  <c r="N34" i="6"/>
  <c r="P34" i="6"/>
  <c r="F35" i="6"/>
  <c r="G35" i="6"/>
  <c r="H35" i="6"/>
  <c r="J35" i="6"/>
  <c r="Q35" i="6"/>
  <c r="R35" i="6"/>
  <c r="A1" i="5"/>
  <c r="C3" i="5"/>
  <c r="F34" i="5" s="1"/>
  <c r="B30" i="9"/>
  <c r="B29" i="9"/>
  <c r="G24" i="9"/>
  <c r="F24" i="9"/>
  <c r="E24" i="9"/>
  <c r="C24" i="9"/>
  <c r="G23" i="9"/>
  <c r="F23" i="9"/>
  <c r="E23" i="9"/>
  <c r="C23" i="9"/>
  <c r="G22" i="9"/>
  <c r="F22" i="9"/>
  <c r="E22" i="9"/>
  <c r="C22" i="9"/>
  <c r="G21" i="9"/>
  <c r="F21" i="9"/>
  <c r="E21" i="9"/>
  <c r="C21" i="9"/>
  <c r="G20" i="9"/>
  <c r="F20" i="9"/>
  <c r="E20" i="9"/>
  <c r="C20" i="9"/>
  <c r="G19" i="9"/>
  <c r="F19" i="9"/>
  <c r="E19" i="9"/>
  <c r="C19" i="9"/>
  <c r="G18" i="9"/>
  <c r="F18" i="9"/>
  <c r="E18" i="9"/>
  <c r="C18" i="9"/>
  <c r="G17" i="9"/>
  <c r="F17" i="9"/>
  <c r="E17" i="9"/>
  <c r="C17" i="9"/>
  <c r="G16" i="9"/>
  <c r="F16" i="9"/>
  <c r="E16" i="9"/>
  <c r="C16" i="9"/>
  <c r="G15" i="9"/>
  <c r="F15" i="9"/>
  <c r="E15" i="9"/>
  <c r="C15" i="9"/>
  <c r="G14" i="9"/>
  <c r="F14" i="9"/>
  <c r="E14" i="9"/>
  <c r="C14" i="9"/>
  <c r="G13" i="9"/>
  <c r="F13" i="9"/>
  <c r="E13" i="9"/>
  <c r="C13" i="9"/>
  <c r="G12" i="9"/>
  <c r="F12" i="9"/>
  <c r="E12" i="9"/>
  <c r="C12" i="9"/>
  <c r="G11" i="9"/>
  <c r="F11" i="9"/>
  <c r="E11" i="9"/>
  <c r="C11" i="9"/>
  <c r="G10" i="9"/>
  <c r="F10" i="9"/>
  <c r="E10" i="9"/>
  <c r="C10" i="9"/>
  <c r="G9" i="9"/>
  <c r="F9" i="9"/>
  <c r="E9" i="9"/>
  <c r="C9" i="9"/>
  <c r="K8" i="9"/>
  <c r="J8" i="9"/>
  <c r="F5" i="9"/>
  <c r="E5" i="9"/>
  <c r="D5" i="9"/>
  <c r="A1" i="9"/>
  <c r="B15" i="8"/>
  <c r="B5" i="8"/>
  <c r="D3" i="8"/>
  <c r="B36" i="7"/>
  <c r="B35" i="7"/>
  <c r="B34" i="7"/>
  <c r="B33" i="7"/>
  <c r="B27" i="7"/>
  <c r="B26" i="7"/>
  <c r="B25" i="7"/>
  <c r="B24" i="7"/>
  <c r="B18" i="7"/>
  <c r="B17" i="7"/>
  <c r="B16" i="7"/>
  <c r="B15" i="7"/>
  <c r="B9" i="7"/>
  <c r="B8" i="7"/>
  <c r="B7" i="7"/>
  <c r="B6" i="7"/>
  <c r="C604" i="4"/>
  <c r="C643" i="4"/>
  <c r="B643" i="4"/>
  <c r="C640" i="4"/>
  <c r="C639" i="4"/>
  <c r="B479" i="4"/>
  <c r="B638" i="4"/>
  <c r="B637" i="4"/>
  <c r="C516" i="4"/>
  <c r="C355" i="4"/>
  <c r="B315" i="4"/>
  <c r="C634" i="4"/>
  <c r="B554" i="4"/>
  <c r="B273" i="4"/>
  <c r="C632" i="4"/>
  <c r="B632" i="4"/>
  <c r="C551" i="4"/>
  <c r="C350" i="4"/>
  <c r="B550" i="4"/>
  <c r="B429" i="4"/>
  <c r="C628" i="4"/>
  <c r="B588" i="4"/>
  <c r="C627" i="4"/>
  <c r="C626" i="4"/>
  <c r="B306" i="4"/>
  <c r="C25" i="3"/>
  <c r="B505" i="4" s="1"/>
  <c r="C624" i="4"/>
  <c r="C543" i="4"/>
  <c r="C23" i="3"/>
  <c r="B503" i="4" s="1"/>
  <c r="C622" i="4"/>
  <c r="C22" i="3"/>
  <c r="B622" i="4" s="1"/>
  <c r="C21" i="3"/>
  <c r="B181" i="4" s="1"/>
  <c r="C500" i="4"/>
  <c r="C20" i="3"/>
  <c r="B500" i="4" s="1"/>
  <c r="D19" i="3"/>
  <c r="C339" i="4" s="1"/>
  <c r="C19" i="3"/>
  <c r="D18" i="3"/>
  <c r="C298" i="4" s="1"/>
  <c r="B618" i="4"/>
  <c r="D17" i="3"/>
  <c r="C577" i="4" s="1"/>
  <c r="C17" i="3"/>
  <c r="B417" i="4" s="1"/>
  <c r="D16" i="3"/>
  <c r="C616" i="4" s="1"/>
  <c r="C16" i="3"/>
  <c r="B136" i="4" s="1"/>
  <c r="D15" i="3"/>
  <c r="C375" i="4" s="1"/>
  <c r="C15" i="3"/>
  <c r="C14" i="3"/>
  <c r="B374" i="4" s="1"/>
  <c r="D13" i="3"/>
  <c r="C613" i="4" s="1"/>
  <c r="C13" i="3"/>
  <c r="D12" i="3"/>
  <c r="C332" i="4" s="1"/>
  <c r="C12" i="3"/>
  <c r="B612" i="4" s="1"/>
  <c r="D11" i="3"/>
  <c r="C371" i="4" s="1"/>
  <c r="C11" i="3"/>
  <c r="B531" i="4" s="1"/>
  <c r="D10" i="3"/>
  <c r="C290" i="4" s="1"/>
  <c r="C10" i="3"/>
  <c r="B570" i="4" s="1"/>
  <c r="G8" i="3"/>
  <c r="G7" i="3"/>
  <c r="G6" i="3"/>
  <c r="C446" i="4"/>
  <c r="C6" i="3"/>
  <c r="B286" i="4" s="1"/>
  <c r="G5" i="3"/>
  <c r="C5" i="3"/>
  <c r="I4" i="3"/>
  <c r="H4" i="3"/>
  <c r="N644" i="4"/>
  <c r="O644" i="4" s="1"/>
  <c r="P644" i="4" s="1"/>
  <c r="E644" i="4"/>
  <c r="C644" i="4"/>
  <c r="B644" i="4"/>
  <c r="N643" i="4"/>
  <c r="O643" i="4" s="1"/>
  <c r="P643" i="4" s="1"/>
  <c r="E643" i="4"/>
  <c r="N642" i="4"/>
  <c r="O642" i="4" s="1"/>
  <c r="E642" i="4"/>
  <c r="C642" i="4"/>
  <c r="B642" i="4"/>
  <c r="N641" i="4"/>
  <c r="O641" i="4" s="1"/>
  <c r="E641" i="4"/>
  <c r="C641" i="4"/>
  <c r="B641" i="4"/>
  <c r="N640" i="4"/>
  <c r="O640" i="4" s="1"/>
  <c r="E640" i="4"/>
  <c r="B640" i="4"/>
  <c r="N639" i="4"/>
  <c r="O639" i="4" s="1"/>
  <c r="E639" i="4"/>
  <c r="B639" i="4"/>
  <c r="N638" i="4"/>
  <c r="O638" i="4" s="1"/>
  <c r="P638" i="4" s="1"/>
  <c r="E638" i="4"/>
  <c r="C638" i="4"/>
  <c r="N637" i="4"/>
  <c r="O637" i="4" s="1"/>
  <c r="P637" i="4" s="1"/>
  <c r="E637" i="4"/>
  <c r="C637" i="4"/>
  <c r="N636" i="4"/>
  <c r="O636" i="4" s="1"/>
  <c r="P636" i="4" s="1"/>
  <c r="E636" i="4"/>
  <c r="C636" i="4"/>
  <c r="B636" i="4"/>
  <c r="N635" i="4"/>
  <c r="O635" i="4" s="1"/>
  <c r="P635" i="4" s="1"/>
  <c r="E635" i="4"/>
  <c r="N634" i="4"/>
  <c r="O634" i="4" s="1"/>
  <c r="E634" i="4"/>
  <c r="B634" i="4"/>
  <c r="N633" i="4"/>
  <c r="O633" i="4" s="1"/>
  <c r="P633" i="4" s="1"/>
  <c r="E633" i="4"/>
  <c r="C633" i="4"/>
  <c r="N632" i="4"/>
  <c r="O632" i="4" s="1"/>
  <c r="E632" i="4"/>
  <c r="N631" i="4"/>
  <c r="O631" i="4" s="1"/>
  <c r="E631" i="4"/>
  <c r="N630" i="4"/>
  <c r="O630" i="4" s="1"/>
  <c r="P630" i="4" s="1"/>
  <c r="E630" i="4"/>
  <c r="N629" i="4"/>
  <c r="O629" i="4" s="1"/>
  <c r="P629" i="4" s="1"/>
  <c r="E629" i="4"/>
  <c r="C629" i="4"/>
  <c r="N628" i="4"/>
  <c r="O628" i="4" s="1"/>
  <c r="E628" i="4"/>
  <c r="B628" i="4"/>
  <c r="N627" i="4"/>
  <c r="O627" i="4" s="1"/>
  <c r="P627" i="4" s="1"/>
  <c r="E627" i="4"/>
  <c r="N626" i="4"/>
  <c r="O626" i="4" s="1"/>
  <c r="P626" i="4" s="1"/>
  <c r="N625" i="4"/>
  <c r="O625" i="4" s="1"/>
  <c r="E625" i="4"/>
  <c r="C625" i="4"/>
  <c r="N624" i="4"/>
  <c r="O624" i="4" s="1"/>
  <c r="E624" i="4"/>
  <c r="B624" i="4"/>
  <c r="N623" i="4"/>
  <c r="O623" i="4" s="1"/>
  <c r="E623" i="4"/>
  <c r="N622" i="4"/>
  <c r="O622" i="4" s="1"/>
  <c r="P622" i="4" s="1"/>
  <c r="E622" i="4"/>
  <c r="N621" i="4"/>
  <c r="O621" i="4" s="1"/>
  <c r="P621" i="4" s="1"/>
  <c r="E621" i="4"/>
  <c r="C621" i="4"/>
  <c r="N620" i="4"/>
  <c r="O620" i="4" s="1"/>
  <c r="P620" i="4" s="1"/>
  <c r="E620" i="4"/>
  <c r="N619" i="4"/>
  <c r="O619" i="4" s="1"/>
  <c r="P619" i="4" s="1"/>
  <c r="E619" i="4"/>
  <c r="N618" i="4"/>
  <c r="O618" i="4" s="1"/>
  <c r="P618" i="4" s="1"/>
  <c r="E618" i="4"/>
  <c r="N617" i="4"/>
  <c r="O617" i="4" s="1"/>
  <c r="E617" i="4"/>
  <c r="C617" i="4"/>
  <c r="N616" i="4"/>
  <c r="O616" i="4" s="1"/>
  <c r="E616" i="4"/>
  <c r="N615" i="4"/>
  <c r="O615" i="4" s="1"/>
  <c r="E615" i="4"/>
  <c r="N614" i="4"/>
  <c r="O614" i="4" s="1"/>
  <c r="P614" i="4" s="1"/>
  <c r="E614" i="4"/>
  <c r="C614" i="4"/>
  <c r="N613" i="4"/>
  <c r="O613" i="4" s="1"/>
  <c r="P613" i="4" s="1"/>
  <c r="E613" i="4"/>
  <c r="N612" i="4"/>
  <c r="O612" i="4" s="1"/>
  <c r="P612" i="4" s="1"/>
  <c r="E612" i="4"/>
  <c r="N611" i="4"/>
  <c r="O611" i="4" s="1"/>
  <c r="P611" i="4" s="1"/>
  <c r="E611" i="4"/>
  <c r="N610" i="4"/>
  <c r="O610" i="4" s="1"/>
  <c r="E610" i="4"/>
  <c r="N609" i="4"/>
  <c r="O609" i="4" s="1"/>
  <c r="P609" i="4" s="1"/>
  <c r="E609" i="4"/>
  <c r="C609" i="4"/>
  <c r="B609" i="4"/>
  <c r="N608" i="4"/>
  <c r="O608" i="4" s="1"/>
  <c r="E608" i="4"/>
  <c r="C608" i="4"/>
  <c r="B608" i="4"/>
  <c r="N607" i="4"/>
  <c r="E607" i="4"/>
  <c r="C607" i="4"/>
  <c r="B607" i="4"/>
  <c r="N606" i="4"/>
  <c r="O606" i="4" s="1"/>
  <c r="P606" i="4" s="1"/>
  <c r="E606" i="4"/>
  <c r="N605" i="4"/>
  <c r="O605" i="4" s="1"/>
  <c r="E605" i="4"/>
  <c r="C605" i="4"/>
  <c r="N604" i="4"/>
  <c r="O604" i="4" s="1"/>
  <c r="E604" i="4"/>
  <c r="B604" i="4"/>
  <c r="N603" i="4"/>
  <c r="O603" i="4" s="1"/>
  <c r="P603" i="4" s="1"/>
  <c r="E603" i="4"/>
  <c r="C603" i="4"/>
  <c r="N602" i="4"/>
  <c r="O602" i="4" s="1"/>
  <c r="P602" i="4" s="1"/>
  <c r="E602" i="4"/>
  <c r="C602" i="4"/>
  <c r="B602" i="4"/>
  <c r="N601" i="4"/>
  <c r="O601" i="4" s="1"/>
  <c r="P601" i="4" s="1"/>
  <c r="E601" i="4"/>
  <c r="C601" i="4"/>
  <c r="B601" i="4"/>
  <c r="N600" i="4"/>
  <c r="O600" i="4" s="1"/>
  <c r="E600" i="4"/>
  <c r="B600" i="4"/>
  <c r="N599" i="4"/>
  <c r="O599" i="4" s="1"/>
  <c r="P599" i="4" s="1"/>
  <c r="E599" i="4"/>
  <c r="B599" i="4"/>
  <c r="N598" i="4"/>
  <c r="O598" i="4" s="1"/>
  <c r="E598" i="4"/>
  <c r="C598" i="4"/>
  <c r="N597" i="4"/>
  <c r="O597" i="4" s="1"/>
  <c r="P597" i="4" s="1"/>
  <c r="E597" i="4"/>
  <c r="C597" i="4"/>
  <c r="B597" i="4"/>
  <c r="N596" i="4"/>
  <c r="O596" i="4" s="1"/>
  <c r="P596" i="4" s="1"/>
  <c r="E596" i="4"/>
  <c r="C596" i="4"/>
  <c r="N595" i="4"/>
  <c r="O595" i="4" s="1"/>
  <c r="P595" i="4" s="1"/>
  <c r="E595" i="4"/>
  <c r="N594" i="4"/>
  <c r="O594" i="4" s="1"/>
  <c r="E594" i="4"/>
  <c r="B594" i="4"/>
  <c r="N593" i="4"/>
  <c r="O593" i="4" s="1"/>
  <c r="P593" i="4" s="1"/>
  <c r="E593" i="4"/>
  <c r="C593" i="4"/>
  <c r="N592" i="4"/>
  <c r="O592" i="4" s="1"/>
  <c r="E592" i="4"/>
  <c r="B592" i="4"/>
  <c r="N591" i="4"/>
  <c r="O591" i="4" s="1"/>
  <c r="P591" i="4" s="1"/>
  <c r="E591" i="4"/>
  <c r="N590" i="4"/>
  <c r="O590" i="4" s="1"/>
  <c r="E590" i="4"/>
  <c r="N589" i="4"/>
  <c r="O589" i="4" s="1"/>
  <c r="P589" i="4" s="1"/>
  <c r="E589" i="4"/>
  <c r="C589" i="4"/>
  <c r="N588" i="4"/>
  <c r="O588" i="4" s="1"/>
  <c r="P588" i="4" s="1"/>
  <c r="E588" i="4"/>
  <c r="C588" i="4"/>
  <c r="N587" i="4"/>
  <c r="O587" i="4" s="1"/>
  <c r="E587" i="4"/>
  <c r="N586" i="4"/>
  <c r="O586" i="4" s="1"/>
  <c r="N585" i="4"/>
  <c r="E585" i="4"/>
  <c r="C585" i="4"/>
  <c r="N584" i="4"/>
  <c r="O584" i="4" s="1"/>
  <c r="E584" i="4"/>
  <c r="B584" i="4"/>
  <c r="N583" i="4"/>
  <c r="O583" i="4" s="1"/>
  <c r="P583" i="4" s="1"/>
  <c r="E583" i="4"/>
  <c r="C583" i="4"/>
  <c r="N582" i="4"/>
  <c r="O582" i="4" s="1"/>
  <c r="P582" i="4" s="1"/>
  <c r="E582" i="4"/>
  <c r="C582" i="4"/>
  <c r="B582" i="4"/>
  <c r="N581" i="4"/>
  <c r="O581" i="4" s="1"/>
  <c r="P581" i="4" s="1"/>
  <c r="E581" i="4"/>
  <c r="C581" i="4"/>
  <c r="N580" i="4"/>
  <c r="O580" i="4" s="1"/>
  <c r="E580" i="4"/>
  <c r="N579" i="4"/>
  <c r="O579" i="4" s="1"/>
  <c r="E579" i="4"/>
  <c r="N578" i="4"/>
  <c r="O578" i="4" s="1"/>
  <c r="E578" i="4"/>
  <c r="B578" i="4"/>
  <c r="N577" i="4"/>
  <c r="O577" i="4" s="1"/>
  <c r="E577" i="4"/>
  <c r="N576" i="4"/>
  <c r="O576" i="4" s="1"/>
  <c r="E576" i="4"/>
  <c r="N575" i="4"/>
  <c r="O575" i="4" s="1"/>
  <c r="P575" i="4" s="1"/>
  <c r="E575" i="4"/>
  <c r="N574" i="4"/>
  <c r="O574" i="4" s="1"/>
  <c r="E574" i="4"/>
  <c r="C574" i="4"/>
  <c r="N573" i="4"/>
  <c r="O573" i="4" s="1"/>
  <c r="P573" i="4" s="1"/>
  <c r="E573" i="4"/>
  <c r="B573" i="4"/>
  <c r="N572" i="4"/>
  <c r="O572" i="4" s="1"/>
  <c r="P572" i="4" s="1"/>
  <c r="E572" i="4"/>
  <c r="N571" i="4"/>
  <c r="O571" i="4" s="1"/>
  <c r="P571" i="4" s="1"/>
  <c r="E571" i="4"/>
  <c r="B571" i="4"/>
  <c r="N570" i="4"/>
  <c r="O570" i="4" s="1"/>
  <c r="P570" i="4" s="1"/>
  <c r="E570" i="4"/>
  <c r="N569" i="4"/>
  <c r="O569" i="4" s="1"/>
  <c r="P569" i="4" s="1"/>
  <c r="E569" i="4"/>
  <c r="C569" i="4"/>
  <c r="B569" i="4"/>
  <c r="N568" i="4"/>
  <c r="O568" i="4" s="1"/>
  <c r="P568" i="4" s="1"/>
  <c r="E568" i="4"/>
  <c r="C568" i="4"/>
  <c r="B568" i="4"/>
  <c r="N567" i="4"/>
  <c r="O567" i="4" s="1"/>
  <c r="P567" i="4" s="1"/>
  <c r="E567" i="4"/>
  <c r="C567" i="4"/>
  <c r="B567" i="4"/>
  <c r="N566" i="4"/>
  <c r="O566" i="4" s="1"/>
  <c r="P566" i="4" s="1"/>
  <c r="E566" i="4"/>
  <c r="N565" i="4"/>
  <c r="O565" i="4" s="1"/>
  <c r="E565" i="4"/>
  <c r="C565" i="4"/>
  <c r="N564" i="4"/>
  <c r="O564" i="4" s="1"/>
  <c r="P564" i="4" s="1"/>
  <c r="E564" i="4"/>
  <c r="C564" i="4"/>
  <c r="B564" i="4"/>
  <c r="N563" i="4"/>
  <c r="O563" i="4" s="1"/>
  <c r="P563" i="4" s="1"/>
  <c r="E563" i="4"/>
  <c r="C563" i="4"/>
  <c r="B563" i="4"/>
  <c r="N562" i="4"/>
  <c r="O562" i="4" s="1"/>
  <c r="P562" i="4" s="1"/>
  <c r="E562" i="4"/>
  <c r="C562" i="4"/>
  <c r="B562" i="4"/>
  <c r="N561" i="4"/>
  <c r="O561" i="4" s="1"/>
  <c r="P561" i="4" s="1"/>
  <c r="E561" i="4"/>
  <c r="C561" i="4"/>
  <c r="B561" i="4"/>
  <c r="N560" i="4"/>
  <c r="O560" i="4" s="1"/>
  <c r="P560" i="4" s="1"/>
  <c r="E560" i="4"/>
  <c r="C560" i="4"/>
  <c r="B560" i="4"/>
  <c r="N559" i="4"/>
  <c r="O559" i="4" s="1"/>
  <c r="P559" i="4" s="1"/>
  <c r="E559" i="4"/>
  <c r="C559" i="4"/>
  <c r="B559" i="4"/>
  <c r="N558" i="4"/>
  <c r="O558" i="4" s="1"/>
  <c r="P558" i="4" s="1"/>
  <c r="E558" i="4"/>
  <c r="C558" i="4"/>
  <c r="N557" i="4"/>
  <c r="O557" i="4" s="1"/>
  <c r="P557" i="4" s="1"/>
  <c r="E557" i="4"/>
  <c r="C557" i="4"/>
  <c r="N556" i="4"/>
  <c r="O556" i="4" s="1"/>
  <c r="P556" i="4" s="1"/>
  <c r="E556" i="4"/>
  <c r="C556" i="4"/>
  <c r="B556" i="4"/>
  <c r="N555" i="4"/>
  <c r="O555" i="4" s="1"/>
  <c r="P555" i="4" s="1"/>
  <c r="E555" i="4"/>
  <c r="B555" i="4"/>
  <c r="N554" i="4"/>
  <c r="O554" i="4" s="1"/>
  <c r="P554" i="4" s="1"/>
  <c r="E554" i="4"/>
  <c r="C554" i="4"/>
  <c r="N553" i="4"/>
  <c r="O553" i="4" s="1"/>
  <c r="P553" i="4" s="1"/>
  <c r="E553" i="4"/>
  <c r="C553" i="4"/>
  <c r="B553" i="4"/>
  <c r="N552" i="4"/>
  <c r="O552" i="4" s="1"/>
  <c r="P552" i="4" s="1"/>
  <c r="E552" i="4"/>
  <c r="C552" i="4"/>
  <c r="N551" i="4"/>
  <c r="O551" i="4" s="1"/>
  <c r="P551" i="4" s="1"/>
  <c r="E551" i="4"/>
  <c r="N550" i="4"/>
  <c r="O550" i="4" s="1"/>
  <c r="P550" i="4" s="1"/>
  <c r="E550" i="4"/>
  <c r="N549" i="4"/>
  <c r="O549" i="4" s="1"/>
  <c r="P549" i="4" s="1"/>
  <c r="E549" i="4"/>
  <c r="C549" i="4"/>
  <c r="B549" i="4"/>
  <c r="N548" i="4"/>
  <c r="O548" i="4" s="1"/>
  <c r="P548" i="4" s="1"/>
  <c r="E548" i="4"/>
  <c r="C548" i="4"/>
  <c r="N547" i="4"/>
  <c r="O547" i="4" s="1"/>
  <c r="P547" i="4" s="1"/>
  <c r="E547" i="4"/>
  <c r="N546" i="4"/>
  <c r="O546" i="4" s="1"/>
  <c r="P546" i="4" s="1"/>
  <c r="B546" i="4"/>
  <c r="N545" i="4"/>
  <c r="O545" i="4" s="1"/>
  <c r="P545" i="4" s="1"/>
  <c r="E545" i="4"/>
  <c r="C545" i="4"/>
  <c r="N544" i="4"/>
  <c r="O544" i="4" s="1"/>
  <c r="P544" i="4" s="1"/>
  <c r="E544" i="4"/>
  <c r="C544" i="4"/>
  <c r="B544" i="4"/>
  <c r="N543" i="4"/>
  <c r="O543" i="4" s="1"/>
  <c r="P543" i="4" s="1"/>
  <c r="E543" i="4"/>
  <c r="N542" i="4"/>
  <c r="O542" i="4" s="1"/>
  <c r="P542" i="4" s="1"/>
  <c r="E542" i="4"/>
  <c r="C542" i="4"/>
  <c r="B542" i="4"/>
  <c r="N541" i="4"/>
  <c r="O541" i="4" s="1"/>
  <c r="P541" i="4" s="1"/>
  <c r="E541" i="4"/>
  <c r="C541" i="4"/>
  <c r="N540" i="4"/>
  <c r="O540" i="4" s="1"/>
  <c r="P540" i="4" s="1"/>
  <c r="E540" i="4"/>
  <c r="N539" i="4"/>
  <c r="O539" i="4" s="1"/>
  <c r="P539" i="4" s="1"/>
  <c r="E539" i="4"/>
  <c r="N538" i="4"/>
  <c r="O538" i="4" s="1"/>
  <c r="P538" i="4" s="1"/>
  <c r="E538" i="4"/>
  <c r="B538" i="4"/>
  <c r="N537" i="4"/>
  <c r="O537" i="4" s="1"/>
  <c r="P537" i="4" s="1"/>
  <c r="E537" i="4"/>
  <c r="N536" i="4"/>
  <c r="O536" i="4" s="1"/>
  <c r="P536" i="4" s="1"/>
  <c r="E536" i="4"/>
  <c r="N535" i="4"/>
  <c r="O535" i="4" s="1"/>
  <c r="P535" i="4" s="1"/>
  <c r="E535" i="4"/>
  <c r="B535" i="4"/>
  <c r="N534" i="4"/>
  <c r="O534" i="4" s="1"/>
  <c r="P534" i="4" s="1"/>
  <c r="E534" i="4"/>
  <c r="C534" i="4"/>
  <c r="B534" i="4"/>
  <c r="N533" i="4"/>
  <c r="O533" i="4" s="1"/>
  <c r="P533" i="4" s="1"/>
  <c r="E533" i="4"/>
  <c r="N532" i="4"/>
  <c r="O532" i="4" s="1"/>
  <c r="P532" i="4" s="1"/>
  <c r="E532" i="4"/>
  <c r="N531" i="4"/>
  <c r="O531" i="4" s="1"/>
  <c r="P531" i="4" s="1"/>
  <c r="E531" i="4"/>
  <c r="N530" i="4"/>
  <c r="O530" i="4" s="1"/>
  <c r="P530" i="4" s="1"/>
  <c r="E530" i="4"/>
  <c r="B530" i="4"/>
  <c r="N529" i="4"/>
  <c r="O529" i="4" s="1"/>
  <c r="P529" i="4" s="1"/>
  <c r="E529" i="4"/>
  <c r="C529" i="4"/>
  <c r="B529" i="4"/>
  <c r="N528" i="4"/>
  <c r="O528" i="4" s="1"/>
  <c r="E528" i="4"/>
  <c r="C528" i="4"/>
  <c r="B528" i="4"/>
  <c r="N527" i="4"/>
  <c r="O527" i="4" s="1"/>
  <c r="P527" i="4" s="1"/>
  <c r="E527" i="4"/>
  <c r="C527" i="4"/>
  <c r="B527" i="4"/>
  <c r="N526" i="4"/>
  <c r="O526" i="4" s="1"/>
  <c r="P526" i="4" s="1"/>
  <c r="E526" i="4"/>
  <c r="N525" i="4"/>
  <c r="O525" i="4" s="1"/>
  <c r="E525" i="4"/>
  <c r="C525" i="4"/>
  <c r="N524" i="4"/>
  <c r="O524" i="4" s="1"/>
  <c r="P524" i="4" s="1"/>
  <c r="E524" i="4"/>
  <c r="C524" i="4"/>
  <c r="B524" i="4"/>
  <c r="N523" i="4"/>
  <c r="O523" i="4" s="1"/>
  <c r="P523" i="4" s="1"/>
  <c r="E523" i="4"/>
  <c r="C523" i="4"/>
  <c r="B523" i="4"/>
  <c r="N522" i="4"/>
  <c r="O522" i="4" s="1"/>
  <c r="P522" i="4" s="1"/>
  <c r="E522" i="4"/>
  <c r="C522" i="4"/>
  <c r="B522" i="4"/>
  <c r="N521" i="4"/>
  <c r="O521" i="4" s="1"/>
  <c r="P521" i="4" s="1"/>
  <c r="E521" i="4"/>
  <c r="C521" i="4"/>
  <c r="B521" i="4"/>
  <c r="N520" i="4"/>
  <c r="O520" i="4" s="1"/>
  <c r="P520" i="4" s="1"/>
  <c r="E520" i="4"/>
  <c r="C520" i="4"/>
  <c r="B520" i="4"/>
  <c r="N519" i="4"/>
  <c r="O519" i="4" s="1"/>
  <c r="P519" i="4" s="1"/>
  <c r="E519" i="4"/>
  <c r="B519" i="4"/>
  <c r="N518" i="4"/>
  <c r="O518" i="4" s="1"/>
  <c r="P518" i="4" s="1"/>
  <c r="E518" i="4"/>
  <c r="C518" i="4"/>
  <c r="B518" i="4"/>
  <c r="N517" i="4"/>
  <c r="O517" i="4" s="1"/>
  <c r="P517" i="4" s="1"/>
  <c r="E517" i="4"/>
  <c r="C517" i="4"/>
  <c r="B517" i="4"/>
  <c r="N516" i="4"/>
  <c r="O516" i="4" s="1"/>
  <c r="P516" i="4" s="1"/>
  <c r="E516" i="4"/>
  <c r="B516" i="4"/>
  <c r="N515" i="4"/>
  <c r="O515" i="4" s="1"/>
  <c r="P515" i="4" s="1"/>
  <c r="E515" i="4"/>
  <c r="N514" i="4"/>
  <c r="O514" i="4" s="1"/>
  <c r="P514" i="4" s="1"/>
  <c r="E514" i="4"/>
  <c r="C514" i="4"/>
  <c r="B514" i="4"/>
  <c r="N513" i="4"/>
  <c r="O513" i="4" s="1"/>
  <c r="P513" i="4" s="1"/>
  <c r="E513" i="4"/>
  <c r="C513" i="4"/>
  <c r="N512" i="4"/>
  <c r="O512" i="4" s="1"/>
  <c r="P512" i="4" s="1"/>
  <c r="E512" i="4"/>
  <c r="C512" i="4"/>
  <c r="B512" i="4"/>
  <c r="N511" i="4"/>
  <c r="O511" i="4" s="1"/>
  <c r="P511" i="4" s="1"/>
  <c r="E511" i="4"/>
  <c r="N510" i="4"/>
  <c r="O510" i="4" s="1"/>
  <c r="P510" i="4" s="1"/>
  <c r="E510" i="4"/>
  <c r="N509" i="4"/>
  <c r="O509" i="4" s="1"/>
  <c r="P509" i="4" s="1"/>
  <c r="E509" i="4"/>
  <c r="C509" i="4"/>
  <c r="B509" i="4"/>
  <c r="N508" i="4"/>
  <c r="O508" i="4" s="1"/>
  <c r="P508" i="4" s="1"/>
  <c r="E508" i="4"/>
  <c r="C508" i="4"/>
  <c r="N507" i="4"/>
  <c r="O507" i="4" s="1"/>
  <c r="P507" i="4" s="1"/>
  <c r="E507" i="4"/>
  <c r="B507" i="4"/>
  <c r="N506" i="4"/>
  <c r="O506" i="4" s="1"/>
  <c r="P506" i="4" s="1"/>
  <c r="N505" i="4"/>
  <c r="O505" i="4" s="1"/>
  <c r="P505" i="4" s="1"/>
  <c r="E505" i="4"/>
  <c r="C505" i="4"/>
  <c r="N504" i="4"/>
  <c r="O504" i="4" s="1"/>
  <c r="P504" i="4" s="1"/>
  <c r="E504" i="4"/>
  <c r="C504" i="4"/>
  <c r="B504" i="4"/>
  <c r="N503" i="4"/>
  <c r="O503" i="4" s="1"/>
  <c r="P503" i="4" s="1"/>
  <c r="E503" i="4"/>
  <c r="N502" i="4"/>
  <c r="O502" i="4" s="1"/>
  <c r="P502" i="4" s="1"/>
  <c r="E502" i="4"/>
  <c r="C502" i="4"/>
  <c r="B502" i="4"/>
  <c r="N501" i="4"/>
  <c r="O501" i="4" s="1"/>
  <c r="P501" i="4" s="1"/>
  <c r="E501" i="4"/>
  <c r="C501" i="4"/>
  <c r="N500" i="4"/>
  <c r="O500" i="4" s="1"/>
  <c r="P500" i="4" s="1"/>
  <c r="E500" i="4"/>
  <c r="N499" i="4"/>
  <c r="O499" i="4" s="1"/>
  <c r="P499" i="4" s="1"/>
  <c r="E499" i="4"/>
  <c r="N498" i="4"/>
  <c r="O498" i="4" s="1"/>
  <c r="P498" i="4" s="1"/>
  <c r="E498" i="4"/>
  <c r="C498" i="4"/>
  <c r="N497" i="4"/>
  <c r="O497" i="4" s="1"/>
  <c r="P497" i="4" s="1"/>
  <c r="E497" i="4"/>
  <c r="C497" i="4"/>
  <c r="B497" i="4"/>
  <c r="N496" i="4"/>
  <c r="O496" i="4" s="1"/>
  <c r="P496" i="4" s="1"/>
  <c r="E496" i="4"/>
  <c r="B496" i="4"/>
  <c r="N495" i="4"/>
  <c r="O495" i="4" s="1"/>
  <c r="P495" i="4" s="1"/>
  <c r="E495" i="4"/>
  <c r="N494" i="4"/>
  <c r="O494" i="4" s="1"/>
  <c r="P494" i="4" s="1"/>
  <c r="E494" i="4"/>
  <c r="C494" i="4"/>
  <c r="B494" i="4"/>
  <c r="N493" i="4"/>
  <c r="O493" i="4" s="1"/>
  <c r="P493" i="4" s="1"/>
  <c r="E493" i="4"/>
  <c r="B493" i="4"/>
  <c r="N492" i="4"/>
  <c r="O492" i="4" s="1"/>
  <c r="P492" i="4" s="1"/>
  <c r="E492" i="4"/>
  <c r="N491" i="4"/>
  <c r="O491" i="4" s="1"/>
  <c r="P491" i="4" s="1"/>
  <c r="E491" i="4"/>
  <c r="B491" i="4"/>
  <c r="N490" i="4"/>
  <c r="O490" i="4" s="1"/>
  <c r="P490" i="4" s="1"/>
  <c r="E490" i="4"/>
  <c r="N489" i="4"/>
  <c r="O489" i="4" s="1"/>
  <c r="P489" i="4" s="1"/>
  <c r="E489" i="4"/>
  <c r="C489" i="4"/>
  <c r="B489" i="4"/>
  <c r="N488" i="4"/>
  <c r="O488" i="4" s="1"/>
  <c r="E488" i="4"/>
  <c r="C488" i="4"/>
  <c r="B488" i="4"/>
  <c r="N487" i="4"/>
  <c r="O487" i="4" s="1"/>
  <c r="P487" i="4" s="1"/>
  <c r="E487" i="4"/>
  <c r="C487" i="4"/>
  <c r="B487" i="4"/>
  <c r="N486" i="4"/>
  <c r="O486" i="4" s="1"/>
  <c r="P486" i="4" s="1"/>
  <c r="E486" i="4"/>
  <c r="N485" i="4"/>
  <c r="O485" i="4" s="1"/>
  <c r="E485" i="4"/>
  <c r="C485" i="4"/>
  <c r="N484" i="4"/>
  <c r="O484" i="4" s="1"/>
  <c r="P484" i="4" s="1"/>
  <c r="E484" i="4"/>
  <c r="C484" i="4"/>
  <c r="B484" i="4"/>
  <c r="N483" i="4"/>
  <c r="O483" i="4" s="1"/>
  <c r="P483" i="4" s="1"/>
  <c r="E483" i="4"/>
  <c r="C483" i="4"/>
  <c r="B483" i="4"/>
  <c r="N482" i="4"/>
  <c r="O482" i="4" s="1"/>
  <c r="P482" i="4" s="1"/>
  <c r="E482" i="4"/>
  <c r="C482" i="4"/>
  <c r="B482" i="4"/>
  <c r="N481" i="4"/>
  <c r="O481" i="4" s="1"/>
  <c r="E481" i="4"/>
  <c r="C481" i="4"/>
  <c r="B481" i="4"/>
  <c r="N480" i="4"/>
  <c r="O480" i="4" s="1"/>
  <c r="P480" i="4" s="1"/>
  <c r="E480" i="4"/>
  <c r="C480" i="4"/>
  <c r="B480" i="4"/>
  <c r="N479" i="4"/>
  <c r="O479" i="4" s="1"/>
  <c r="P479" i="4" s="1"/>
  <c r="E479" i="4"/>
  <c r="N478" i="4"/>
  <c r="O478" i="4" s="1"/>
  <c r="P478" i="4" s="1"/>
  <c r="E478" i="4"/>
  <c r="C478" i="4"/>
  <c r="N477" i="4"/>
  <c r="O477" i="4" s="1"/>
  <c r="E477" i="4"/>
  <c r="C477" i="4"/>
  <c r="N476" i="4"/>
  <c r="O476" i="4" s="1"/>
  <c r="P476" i="4" s="1"/>
  <c r="E476" i="4"/>
  <c r="N475" i="4"/>
  <c r="O475" i="4" s="1"/>
  <c r="P475" i="4" s="1"/>
  <c r="E475" i="4"/>
  <c r="C475" i="4"/>
  <c r="N474" i="4"/>
  <c r="O474" i="4" s="1"/>
  <c r="P474" i="4" s="1"/>
  <c r="E474" i="4"/>
  <c r="C474" i="4"/>
  <c r="N473" i="4"/>
  <c r="E473" i="4"/>
  <c r="C473" i="4"/>
  <c r="N472" i="4"/>
  <c r="O472" i="4" s="1"/>
  <c r="P472" i="4" s="1"/>
  <c r="E472" i="4"/>
  <c r="C472" i="4"/>
  <c r="B472" i="4"/>
  <c r="N471" i="4"/>
  <c r="O471" i="4" s="1"/>
  <c r="P471" i="4" s="1"/>
  <c r="E471" i="4"/>
  <c r="B471" i="4"/>
  <c r="N470" i="4"/>
  <c r="O470" i="4" s="1"/>
  <c r="P470" i="4" s="1"/>
  <c r="E470" i="4"/>
  <c r="N469" i="4"/>
  <c r="O469" i="4" s="1"/>
  <c r="E469" i="4"/>
  <c r="C469" i="4"/>
  <c r="B469" i="4"/>
  <c r="N468" i="4"/>
  <c r="O468" i="4" s="1"/>
  <c r="P468" i="4" s="1"/>
  <c r="E468" i="4"/>
  <c r="C468" i="4"/>
  <c r="N467" i="4"/>
  <c r="O467" i="4" s="1"/>
  <c r="P467" i="4" s="1"/>
  <c r="E467" i="4"/>
  <c r="C467" i="4"/>
  <c r="B467" i="4"/>
  <c r="N466" i="4"/>
  <c r="O466" i="4" s="1"/>
  <c r="P466" i="4" s="1"/>
  <c r="N465" i="4"/>
  <c r="E465" i="4"/>
  <c r="C465" i="4"/>
  <c r="N464" i="4"/>
  <c r="O464" i="4" s="1"/>
  <c r="P464" i="4" s="1"/>
  <c r="E464" i="4"/>
  <c r="C464" i="4"/>
  <c r="B464" i="4"/>
  <c r="N463" i="4"/>
  <c r="O463" i="4" s="1"/>
  <c r="P463" i="4" s="1"/>
  <c r="E463" i="4"/>
  <c r="C463" i="4"/>
  <c r="B463" i="4"/>
  <c r="N462" i="4"/>
  <c r="O462" i="4" s="1"/>
  <c r="P462" i="4" s="1"/>
  <c r="E462" i="4"/>
  <c r="C462" i="4"/>
  <c r="B462" i="4"/>
  <c r="N461" i="4"/>
  <c r="E461" i="4"/>
  <c r="C461" i="4"/>
  <c r="N460" i="4"/>
  <c r="O460" i="4" s="1"/>
  <c r="P460" i="4" s="1"/>
  <c r="E460" i="4"/>
  <c r="C460" i="4"/>
  <c r="B460" i="4"/>
  <c r="N459" i="4"/>
  <c r="O459" i="4" s="1"/>
  <c r="P459" i="4" s="1"/>
  <c r="E459" i="4"/>
  <c r="N458" i="4"/>
  <c r="O458" i="4" s="1"/>
  <c r="P458" i="4" s="1"/>
  <c r="E458" i="4"/>
  <c r="B458" i="4"/>
  <c r="N457" i="4"/>
  <c r="E457" i="4"/>
  <c r="C457" i="4"/>
  <c r="B457" i="4"/>
  <c r="N456" i="4"/>
  <c r="O456" i="4" s="1"/>
  <c r="P456" i="4" s="1"/>
  <c r="E456" i="4"/>
  <c r="N455" i="4"/>
  <c r="O455" i="4" s="1"/>
  <c r="P455" i="4" s="1"/>
  <c r="E455" i="4"/>
  <c r="N454" i="4"/>
  <c r="O454" i="4" s="1"/>
  <c r="P454" i="4" s="1"/>
  <c r="E454" i="4"/>
  <c r="C454" i="4"/>
  <c r="B454" i="4"/>
  <c r="N453" i="4"/>
  <c r="E453" i="4"/>
  <c r="B453" i="4"/>
  <c r="N452" i="4"/>
  <c r="O452" i="4" s="1"/>
  <c r="P452" i="4" s="1"/>
  <c r="E452" i="4"/>
  <c r="N451" i="4"/>
  <c r="O451" i="4" s="1"/>
  <c r="P451" i="4" s="1"/>
  <c r="E451" i="4"/>
  <c r="B451" i="4"/>
  <c r="N450" i="4"/>
  <c r="O450" i="4" s="1"/>
  <c r="P450" i="4" s="1"/>
  <c r="E450" i="4"/>
  <c r="B450" i="4"/>
  <c r="N449" i="4"/>
  <c r="O449" i="4" s="1"/>
  <c r="E449" i="4"/>
  <c r="C449" i="4"/>
  <c r="B449" i="4"/>
  <c r="N448" i="4"/>
  <c r="O448" i="4" s="1"/>
  <c r="P448" i="4" s="1"/>
  <c r="E448" i="4"/>
  <c r="C448" i="4"/>
  <c r="B448" i="4"/>
  <c r="N447" i="4"/>
  <c r="O447" i="4" s="1"/>
  <c r="P447" i="4" s="1"/>
  <c r="E447" i="4"/>
  <c r="C447" i="4"/>
  <c r="B447" i="4"/>
  <c r="N446" i="4"/>
  <c r="O446" i="4" s="1"/>
  <c r="P446" i="4" s="1"/>
  <c r="E446" i="4"/>
  <c r="N445" i="4"/>
  <c r="O445" i="4" s="1"/>
  <c r="E445" i="4"/>
  <c r="C445" i="4"/>
  <c r="B445" i="4"/>
  <c r="N444" i="4"/>
  <c r="O444" i="4" s="1"/>
  <c r="P444" i="4" s="1"/>
  <c r="E444" i="4"/>
  <c r="C444" i="4"/>
  <c r="B444" i="4"/>
  <c r="N443" i="4"/>
  <c r="O443" i="4" s="1"/>
  <c r="P443" i="4" s="1"/>
  <c r="E443" i="4"/>
  <c r="C443" i="4"/>
  <c r="B443" i="4"/>
  <c r="N442" i="4"/>
  <c r="O442" i="4" s="1"/>
  <c r="P442" i="4" s="1"/>
  <c r="E442" i="4"/>
  <c r="C442" i="4"/>
  <c r="B442" i="4"/>
  <c r="N441" i="4"/>
  <c r="O441" i="4" s="1"/>
  <c r="E441" i="4"/>
  <c r="C441" i="4"/>
  <c r="B441" i="4"/>
  <c r="N440" i="4"/>
  <c r="O440" i="4" s="1"/>
  <c r="P440" i="4" s="1"/>
  <c r="E440" i="4"/>
  <c r="C440" i="4"/>
  <c r="B440" i="4"/>
  <c r="N439" i="4"/>
  <c r="O439" i="4" s="1"/>
  <c r="P439" i="4" s="1"/>
  <c r="E439" i="4"/>
  <c r="B439" i="4"/>
  <c r="N438" i="4"/>
  <c r="O438" i="4" s="1"/>
  <c r="P438" i="4" s="1"/>
  <c r="E438" i="4"/>
  <c r="C438" i="4"/>
  <c r="N437" i="4"/>
  <c r="O437" i="4" s="1"/>
  <c r="E437" i="4"/>
  <c r="C437" i="4"/>
  <c r="B437" i="4"/>
  <c r="N436" i="4"/>
  <c r="O436" i="4" s="1"/>
  <c r="P436" i="4" s="1"/>
  <c r="E436" i="4"/>
  <c r="B436" i="4"/>
  <c r="N435" i="4"/>
  <c r="O435" i="4" s="1"/>
  <c r="P435" i="4" s="1"/>
  <c r="E435" i="4"/>
  <c r="C435" i="4"/>
  <c r="N434" i="4"/>
  <c r="O434" i="4" s="1"/>
  <c r="P434" i="4" s="1"/>
  <c r="E434" i="4"/>
  <c r="C434" i="4"/>
  <c r="B434" i="4"/>
  <c r="N433" i="4"/>
  <c r="O433" i="4" s="1"/>
  <c r="E433" i="4"/>
  <c r="C433" i="4"/>
  <c r="N432" i="4"/>
  <c r="O432" i="4" s="1"/>
  <c r="P432" i="4" s="1"/>
  <c r="E432" i="4"/>
  <c r="C432" i="4"/>
  <c r="B432" i="4"/>
  <c r="N431" i="4"/>
  <c r="O431" i="4" s="1"/>
  <c r="P431" i="4" s="1"/>
  <c r="E431" i="4"/>
  <c r="B431" i="4"/>
  <c r="N430" i="4"/>
  <c r="O430" i="4" s="1"/>
  <c r="P430" i="4" s="1"/>
  <c r="E430" i="4"/>
  <c r="B430" i="4"/>
  <c r="N429" i="4"/>
  <c r="E429" i="4"/>
  <c r="C429" i="4"/>
  <c r="N428" i="4"/>
  <c r="O428" i="4" s="1"/>
  <c r="P428" i="4" s="1"/>
  <c r="E428" i="4"/>
  <c r="C428" i="4"/>
  <c r="B428" i="4"/>
  <c r="N427" i="4"/>
  <c r="O427" i="4" s="1"/>
  <c r="P427" i="4" s="1"/>
  <c r="E427" i="4"/>
  <c r="B427" i="4"/>
  <c r="N426" i="4"/>
  <c r="O426" i="4" s="1"/>
  <c r="P426" i="4" s="1"/>
  <c r="N425" i="4"/>
  <c r="O425" i="4" s="1"/>
  <c r="E425" i="4"/>
  <c r="C425" i="4"/>
  <c r="N424" i="4"/>
  <c r="O424" i="4" s="1"/>
  <c r="P424" i="4" s="1"/>
  <c r="E424" i="4"/>
  <c r="C424" i="4"/>
  <c r="B424" i="4"/>
  <c r="N423" i="4"/>
  <c r="O423" i="4" s="1"/>
  <c r="P423" i="4" s="1"/>
  <c r="E423" i="4"/>
  <c r="C423" i="4"/>
  <c r="B423" i="4"/>
  <c r="N422" i="4"/>
  <c r="O422" i="4" s="1"/>
  <c r="P422" i="4" s="1"/>
  <c r="E422" i="4"/>
  <c r="C422" i="4"/>
  <c r="B422" i="4"/>
  <c r="N421" i="4"/>
  <c r="O421" i="4" s="1"/>
  <c r="E421" i="4"/>
  <c r="C421" i="4"/>
  <c r="B421" i="4"/>
  <c r="N420" i="4"/>
  <c r="O420" i="4" s="1"/>
  <c r="P420" i="4" s="1"/>
  <c r="E420" i="4"/>
  <c r="C420" i="4"/>
  <c r="B420" i="4"/>
  <c r="N419" i="4"/>
  <c r="O419" i="4" s="1"/>
  <c r="P419" i="4" s="1"/>
  <c r="E419" i="4"/>
  <c r="N418" i="4"/>
  <c r="O418" i="4" s="1"/>
  <c r="P418" i="4" s="1"/>
  <c r="E418" i="4"/>
  <c r="B418" i="4"/>
  <c r="N417" i="4"/>
  <c r="O417" i="4" s="1"/>
  <c r="E417" i="4"/>
  <c r="C417" i="4"/>
  <c r="N416" i="4"/>
  <c r="O416" i="4" s="1"/>
  <c r="P416" i="4" s="1"/>
  <c r="E416" i="4"/>
  <c r="N415" i="4"/>
  <c r="O415" i="4" s="1"/>
  <c r="P415" i="4" s="1"/>
  <c r="E415" i="4"/>
  <c r="B415" i="4"/>
  <c r="N414" i="4"/>
  <c r="O414" i="4" s="1"/>
  <c r="P414" i="4" s="1"/>
  <c r="E414" i="4"/>
  <c r="C414" i="4"/>
  <c r="B414" i="4"/>
  <c r="N413" i="4"/>
  <c r="O413" i="4" s="1"/>
  <c r="E413" i="4"/>
  <c r="B413" i="4"/>
  <c r="N412" i="4"/>
  <c r="O412" i="4" s="1"/>
  <c r="P412" i="4" s="1"/>
  <c r="E412" i="4"/>
  <c r="N411" i="4"/>
  <c r="O411" i="4" s="1"/>
  <c r="P411" i="4" s="1"/>
  <c r="E411" i="4"/>
  <c r="B411" i="4"/>
  <c r="N410" i="4"/>
  <c r="O410" i="4" s="1"/>
  <c r="P410" i="4" s="1"/>
  <c r="E410" i="4"/>
  <c r="N409" i="4"/>
  <c r="E409" i="4"/>
  <c r="C409" i="4"/>
  <c r="B409" i="4"/>
  <c r="N408" i="4"/>
  <c r="O408" i="4" s="1"/>
  <c r="P408" i="4" s="1"/>
  <c r="E408" i="4"/>
  <c r="C408" i="4"/>
  <c r="B408" i="4"/>
  <c r="N407" i="4"/>
  <c r="O407" i="4" s="1"/>
  <c r="P407" i="4" s="1"/>
  <c r="E407" i="4"/>
  <c r="C407" i="4"/>
  <c r="B407" i="4"/>
  <c r="N406" i="4"/>
  <c r="O406" i="4" s="1"/>
  <c r="P406" i="4" s="1"/>
  <c r="E406" i="4"/>
  <c r="N405" i="4"/>
  <c r="O405" i="4" s="1"/>
  <c r="E405" i="4"/>
  <c r="C405" i="4"/>
  <c r="N404" i="4"/>
  <c r="O404" i="4" s="1"/>
  <c r="P404" i="4" s="1"/>
  <c r="E404" i="4"/>
  <c r="C404" i="4"/>
  <c r="B404" i="4"/>
  <c r="N403" i="4"/>
  <c r="O403" i="4" s="1"/>
  <c r="P403" i="4" s="1"/>
  <c r="E403" i="4"/>
  <c r="C403" i="4"/>
  <c r="B403" i="4"/>
  <c r="N402" i="4"/>
  <c r="O402" i="4" s="1"/>
  <c r="P402" i="4" s="1"/>
  <c r="E402" i="4"/>
  <c r="C402" i="4"/>
  <c r="B402" i="4"/>
  <c r="N401" i="4"/>
  <c r="E401" i="4"/>
  <c r="C401" i="4"/>
  <c r="B401" i="4"/>
  <c r="N400" i="4"/>
  <c r="O400" i="4" s="1"/>
  <c r="P400" i="4" s="1"/>
  <c r="E400" i="4"/>
  <c r="C400" i="4"/>
  <c r="B400" i="4"/>
  <c r="N399" i="4"/>
  <c r="O399" i="4" s="1"/>
  <c r="P399" i="4" s="1"/>
  <c r="E399" i="4"/>
  <c r="B399" i="4"/>
  <c r="N398" i="4"/>
  <c r="O398" i="4" s="1"/>
  <c r="P398" i="4" s="1"/>
  <c r="E398" i="4"/>
  <c r="C398" i="4"/>
  <c r="N397" i="4"/>
  <c r="O397" i="4" s="1"/>
  <c r="E397" i="4"/>
  <c r="C397" i="4"/>
  <c r="B397" i="4"/>
  <c r="N396" i="4"/>
  <c r="O396" i="4" s="1"/>
  <c r="P396" i="4" s="1"/>
  <c r="E396" i="4"/>
  <c r="B396" i="4"/>
  <c r="N395" i="4"/>
  <c r="O395" i="4" s="1"/>
  <c r="P395" i="4" s="1"/>
  <c r="E395" i="4"/>
  <c r="C395" i="4"/>
  <c r="N394" i="4"/>
  <c r="O394" i="4" s="1"/>
  <c r="P394" i="4" s="1"/>
  <c r="E394" i="4"/>
  <c r="C394" i="4"/>
  <c r="N393" i="4"/>
  <c r="O393" i="4" s="1"/>
  <c r="E393" i="4"/>
  <c r="C393" i="4"/>
  <c r="N392" i="4"/>
  <c r="O392" i="4" s="1"/>
  <c r="P392" i="4" s="1"/>
  <c r="E392" i="4"/>
  <c r="C392" i="4"/>
  <c r="B392" i="4"/>
  <c r="N391" i="4"/>
  <c r="O391" i="4" s="1"/>
  <c r="P391" i="4" s="1"/>
  <c r="E391" i="4"/>
  <c r="N390" i="4"/>
  <c r="O390" i="4" s="1"/>
  <c r="P390" i="4" s="1"/>
  <c r="E390" i="4"/>
  <c r="N389" i="4"/>
  <c r="O389" i="4" s="1"/>
  <c r="E389" i="4"/>
  <c r="C389" i="4"/>
  <c r="B389" i="4"/>
  <c r="N388" i="4"/>
  <c r="O388" i="4" s="1"/>
  <c r="P388" i="4" s="1"/>
  <c r="E388" i="4"/>
  <c r="C388" i="4"/>
  <c r="N387" i="4"/>
  <c r="O387" i="4" s="1"/>
  <c r="P387" i="4" s="1"/>
  <c r="E387" i="4"/>
  <c r="C387" i="4"/>
  <c r="B387" i="4"/>
  <c r="N386" i="4"/>
  <c r="O386" i="4" s="1"/>
  <c r="P386" i="4" s="1"/>
  <c r="N385" i="4"/>
  <c r="E385" i="4"/>
  <c r="C385" i="4"/>
  <c r="N384" i="4"/>
  <c r="O384" i="4" s="1"/>
  <c r="P384" i="4" s="1"/>
  <c r="E384" i="4"/>
  <c r="C384" i="4"/>
  <c r="B384" i="4"/>
  <c r="N383" i="4"/>
  <c r="O383" i="4" s="1"/>
  <c r="P383" i="4" s="1"/>
  <c r="E383" i="4"/>
  <c r="C383" i="4"/>
  <c r="B383" i="4"/>
  <c r="N382" i="4"/>
  <c r="O382" i="4" s="1"/>
  <c r="P382" i="4" s="1"/>
  <c r="E382" i="4"/>
  <c r="C382" i="4"/>
  <c r="B382" i="4"/>
  <c r="N381" i="4"/>
  <c r="O381" i="4" s="1"/>
  <c r="E381" i="4"/>
  <c r="C381" i="4"/>
  <c r="B381" i="4"/>
  <c r="N380" i="4"/>
  <c r="O380" i="4" s="1"/>
  <c r="P380" i="4" s="1"/>
  <c r="E380" i="4"/>
  <c r="C380" i="4"/>
  <c r="N379" i="4"/>
  <c r="O379" i="4" s="1"/>
  <c r="P379" i="4" s="1"/>
  <c r="E379" i="4"/>
  <c r="N378" i="4"/>
  <c r="O378" i="4" s="1"/>
  <c r="P378" i="4" s="1"/>
  <c r="E378" i="4"/>
  <c r="C378" i="4"/>
  <c r="N377" i="4"/>
  <c r="O377" i="4" s="1"/>
  <c r="E377" i="4"/>
  <c r="C377" i="4"/>
  <c r="B377" i="4"/>
  <c r="N376" i="4"/>
  <c r="O376" i="4" s="1"/>
  <c r="P376" i="4" s="1"/>
  <c r="E376" i="4"/>
  <c r="B376" i="4"/>
  <c r="N375" i="4"/>
  <c r="O375" i="4" s="1"/>
  <c r="P375" i="4" s="1"/>
  <c r="E375" i="4"/>
  <c r="N374" i="4"/>
  <c r="O374" i="4" s="1"/>
  <c r="P374" i="4" s="1"/>
  <c r="E374" i="4"/>
  <c r="C374" i="4"/>
  <c r="N373" i="4"/>
  <c r="O373" i="4" s="1"/>
  <c r="E373" i="4"/>
  <c r="B373" i="4"/>
  <c r="N372" i="4"/>
  <c r="O372" i="4" s="1"/>
  <c r="P372" i="4" s="1"/>
  <c r="E372" i="4"/>
  <c r="N371" i="4"/>
  <c r="O371" i="4" s="1"/>
  <c r="P371" i="4" s="1"/>
  <c r="E371" i="4"/>
  <c r="B371" i="4"/>
  <c r="N370" i="4"/>
  <c r="O370" i="4" s="1"/>
  <c r="P370" i="4" s="1"/>
  <c r="E370" i="4"/>
  <c r="N369" i="4"/>
  <c r="E369" i="4"/>
  <c r="C369" i="4"/>
  <c r="B369" i="4"/>
  <c r="N368" i="4"/>
  <c r="O368" i="4" s="1"/>
  <c r="P368" i="4" s="1"/>
  <c r="E368" i="4"/>
  <c r="C368" i="4"/>
  <c r="B368" i="4"/>
  <c r="N367" i="4"/>
  <c r="O367" i="4" s="1"/>
  <c r="P367" i="4" s="1"/>
  <c r="E367" i="4"/>
  <c r="C367" i="4"/>
  <c r="B367" i="4"/>
  <c r="N366" i="4"/>
  <c r="O366" i="4" s="1"/>
  <c r="P366" i="4" s="1"/>
  <c r="E366" i="4"/>
  <c r="C366" i="4"/>
  <c r="N365" i="4"/>
  <c r="O365" i="4" s="1"/>
  <c r="E365" i="4"/>
  <c r="C365" i="4"/>
  <c r="B365" i="4"/>
  <c r="N364" i="4"/>
  <c r="O364" i="4" s="1"/>
  <c r="P364" i="4" s="1"/>
  <c r="E364" i="4"/>
  <c r="C364" i="4"/>
  <c r="B364" i="4"/>
  <c r="N363" i="4"/>
  <c r="O363" i="4" s="1"/>
  <c r="P363" i="4" s="1"/>
  <c r="E363" i="4"/>
  <c r="C363" i="4"/>
  <c r="B363" i="4"/>
  <c r="N362" i="4"/>
  <c r="O362" i="4" s="1"/>
  <c r="P362" i="4" s="1"/>
  <c r="E362" i="4"/>
  <c r="C362" i="4"/>
  <c r="B362" i="4"/>
  <c r="N361" i="4"/>
  <c r="E361" i="4"/>
  <c r="C361" i="4"/>
  <c r="B361" i="4"/>
  <c r="N360" i="4"/>
  <c r="O360" i="4" s="1"/>
  <c r="P360" i="4" s="1"/>
  <c r="E360" i="4"/>
  <c r="C360" i="4"/>
  <c r="B360" i="4"/>
  <c r="N359" i="4"/>
  <c r="O359" i="4" s="1"/>
  <c r="P359" i="4" s="1"/>
  <c r="E359" i="4"/>
  <c r="C359" i="4"/>
  <c r="B359" i="4"/>
  <c r="N358" i="4"/>
  <c r="O358" i="4" s="1"/>
  <c r="P358" i="4" s="1"/>
  <c r="E358" i="4"/>
  <c r="C358" i="4"/>
  <c r="N357" i="4"/>
  <c r="E357" i="4"/>
  <c r="C357" i="4"/>
  <c r="N356" i="4"/>
  <c r="O356" i="4" s="1"/>
  <c r="P356" i="4" s="1"/>
  <c r="E356" i="4"/>
  <c r="C356" i="4"/>
  <c r="B356" i="4"/>
  <c r="N355" i="4"/>
  <c r="O355" i="4" s="1"/>
  <c r="P355" i="4" s="1"/>
  <c r="E355" i="4"/>
  <c r="B355" i="4"/>
  <c r="N354" i="4"/>
  <c r="O354" i="4" s="1"/>
  <c r="P354" i="4" s="1"/>
  <c r="E354" i="4"/>
  <c r="C354" i="4"/>
  <c r="N353" i="4"/>
  <c r="O353" i="4" s="1"/>
  <c r="E353" i="4"/>
  <c r="C353" i="4"/>
  <c r="B353" i="4"/>
  <c r="N352" i="4"/>
  <c r="O352" i="4" s="1"/>
  <c r="P352" i="4" s="1"/>
  <c r="E352" i="4"/>
  <c r="C352" i="4"/>
  <c r="N351" i="4"/>
  <c r="O351" i="4" s="1"/>
  <c r="P351" i="4" s="1"/>
  <c r="E351" i="4"/>
  <c r="B351" i="4"/>
  <c r="N350" i="4"/>
  <c r="O350" i="4" s="1"/>
  <c r="P350" i="4" s="1"/>
  <c r="E350" i="4"/>
  <c r="N349" i="4"/>
  <c r="O349" i="4" s="1"/>
  <c r="E349" i="4"/>
  <c r="C349" i="4"/>
  <c r="B349" i="4"/>
  <c r="N348" i="4"/>
  <c r="O348" i="4" s="1"/>
  <c r="P348" i="4" s="1"/>
  <c r="E348" i="4"/>
  <c r="C348" i="4"/>
  <c r="B348" i="4"/>
  <c r="N347" i="4"/>
  <c r="O347" i="4" s="1"/>
  <c r="P347" i="4" s="1"/>
  <c r="E347" i="4"/>
  <c r="B347" i="4"/>
  <c r="N346" i="4"/>
  <c r="O346" i="4" s="1"/>
  <c r="P346" i="4" s="1"/>
  <c r="N345" i="4"/>
  <c r="E345" i="4"/>
  <c r="C345" i="4"/>
  <c r="N344" i="4"/>
  <c r="O344" i="4" s="1"/>
  <c r="P344" i="4" s="1"/>
  <c r="E344" i="4"/>
  <c r="C344" i="4"/>
  <c r="B344" i="4"/>
  <c r="N343" i="4"/>
  <c r="O343" i="4" s="1"/>
  <c r="P343" i="4" s="1"/>
  <c r="E343" i="4"/>
  <c r="C343" i="4"/>
  <c r="B343" i="4"/>
  <c r="N342" i="4"/>
  <c r="O342" i="4" s="1"/>
  <c r="P342" i="4" s="1"/>
  <c r="E342" i="4"/>
  <c r="C342" i="4"/>
  <c r="B342" i="4"/>
  <c r="N341" i="4"/>
  <c r="E341" i="4"/>
  <c r="C341" i="4"/>
  <c r="N340" i="4"/>
  <c r="O340" i="4" s="1"/>
  <c r="P340" i="4" s="1"/>
  <c r="E340" i="4"/>
  <c r="C340" i="4"/>
  <c r="B340" i="4"/>
  <c r="N339" i="4"/>
  <c r="O339" i="4" s="1"/>
  <c r="P339" i="4" s="1"/>
  <c r="E339" i="4"/>
  <c r="N338" i="4"/>
  <c r="O338" i="4" s="1"/>
  <c r="P338" i="4" s="1"/>
  <c r="E338" i="4"/>
  <c r="C338" i="4"/>
  <c r="B338" i="4"/>
  <c r="N337" i="4"/>
  <c r="E337" i="4"/>
  <c r="B337" i="4"/>
  <c r="N336" i="4"/>
  <c r="O336" i="4" s="1"/>
  <c r="P336" i="4" s="1"/>
  <c r="E336" i="4"/>
  <c r="N335" i="4"/>
  <c r="O335" i="4" s="1"/>
  <c r="P335" i="4" s="1"/>
  <c r="E335" i="4"/>
  <c r="N334" i="4"/>
  <c r="O334" i="4" s="1"/>
  <c r="P334" i="4" s="1"/>
  <c r="E334" i="4"/>
  <c r="C334" i="4"/>
  <c r="B334" i="4"/>
  <c r="N333" i="4"/>
  <c r="E333" i="4"/>
  <c r="N332" i="4"/>
  <c r="O332" i="4" s="1"/>
  <c r="P332" i="4" s="1"/>
  <c r="E332" i="4"/>
  <c r="N331" i="4"/>
  <c r="O331" i="4" s="1"/>
  <c r="P331" i="4" s="1"/>
  <c r="E331" i="4"/>
  <c r="B331" i="4"/>
  <c r="N330" i="4"/>
  <c r="O330" i="4" s="1"/>
  <c r="P330" i="4" s="1"/>
  <c r="E330" i="4"/>
  <c r="C330" i="4"/>
  <c r="N329" i="4"/>
  <c r="O329" i="4" s="1"/>
  <c r="E329" i="4"/>
  <c r="C329" i="4"/>
  <c r="B329" i="4"/>
  <c r="N328" i="4"/>
  <c r="O328" i="4" s="1"/>
  <c r="E328" i="4"/>
  <c r="C328" i="4"/>
  <c r="B328" i="4"/>
  <c r="N327" i="4"/>
  <c r="O327" i="4" s="1"/>
  <c r="P327" i="4" s="1"/>
  <c r="E327" i="4"/>
  <c r="C327" i="4"/>
  <c r="B327" i="4"/>
  <c r="N326" i="4"/>
  <c r="O326" i="4" s="1"/>
  <c r="P326" i="4" s="1"/>
  <c r="E326" i="4"/>
  <c r="N325" i="4"/>
  <c r="O325" i="4" s="1"/>
  <c r="E325" i="4"/>
  <c r="C325" i="4"/>
  <c r="N324" i="4"/>
  <c r="O324" i="4" s="1"/>
  <c r="P324" i="4" s="1"/>
  <c r="E324" i="4"/>
  <c r="C324" i="4"/>
  <c r="B324" i="4"/>
  <c r="N323" i="4"/>
  <c r="O323" i="4" s="1"/>
  <c r="P323" i="4" s="1"/>
  <c r="E323" i="4"/>
  <c r="C323" i="4"/>
  <c r="B323" i="4"/>
  <c r="N322" i="4"/>
  <c r="O322" i="4" s="1"/>
  <c r="P322" i="4" s="1"/>
  <c r="E322" i="4"/>
  <c r="C322" i="4"/>
  <c r="B322" i="4"/>
  <c r="N321" i="4"/>
  <c r="E321" i="4"/>
  <c r="C321" i="4"/>
  <c r="B321" i="4"/>
  <c r="N320" i="4"/>
  <c r="O320" i="4" s="1"/>
  <c r="P320" i="4" s="1"/>
  <c r="E320" i="4"/>
  <c r="C320" i="4"/>
  <c r="B320" i="4"/>
  <c r="N319" i="4"/>
  <c r="O319" i="4" s="1"/>
  <c r="P319" i="4" s="1"/>
  <c r="E319" i="4"/>
  <c r="B319" i="4"/>
  <c r="N318" i="4"/>
  <c r="O318" i="4" s="1"/>
  <c r="P318" i="4" s="1"/>
  <c r="E318" i="4"/>
  <c r="C318" i="4"/>
  <c r="N317" i="4"/>
  <c r="E317" i="4"/>
  <c r="C317" i="4"/>
  <c r="B317" i="4"/>
  <c r="N316" i="4"/>
  <c r="O316" i="4" s="1"/>
  <c r="P316" i="4" s="1"/>
  <c r="E316" i="4"/>
  <c r="C316" i="4"/>
  <c r="B316" i="4"/>
  <c r="N315" i="4"/>
  <c r="O315" i="4" s="1"/>
  <c r="P315" i="4" s="1"/>
  <c r="E315" i="4"/>
  <c r="N314" i="4"/>
  <c r="O314" i="4" s="1"/>
  <c r="P314" i="4" s="1"/>
  <c r="E314" i="4"/>
  <c r="C314" i="4"/>
  <c r="B314" i="4"/>
  <c r="N313" i="4"/>
  <c r="E313" i="4"/>
  <c r="C313" i="4"/>
  <c r="B313" i="4"/>
  <c r="N312" i="4"/>
  <c r="O312" i="4" s="1"/>
  <c r="P312" i="4" s="1"/>
  <c r="E312" i="4"/>
  <c r="C312" i="4"/>
  <c r="B312" i="4"/>
  <c r="N311" i="4"/>
  <c r="O311" i="4" s="1"/>
  <c r="P311" i="4" s="1"/>
  <c r="E311" i="4"/>
  <c r="B311" i="4"/>
  <c r="N310" i="4"/>
  <c r="O310" i="4" s="1"/>
  <c r="P310" i="4" s="1"/>
  <c r="E310" i="4"/>
  <c r="N309" i="4"/>
  <c r="O309" i="4" s="1"/>
  <c r="E309" i="4"/>
  <c r="C309" i="4"/>
  <c r="B309" i="4"/>
  <c r="N308" i="4"/>
  <c r="O308" i="4" s="1"/>
  <c r="P308" i="4" s="1"/>
  <c r="E308" i="4"/>
  <c r="C308" i="4"/>
  <c r="B308" i="4"/>
  <c r="N307" i="4"/>
  <c r="O307" i="4" s="1"/>
  <c r="P307" i="4" s="1"/>
  <c r="E307" i="4"/>
  <c r="B307" i="4"/>
  <c r="N306" i="4"/>
  <c r="O306" i="4" s="1"/>
  <c r="P306" i="4" s="1"/>
  <c r="N305" i="4"/>
  <c r="O305" i="4" s="1"/>
  <c r="E305" i="4"/>
  <c r="C305" i="4"/>
  <c r="B305" i="4"/>
  <c r="N304" i="4"/>
  <c r="O304" i="4" s="1"/>
  <c r="P304" i="4" s="1"/>
  <c r="E304" i="4"/>
  <c r="C304" i="4"/>
  <c r="B304" i="4"/>
  <c r="N303" i="4"/>
  <c r="O303" i="4" s="1"/>
  <c r="P303" i="4" s="1"/>
  <c r="E303" i="4"/>
  <c r="C303" i="4"/>
  <c r="B303" i="4"/>
  <c r="N302" i="4"/>
  <c r="E302" i="4"/>
  <c r="C302" i="4"/>
  <c r="B302" i="4"/>
  <c r="N301" i="4"/>
  <c r="O301" i="4" s="1"/>
  <c r="E301" i="4"/>
  <c r="C301" i="4"/>
  <c r="N300" i="4"/>
  <c r="O300" i="4" s="1"/>
  <c r="P300" i="4" s="1"/>
  <c r="E300" i="4"/>
  <c r="C300" i="4"/>
  <c r="N299" i="4"/>
  <c r="O299" i="4" s="1"/>
  <c r="P299" i="4" s="1"/>
  <c r="E299" i="4"/>
  <c r="B299" i="4"/>
  <c r="N298" i="4"/>
  <c r="O298" i="4" s="1"/>
  <c r="P298" i="4" s="1"/>
  <c r="E298" i="4"/>
  <c r="B298" i="4"/>
  <c r="N297" i="4"/>
  <c r="E297" i="4"/>
  <c r="B297" i="4"/>
  <c r="N296" i="4"/>
  <c r="O296" i="4" s="1"/>
  <c r="P296" i="4" s="1"/>
  <c r="E296" i="4"/>
  <c r="B296" i="4"/>
  <c r="N295" i="4"/>
  <c r="O295" i="4" s="1"/>
  <c r="P295" i="4" s="1"/>
  <c r="E295" i="4"/>
  <c r="B295" i="4"/>
  <c r="N294" i="4"/>
  <c r="O294" i="4" s="1"/>
  <c r="P294" i="4" s="1"/>
  <c r="E294" i="4"/>
  <c r="C294" i="4"/>
  <c r="B294" i="4"/>
  <c r="N293" i="4"/>
  <c r="O293" i="4" s="1"/>
  <c r="E293" i="4"/>
  <c r="B293" i="4"/>
  <c r="N292" i="4"/>
  <c r="O292" i="4" s="1"/>
  <c r="P292" i="4" s="1"/>
  <c r="E292" i="4"/>
  <c r="N291" i="4"/>
  <c r="O291" i="4" s="1"/>
  <c r="P291" i="4" s="1"/>
  <c r="E291" i="4"/>
  <c r="B291" i="4"/>
  <c r="N290" i="4"/>
  <c r="O290" i="4" s="1"/>
  <c r="E290" i="4"/>
  <c r="B290" i="4"/>
  <c r="N289" i="4"/>
  <c r="O289" i="4" s="1"/>
  <c r="E289" i="4"/>
  <c r="C289" i="4"/>
  <c r="B289" i="4"/>
  <c r="N288" i="4"/>
  <c r="O288" i="4" s="1"/>
  <c r="P288" i="4" s="1"/>
  <c r="E288" i="4"/>
  <c r="C288" i="4"/>
  <c r="B288" i="4"/>
  <c r="N287" i="4"/>
  <c r="O287" i="4" s="1"/>
  <c r="P287" i="4" s="1"/>
  <c r="E287" i="4"/>
  <c r="C287" i="4"/>
  <c r="B287" i="4"/>
  <c r="N286" i="4"/>
  <c r="E286" i="4"/>
  <c r="N285" i="4"/>
  <c r="O285" i="4" s="1"/>
  <c r="E285" i="4"/>
  <c r="C285" i="4"/>
  <c r="N284" i="4"/>
  <c r="O284" i="4" s="1"/>
  <c r="P284" i="4" s="1"/>
  <c r="E284" i="4"/>
  <c r="C284" i="4"/>
  <c r="B284" i="4"/>
  <c r="N283" i="4"/>
  <c r="O283" i="4" s="1"/>
  <c r="P283" i="4" s="1"/>
  <c r="E283" i="4"/>
  <c r="C283" i="4"/>
  <c r="B283" i="4"/>
  <c r="N282" i="4"/>
  <c r="O282" i="4" s="1"/>
  <c r="E282" i="4"/>
  <c r="C282" i="4"/>
  <c r="B282" i="4"/>
  <c r="N281" i="4"/>
  <c r="E281" i="4"/>
  <c r="C281" i="4"/>
  <c r="B281" i="4"/>
  <c r="N280" i="4"/>
  <c r="O280" i="4" s="1"/>
  <c r="P280" i="4" s="1"/>
  <c r="E280" i="4"/>
  <c r="C280" i="4"/>
  <c r="B280" i="4"/>
  <c r="N279" i="4"/>
  <c r="O279" i="4" s="1"/>
  <c r="P279" i="4" s="1"/>
  <c r="E279" i="4"/>
  <c r="C279" i="4"/>
  <c r="B279" i="4"/>
  <c r="N278" i="4"/>
  <c r="O278" i="4" s="1"/>
  <c r="P278" i="4" s="1"/>
  <c r="E278" i="4"/>
  <c r="C278" i="4"/>
  <c r="B278" i="4"/>
  <c r="N277" i="4"/>
  <c r="O277" i="4" s="1"/>
  <c r="E277" i="4"/>
  <c r="C277" i="4"/>
  <c r="B277" i="4"/>
  <c r="N276" i="4"/>
  <c r="O276" i="4" s="1"/>
  <c r="P276" i="4" s="1"/>
  <c r="E276" i="4"/>
  <c r="C276" i="4"/>
  <c r="B276" i="4"/>
  <c r="N275" i="4"/>
  <c r="O275" i="4" s="1"/>
  <c r="P275" i="4" s="1"/>
  <c r="E275" i="4"/>
  <c r="N274" i="4"/>
  <c r="O274" i="4" s="1"/>
  <c r="P274" i="4" s="1"/>
  <c r="E274" i="4"/>
  <c r="C274" i="4"/>
  <c r="B274" i="4"/>
  <c r="N273" i="4"/>
  <c r="E273" i="4"/>
  <c r="C273" i="4"/>
  <c r="N272" i="4"/>
  <c r="O272" i="4" s="1"/>
  <c r="P272" i="4" s="1"/>
  <c r="E272" i="4"/>
  <c r="C272" i="4"/>
  <c r="B272" i="4"/>
  <c r="N271" i="4"/>
  <c r="O271" i="4" s="1"/>
  <c r="P271" i="4" s="1"/>
  <c r="E271" i="4"/>
  <c r="B271" i="4"/>
  <c r="N270" i="4"/>
  <c r="O270" i="4" s="1"/>
  <c r="P270" i="4" s="1"/>
  <c r="E270" i="4"/>
  <c r="N269" i="4"/>
  <c r="O269" i="4" s="1"/>
  <c r="E269" i="4"/>
  <c r="C269" i="4"/>
  <c r="B269" i="4"/>
  <c r="N268" i="4"/>
  <c r="O268" i="4" s="1"/>
  <c r="P268" i="4" s="1"/>
  <c r="E268" i="4"/>
  <c r="C268" i="4"/>
  <c r="B268" i="4"/>
  <c r="N267" i="4"/>
  <c r="O267" i="4" s="1"/>
  <c r="P267" i="4" s="1"/>
  <c r="E267" i="4"/>
  <c r="C267" i="4"/>
  <c r="B267" i="4"/>
  <c r="N266" i="4"/>
  <c r="O266" i="4" s="1"/>
  <c r="P266" i="4" s="1"/>
  <c r="C266" i="4"/>
  <c r="N265" i="4"/>
  <c r="O265" i="4" s="1"/>
  <c r="E265" i="4"/>
  <c r="C265" i="4"/>
  <c r="N264" i="4"/>
  <c r="O264" i="4" s="1"/>
  <c r="P264" i="4" s="1"/>
  <c r="E264" i="4"/>
  <c r="C264" i="4"/>
  <c r="B264" i="4"/>
  <c r="N263" i="4"/>
  <c r="O263" i="4" s="1"/>
  <c r="P263" i="4" s="1"/>
  <c r="E263" i="4"/>
  <c r="C263" i="4"/>
  <c r="B263" i="4"/>
  <c r="N262" i="4"/>
  <c r="O262" i="4" s="1"/>
  <c r="P262" i="4" s="1"/>
  <c r="E262" i="4"/>
  <c r="C262" i="4"/>
  <c r="B262" i="4"/>
  <c r="N261" i="4"/>
  <c r="O261" i="4" s="1"/>
  <c r="E261" i="4"/>
  <c r="C261" i="4"/>
  <c r="B261" i="4"/>
  <c r="N260" i="4"/>
  <c r="O260" i="4" s="1"/>
  <c r="P260" i="4" s="1"/>
  <c r="E260" i="4"/>
  <c r="C260" i="4"/>
  <c r="N259" i="4"/>
  <c r="O259" i="4" s="1"/>
  <c r="P259" i="4" s="1"/>
  <c r="E259" i="4"/>
  <c r="N258" i="4"/>
  <c r="O258" i="4" s="1"/>
  <c r="E258" i="4"/>
  <c r="B258" i="4"/>
  <c r="N257" i="4"/>
  <c r="E257" i="4"/>
  <c r="C257" i="4"/>
  <c r="B257" i="4"/>
  <c r="N256" i="4"/>
  <c r="O256" i="4" s="1"/>
  <c r="P256" i="4" s="1"/>
  <c r="E256" i="4"/>
  <c r="N255" i="4"/>
  <c r="O255" i="4" s="1"/>
  <c r="P255" i="4" s="1"/>
  <c r="E255" i="4"/>
  <c r="B255" i="4"/>
  <c r="N254" i="4"/>
  <c r="E254" i="4"/>
  <c r="C254" i="4"/>
  <c r="B254" i="4"/>
  <c r="N253" i="4"/>
  <c r="O253" i="4" s="1"/>
  <c r="E253" i="4"/>
  <c r="B253" i="4"/>
  <c r="N252" i="4"/>
  <c r="O252" i="4" s="1"/>
  <c r="P252" i="4" s="1"/>
  <c r="E252" i="4"/>
  <c r="N251" i="4"/>
  <c r="O251" i="4" s="1"/>
  <c r="P251" i="4" s="1"/>
  <c r="E251" i="4"/>
  <c r="B251" i="4"/>
  <c r="N250" i="4"/>
  <c r="E250" i="4"/>
  <c r="B250" i="4"/>
  <c r="N249" i="4"/>
  <c r="E249" i="4"/>
  <c r="C249" i="4"/>
  <c r="B249" i="4"/>
  <c r="N248" i="4"/>
  <c r="O248" i="4" s="1"/>
  <c r="P248" i="4" s="1"/>
  <c r="E248" i="4"/>
  <c r="C248" i="4"/>
  <c r="B248" i="4"/>
  <c r="N247" i="4"/>
  <c r="O247" i="4" s="1"/>
  <c r="P247" i="4" s="1"/>
  <c r="E247" i="4"/>
  <c r="C247" i="4"/>
  <c r="B247" i="4"/>
  <c r="N246" i="4"/>
  <c r="O246" i="4" s="1"/>
  <c r="P246" i="4" s="1"/>
  <c r="E246" i="4"/>
  <c r="C246" i="4"/>
  <c r="N245" i="4"/>
  <c r="O245" i="4" s="1"/>
  <c r="E245" i="4"/>
  <c r="C245" i="4"/>
  <c r="B245" i="4"/>
  <c r="N244" i="4"/>
  <c r="O244" i="4" s="1"/>
  <c r="P244" i="4" s="1"/>
  <c r="E244" i="4"/>
  <c r="C244" i="4"/>
  <c r="B244" i="4"/>
  <c r="N243" i="4"/>
  <c r="O243" i="4" s="1"/>
  <c r="P243" i="4" s="1"/>
  <c r="E243" i="4"/>
  <c r="C243" i="4"/>
  <c r="B243" i="4"/>
  <c r="N242" i="4"/>
  <c r="O242" i="4" s="1"/>
  <c r="P242" i="4" s="1"/>
  <c r="E242" i="4"/>
  <c r="C242" i="4"/>
  <c r="B242" i="4"/>
  <c r="N241" i="4"/>
  <c r="O241" i="4" s="1"/>
  <c r="E241" i="4"/>
  <c r="C241" i="4"/>
  <c r="B241" i="4"/>
  <c r="N240" i="4"/>
  <c r="O240" i="4" s="1"/>
  <c r="P240" i="4" s="1"/>
  <c r="E240" i="4"/>
  <c r="C240" i="4"/>
  <c r="B240" i="4"/>
  <c r="N239" i="4"/>
  <c r="O239" i="4" s="1"/>
  <c r="P239" i="4" s="1"/>
  <c r="E239" i="4"/>
  <c r="B239" i="4"/>
  <c r="N238" i="4"/>
  <c r="O238" i="4" s="1"/>
  <c r="P238" i="4" s="1"/>
  <c r="E238" i="4"/>
  <c r="C238" i="4"/>
  <c r="B238" i="4"/>
  <c r="N237" i="4"/>
  <c r="O237" i="4" s="1"/>
  <c r="E237" i="4"/>
  <c r="C237" i="4"/>
  <c r="B237" i="4"/>
  <c r="N236" i="4"/>
  <c r="O236" i="4" s="1"/>
  <c r="P236" i="4" s="1"/>
  <c r="E236" i="4"/>
  <c r="B236" i="4"/>
  <c r="N235" i="4"/>
  <c r="O235" i="4" s="1"/>
  <c r="P235" i="4" s="1"/>
  <c r="E235" i="4"/>
  <c r="C235" i="4"/>
  <c r="B235" i="4"/>
  <c r="N234" i="4"/>
  <c r="O234" i="4" s="1"/>
  <c r="P234" i="4" s="1"/>
  <c r="E234" i="4"/>
  <c r="C234" i="4"/>
  <c r="B234" i="4"/>
  <c r="N233" i="4"/>
  <c r="E233" i="4"/>
  <c r="C233" i="4"/>
  <c r="B233" i="4"/>
  <c r="N232" i="4"/>
  <c r="O232" i="4" s="1"/>
  <c r="P232" i="4" s="1"/>
  <c r="E232" i="4"/>
  <c r="C232" i="4"/>
  <c r="B232" i="4"/>
  <c r="N231" i="4"/>
  <c r="O231" i="4" s="1"/>
  <c r="P231" i="4" s="1"/>
  <c r="E231" i="4"/>
  <c r="B231" i="4"/>
  <c r="N230" i="4"/>
  <c r="O230" i="4" s="1"/>
  <c r="P230" i="4" s="1"/>
  <c r="E230" i="4"/>
  <c r="C230" i="4"/>
  <c r="N229" i="4"/>
  <c r="E229" i="4"/>
  <c r="C229" i="4"/>
  <c r="B229" i="4"/>
  <c r="N228" i="4"/>
  <c r="O228" i="4" s="1"/>
  <c r="P228" i="4" s="1"/>
  <c r="E228" i="4"/>
  <c r="C228" i="4"/>
  <c r="B228" i="4"/>
  <c r="N227" i="4"/>
  <c r="O227" i="4" s="1"/>
  <c r="P227" i="4" s="1"/>
  <c r="E227" i="4"/>
  <c r="C227" i="4"/>
  <c r="B227" i="4"/>
  <c r="N226" i="4"/>
  <c r="N225" i="4"/>
  <c r="E225" i="4"/>
  <c r="C225" i="4"/>
  <c r="B225" i="4"/>
  <c r="N224" i="4"/>
  <c r="O224" i="4" s="1"/>
  <c r="E224" i="4"/>
  <c r="C224" i="4"/>
  <c r="B224" i="4"/>
  <c r="N223" i="4"/>
  <c r="O223" i="4" s="1"/>
  <c r="P223" i="4" s="1"/>
  <c r="E223" i="4"/>
  <c r="C223" i="4"/>
  <c r="B223" i="4"/>
  <c r="N222" i="4"/>
  <c r="E222" i="4"/>
  <c r="C222" i="4"/>
  <c r="B222" i="4"/>
  <c r="N221" i="4"/>
  <c r="E221" i="4"/>
  <c r="C221" i="4"/>
  <c r="B221" i="4"/>
  <c r="N220" i="4"/>
  <c r="O220" i="4" s="1"/>
  <c r="P220" i="4" s="1"/>
  <c r="E220" i="4"/>
  <c r="C220" i="4"/>
  <c r="N219" i="4"/>
  <c r="O219" i="4" s="1"/>
  <c r="P219" i="4" s="1"/>
  <c r="E219" i="4"/>
  <c r="N218" i="4"/>
  <c r="E218" i="4"/>
  <c r="C218" i="4"/>
  <c r="B218" i="4"/>
  <c r="N217" i="4"/>
  <c r="O217" i="4" s="1"/>
  <c r="E217" i="4"/>
  <c r="C217" i="4"/>
  <c r="N216" i="4"/>
  <c r="O216" i="4" s="1"/>
  <c r="P216" i="4" s="1"/>
  <c r="E216" i="4"/>
  <c r="B216" i="4"/>
  <c r="N215" i="4"/>
  <c r="O215" i="4" s="1"/>
  <c r="P215" i="4" s="1"/>
  <c r="E215" i="4"/>
  <c r="B215" i="4"/>
  <c r="N214" i="4"/>
  <c r="O214" i="4" s="1"/>
  <c r="P214" i="4" s="1"/>
  <c r="E214" i="4"/>
  <c r="C214" i="4"/>
  <c r="N213" i="4"/>
  <c r="O213" i="4" s="1"/>
  <c r="E213" i="4"/>
  <c r="N212" i="4"/>
  <c r="O212" i="4" s="1"/>
  <c r="P212" i="4" s="1"/>
  <c r="E212" i="4"/>
  <c r="N211" i="4"/>
  <c r="O211" i="4" s="1"/>
  <c r="P211" i="4" s="1"/>
  <c r="E211" i="4"/>
  <c r="C211" i="4"/>
  <c r="B211" i="4"/>
  <c r="N210" i="4"/>
  <c r="O210" i="4" s="1"/>
  <c r="P210" i="4" s="1"/>
  <c r="E210" i="4"/>
  <c r="B210" i="4"/>
  <c r="N209" i="4"/>
  <c r="E209" i="4"/>
  <c r="C209" i="4"/>
  <c r="B209" i="4"/>
  <c r="N208" i="4"/>
  <c r="O208" i="4" s="1"/>
  <c r="E208" i="4"/>
  <c r="C208" i="4"/>
  <c r="B208" i="4"/>
  <c r="N207" i="4"/>
  <c r="O207" i="4" s="1"/>
  <c r="P207" i="4" s="1"/>
  <c r="E207" i="4"/>
  <c r="C207" i="4"/>
  <c r="B207" i="4"/>
  <c r="N206" i="4"/>
  <c r="O206" i="4" s="1"/>
  <c r="P206" i="4" s="1"/>
  <c r="E206" i="4"/>
  <c r="N205" i="4"/>
  <c r="O205" i="4" s="1"/>
  <c r="E205" i="4"/>
  <c r="C205" i="4"/>
  <c r="N204" i="4"/>
  <c r="E204" i="4"/>
  <c r="C204" i="4"/>
  <c r="B204" i="4"/>
  <c r="N203" i="4"/>
  <c r="O203" i="4" s="1"/>
  <c r="E203" i="4"/>
  <c r="C203" i="4"/>
  <c r="B203" i="4"/>
  <c r="N202" i="4"/>
  <c r="O202" i="4" s="1"/>
  <c r="P202" i="4" s="1"/>
  <c r="E202" i="4"/>
  <c r="C202" i="4"/>
  <c r="B202" i="4"/>
  <c r="N201" i="4"/>
  <c r="O201" i="4" s="1"/>
  <c r="P201" i="4" s="1"/>
  <c r="E201" i="4"/>
  <c r="C201" i="4"/>
  <c r="B201" i="4"/>
  <c r="N200" i="4"/>
  <c r="O200" i="4" s="1"/>
  <c r="P200" i="4" s="1"/>
  <c r="E200" i="4"/>
  <c r="C200" i="4"/>
  <c r="B200" i="4"/>
  <c r="N199" i="4"/>
  <c r="E199" i="4"/>
  <c r="B199" i="4"/>
  <c r="N198" i="4"/>
  <c r="O198" i="4" s="1"/>
  <c r="P198" i="4" s="1"/>
  <c r="E198" i="4"/>
  <c r="C198" i="4"/>
  <c r="B198" i="4"/>
  <c r="N197" i="4"/>
  <c r="O197" i="4" s="1"/>
  <c r="P197" i="4" s="1"/>
  <c r="E197" i="4"/>
  <c r="C197" i="4"/>
  <c r="B197" i="4"/>
  <c r="N196" i="4"/>
  <c r="O196" i="4" s="1"/>
  <c r="E196" i="4"/>
  <c r="B196" i="4"/>
  <c r="N195" i="4"/>
  <c r="O195" i="4" s="1"/>
  <c r="E195" i="4"/>
  <c r="C195" i="4"/>
  <c r="N194" i="4"/>
  <c r="O194" i="4" s="1"/>
  <c r="P194" i="4" s="1"/>
  <c r="E194" i="4"/>
  <c r="C194" i="4"/>
  <c r="B194" i="4"/>
  <c r="N193" i="4"/>
  <c r="O193" i="4" s="1"/>
  <c r="P193" i="4" s="1"/>
  <c r="E193" i="4"/>
  <c r="C193" i="4"/>
  <c r="B193" i="4"/>
  <c r="N192" i="4"/>
  <c r="O192" i="4" s="1"/>
  <c r="P192" i="4" s="1"/>
  <c r="E192" i="4"/>
  <c r="C192" i="4"/>
  <c r="B192" i="4"/>
  <c r="N191" i="4"/>
  <c r="E191" i="4"/>
  <c r="B191" i="4"/>
  <c r="N190" i="4"/>
  <c r="E190" i="4"/>
  <c r="N189" i="4"/>
  <c r="O189" i="4" s="1"/>
  <c r="P189" i="4" s="1"/>
  <c r="E189" i="4"/>
  <c r="C189" i="4"/>
  <c r="B189" i="4"/>
  <c r="L189" i="4" s="1"/>
  <c r="N188" i="4"/>
  <c r="O188" i="4" s="1"/>
  <c r="E188" i="4"/>
  <c r="C188" i="4"/>
  <c r="N187" i="4"/>
  <c r="O187" i="4" s="1"/>
  <c r="E187" i="4"/>
  <c r="C187" i="4"/>
  <c r="B187" i="4"/>
  <c r="M187" i="4" s="1"/>
  <c r="N186" i="4"/>
  <c r="O186" i="4" s="1"/>
  <c r="P186" i="4" s="1"/>
  <c r="B186" i="4"/>
  <c r="N185" i="4"/>
  <c r="O185" i="4" s="1"/>
  <c r="P185" i="4" s="1"/>
  <c r="E185" i="4"/>
  <c r="C185" i="4"/>
  <c r="N184" i="4"/>
  <c r="O184" i="4" s="1"/>
  <c r="P184" i="4" s="1"/>
  <c r="E184" i="4"/>
  <c r="C184" i="4"/>
  <c r="B184" i="4"/>
  <c r="N183" i="4"/>
  <c r="E183" i="4"/>
  <c r="C183" i="4"/>
  <c r="N182" i="4"/>
  <c r="E182" i="4"/>
  <c r="C182" i="4"/>
  <c r="B182" i="4"/>
  <c r="N181" i="4"/>
  <c r="O181" i="4" s="1"/>
  <c r="P181" i="4" s="1"/>
  <c r="E181" i="4"/>
  <c r="C181" i="4"/>
  <c r="N180" i="4"/>
  <c r="E180" i="4"/>
  <c r="C180" i="4"/>
  <c r="B180" i="4"/>
  <c r="N179" i="4"/>
  <c r="O179" i="4" s="1"/>
  <c r="P179" i="4" s="1"/>
  <c r="E179" i="4"/>
  <c r="B179" i="4"/>
  <c r="N178" i="4"/>
  <c r="O178" i="4" s="1"/>
  <c r="P178" i="4" s="1"/>
  <c r="E178" i="4"/>
  <c r="C178" i="4"/>
  <c r="B178" i="4"/>
  <c r="N177" i="4"/>
  <c r="O177" i="4" s="1"/>
  <c r="P177" i="4" s="1"/>
  <c r="E177" i="4"/>
  <c r="C177" i="4"/>
  <c r="B177" i="4"/>
  <c r="N176" i="4"/>
  <c r="O176" i="4" s="1"/>
  <c r="P176" i="4" s="1"/>
  <c r="E176" i="4"/>
  <c r="N175" i="4"/>
  <c r="O175" i="4" s="1"/>
  <c r="P175" i="4" s="1"/>
  <c r="E175" i="4"/>
  <c r="B175" i="4"/>
  <c r="L175" i="4" s="1"/>
  <c r="N174" i="4"/>
  <c r="O174" i="4" s="1"/>
  <c r="P174" i="4" s="1"/>
  <c r="E174" i="4"/>
  <c r="C174" i="4"/>
  <c r="N173" i="4"/>
  <c r="O173" i="4" s="1"/>
  <c r="E173" i="4"/>
  <c r="B173" i="4"/>
  <c r="N172" i="4"/>
  <c r="E172" i="4"/>
  <c r="B172" i="4"/>
  <c r="N171" i="4"/>
  <c r="O171" i="4" s="1"/>
  <c r="E171" i="4"/>
  <c r="C171" i="4"/>
  <c r="B171" i="4"/>
  <c r="L171" i="4" s="1"/>
  <c r="N170" i="4"/>
  <c r="E170" i="4"/>
  <c r="B170" i="4"/>
  <c r="N169" i="4"/>
  <c r="E169" i="4"/>
  <c r="C169" i="4"/>
  <c r="B169" i="4"/>
  <c r="L169" i="4" s="1"/>
  <c r="N168" i="4"/>
  <c r="E168" i="4"/>
  <c r="C168" i="4"/>
  <c r="B168" i="4"/>
  <c r="N167" i="4"/>
  <c r="E167" i="4"/>
  <c r="C167" i="4"/>
  <c r="B167" i="4"/>
  <c r="M167" i="4" s="1"/>
  <c r="N166" i="4"/>
  <c r="E166" i="4"/>
  <c r="N165" i="4"/>
  <c r="O165" i="4" s="1"/>
  <c r="E165" i="4"/>
  <c r="C165" i="4"/>
  <c r="B165" i="4"/>
  <c r="N164" i="4"/>
  <c r="E164" i="4"/>
  <c r="C164" i="4"/>
  <c r="B164" i="4"/>
  <c r="N163" i="4"/>
  <c r="O163" i="4" s="1"/>
  <c r="E163" i="4"/>
  <c r="C163" i="4"/>
  <c r="B163" i="4"/>
  <c r="N162" i="4"/>
  <c r="E162" i="4"/>
  <c r="C162" i="4"/>
  <c r="B162" i="4"/>
  <c r="N161" i="4"/>
  <c r="E161" i="4"/>
  <c r="C161" i="4"/>
  <c r="B161" i="4"/>
  <c r="N160" i="4"/>
  <c r="E160" i="4"/>
  <c r="C160" i="4"/>
  <c r="B160" i="4"/>
  <c r="N159" i="4"/>
  <c r="E159" i="4"/>
  <c r="B159" i="4"/>
  <c r="L159" i="4" s="1"/>
  <c r="N158" i="4"/>
  <c r="E158" i="4"/>
  <c r="C158" i="4"/>
  <c r="B158" i="4"/>
  <c r="N157" i="4"/>
  <c r="O157" i="4" s="1"/>
  <c r="E157" i="4"/>
  <c r="C157" i="4"/>
  <c r="B157" i="4"/>
  <c r="N156" i="4"/>
  <c r="E156" i="4"/>
  <c r="B156" i="4"/>
  <c r="M156" i="4" s="1"/>
  <c r="N155" i="4"/>
  <c r="O155" i="4" s="1"/>
  <c r="E155" i="4"/>
  <c r="C155" i="4"/>
  <c r="B155" i="4"/>
  <c r="N154" i="4"/>
  <c r="O154" i="4" s="1"/>
  <c r="E154" i="4"/>
  <c r="C154" i="4"/>
  <c r="B154" i="4"/>
  <c r="M154" i="4" s="1"/>
  <c r="N153" i="4"/>
  <c r="O153" i="4" s="1"/>
  <c r="E153" i="4"/>
  <c r="C153" i="4"/>
  <c r="B153" i="4"/>
  <c r="N152" i="4"/>
  <c r="O152" i="4" s="1"/>
  <c r="E152" i="4"/>
  <c r="C152" i="4"/>
  <c r="B152" i="4"/>
  <c r="M152" i="4" s="1"/>
  <c r="N151" i="4"/>
  <c r="E151" i="4"/>
  <c r="B151" i="4"/>
  <c r="N150" i="4"/>
  <c r="E150" i="4"/>
  <c r="B150" i="4"/>
  <c r="M150" i="4" s="1"/>
  <c r="N149" i="4"/>
  <c r="O149" i="4" s="1"/>
  <c r="E149" i="4"/>
  <c r="C149" i="4"/>
  <c r="B149" i="4"/>
  <c r="N148" i="4"/>
  <c r="O148" i="4" s="1"/>
  <c r="E148" i="4"/>
  <c r="C148" i="4"/>
  <c r="B148" i="4"/>
  <c r="N147" i="4"/>
  <c r="O147" i="4" s="1"/>
  <c r="E147" i="4"/>
  <c r="C147" i="4"/>
  <c r="B147" i="4"/>
  <c r="N146" i="4"/>
  <c r="O146" i="4" s="1"/>
  <c r="N145" i="4"/>
  <c r="E145" i="4"/>
  <c r="C145" i="4"/>
  <c r="N144" i="4"/>
  <c r="O144" i="4" s="1"/>
  <c r="E144" i="4"/>
  <c r="C144" i="4"/>
  <c r="B144" i="4"/>
  <c r="N143" i="4"/>
  <c r="E143" i="4"/>
  <c r="C143" i="4"/>
  <c r="B143" i="4"/>
  <c r="N142" i="4"/>
  <c r="E142" i="4"/>
  <c r="C142" i="4"/>
  <c r="B142" i="4"/>
  <c r="N141" i="4"/>
  <c r="E141" i="4"/>
  <c r="C141" i="4"/>
  <c r="B141" i="4"/>
  <c r="N140" i="4"/>
  <c r="O140" i="4" s="1"/>
  <c r="E140" i="4"/>
  <c r="C140" i="4"/>
  <c r="N139" i="4"/>
  <c r="E139" i="4"/>
  <c r="B139" i="4"/>
  <c r="N138" i="4"/>
  <c r="O138" i="4" s="1"/>
  <c r="E138" i="4"/>
  <c r="B138" i="4"/>
  <c r="N137" i="4"/>
  <c r="E137" i="4"/>
  <c r="C137" i="4"/>
  <c r="N136" i="4"/>
  <c r="O136" i="4" s="1"/>
  <c r="E136" i="4"/>
  <c r="N135" i="4"/>
  <c r="E135" i="4"/>
  <c r="B135" i="4"/>
  <c r="N134" i="4"/>
  <c r="E134" i="4"/>
  <c r="C134" i="4"/>
  <c r="B134" i="4"/>
  <c r="N133" i="4"/>
  <c r="E133" i="4"/>
  <c r="B133" i="4"/>
  <c r="N132" i="4"/>
  <c r="O132" i="4" s="1"/>
  <c r="E132" i="4"/>
  <c r="C132" i="4"/>
  <c r="B132" i="4"/>
  <c r="N131" i="4"/>
  <c r="O131" i="4" s="1"/>
  <c r="E131" i="4"/>
  <c r="C131" i="4"/>
  <c r="B131" i="4"/>
  <c r="N130" i="4"/>
  <c r="O130" i="4" s="1"/>
  <c r="E130" i="4"/>
  <c r="C130" i="4"/>
  <c r="B130" i="4"/>
  <c r="N129" i="4"/>
  <c r="E129" i="4"/>
  <c r="C129" i="4"/>
  <c r="B129" i="4"/>
  <c r="N128" i="4"/>
  <c r="O128" i="4" s="1"/>
  <c r="E128" i="4"/>
  <c r="C128" i="4"/>
  <c r="B128" i="4"/>
  <c r="N127" i="4"/>
  <c r="E127" i="4"/>
  <c r="C127" i="4"/>
  <c r="B127" i="4"/>
  <c r="N126" i="4"/>
  <c r="E126" i="4"/>
  <c r="B126" i="4"/>
  <c r="N125" i="4"/>
  <c r="O125" i="4" s="1"/>
  <c r="E125" i="4"/>
  <c r="C125" i="4"/>
  <c r="B125" i="4"/>
  <c r="N124" i="4"/>
  <c r="O124" i="4" s="1"/>
  <c r="E124" i="4"/>
  <c r="C124" i="4"/>
  <c r="B124" i="4"/>
  <c r="N123" i="4"/>
  <c r="O123" i="4" s="1"/>
  <c r="E123" i="4"/>
  <c r="C123" i="4"/>
  <c r="B123" i="4"/>
  <c r="N122" i="4"/>
  <c r="O122" i="4" s="1"/>
  <c r="E122" i="4"/>
  <c r="C122" i="4"/>
  <c r="B122" i="4"/>
  <c r="N121" i="4"/>
  <c r="E121" i="4"/>
  <c r="C121" i="4"/>
  <c r="B121" i="4"/>
  <c r="N120" i="4"/>
  <c r="O120" i="4" s="1"/>
  <c r="E120" i="4"/>
  <c r="C120" i="4"/>
  <c r="B120" i="4"/>
  <c r="N119" i="4"/>
  <c r="E119" i="4"/>
  <c r="B119" i="4"/>
  <c r="N118" i="4"/>
  <c r="E118" i="4"/>
  <c r="C118" i="4"/>
  <c r="B118" i="4"/>
  <c r="N117" i="4"/>
  <c r="O117" i="4" s="1"/>
  <c r="E117" i="4"/>
  <c r="C117" i="4"/>
  <c r="B117" i="4"/>
  <c r="N116" i="4"/>
  <c r="E116" i="4"/>
  <c r="B116" i="4"/>
  <c r="N115" i="4"/>
  <c r="O115" i="4" s="1"/>
  <c r="E115" i="4"/>
  <c r="B115" i="4"/>
  <c r="L115" i="4" s="1"/>
  <c r="N114" i="4"/>
  <c r="O114" i="4" s="1"/>
  <c r="E114" i="4"/>
  <c r="C114" i="4"/>
  <c r="B114" i="4"/>
  <c r="N113" i="4"/>
  <c r="O113" i="4" s="1"/>
  <c r="E113" i="4"/>
  <c r="C113" i="4"/>
  <c r="B113" i="4"/>
  <c r="N112" i="4"/>
  <c r="O112" i="4" s="1"/>
  <c r="E112" i="4"/>
  <c r="C112" i="4"/>
  <c r="B112" i="4"/>
  <c r="N111" i="4"/>
  <c r="E111" i="4"/>
  <c r="C111" i="4"/>
  <c r="B111" i="4"/>
  <c r="N110" i="4"/>
  <c r="E110" i="4"/>
  <c r="C110" i="4"/>
  <c r="B110" i="4"/>
  <c r="N109" i="4"/>
  <c r="O109" i="4" s="1"/>
  <c r="E109" i="4"/>
  <c r="C109" i="4"/>
  <c r="B109" i="4"/>
  <c r="N108" i="4"/>
  <c r="E108" i="4"/>
  <c r="C108" i="4"/>
  <c r="B108" i="4"/>
  <c r="N107" i="4"/>
  <c r="O107" i="4" s="1"/>
  <c r="E107" i="4"/>
  <c r="C107" i="4"/>
  <c r="B107" i="4"/>
  <c r="N106" i="4"/>
  <c r="O106" i="4" s="1"/>
  <c r="B106" i="4"/>
  <c r="N105" i="4"/>
  <c r="O105" i="4" s="1"/>
  <c r="E105" i="4"/>
  <c r="C105" i="4"/>
  <c r="B105" i="4"/>
  <c r="N104" i="4"/>
  <c r="O104" i="4" s="1"/>
  <c r="E104" i="4"/>
  <c r="C104" i="4"/>
  <c r="B104" i="4"/>
  <c r="N103" i="4"/>
  <c r="E103" i="4"/>
  <c r="C103" i="4"/>
  <c r="B103" i="4"/>
  <c r="N102" i="4"/>
  <c r="E102" i="4"/>
  <c r="C102" i="4"/>
  <c r="B102" i="4"/>
  <c r="N101" i="4"/>
  <c r="O101" i="4" s="1"/>
  <c r="E101" i="4"/>
  <c r="C101" i="4"/>
  <c r="B101" i="4"/>
  <c r="N100" i="4"/>
  <c r="O100" i="4" s="1"/>
  <c r="E100" i="4"/>
  <c r="C100" i="4"/>
  <c r="B100" i="4"/>
  <c r="N99" i="4"/>
  <c r="O99" i="4" s="1"/>
  <c r="E99" i="4"/>
  <c r="B99" i="4"/>
  <c r="N98" i="4"/>
  <c r="O98" i="4" s="1"/>
  <c r="E98" i="4"/>
  <c r="C98" i="4"/>
  <c r="B98" i="4"/>
  <c r="N97" i="4"/>
  <c r="E97" i="4"/>
  <c r="C97" i="4"/>
  <c r="B97" i="4"/>
  <c r="N96" i="4"/>
  <c r="O96" i="4" s="1"/>
  <c r="E96" i="4"/>
  <c r="N95" i="4"/>
  <c r="E95" i="4"/>
  <c r="B95" i="4"/>
  <c r="N94" i="4"/>
  <c r="E94" i="4"/>
  <c r="C94" i="4"/>
  <c r="B94" i="4"/>
  <c r="N93" i="4"/>
  <c r="E93" i="4"/>
  <c r="B93" i="4"/>
  <c r="N92" i="4"/>
  <c r="O92" i="4" s="1"/>
  <c r="E92" i="4"/>
  <c r="B92" i="4"/>
  <c r="N91" i="4"/>
  <c r="E91" i="4"/>
  <c r="C91" i="4"/>
  <c r="B91" i="4"/>
  <c r="N90" i="4"/>
  <c r="O90" i="4" s="1"/>
  <c r="E90" i="4"/>
  <c r="C90" i="4"/>
  <c r="B90" i="4"/>
  <c r="N89" i="4"/>
  <c r="E89" i="4"/>
  <c r="C89" i="4"/>
  <c r="B89" i="4"/>
  <c r="N88" i="4"/>
  <c r="O88" i="4" s="1"/>
  <c r="E88" i="4"/>
  <c r="C88" i="4"/>
  <c r="B88" i="4"/>
  <c r="N87" i="4"/>
  <c r="E87" i="4"/>
  <c r="C87" i="4"/>
  <c r="B87" i="4"/>
  <c r="N86" i="4"/>
  <c r="O86" i="4" s="1"/>
  <c r="E86" i="4"/>
  <c r="N85" i="4"/>
  <c r="O85" i="4" s="1"/>
  <c r="E85" i="4"/>
  <c r="C85" i="4"/>
  <c r="B85" i="4"/>
  <c r="N84" i="4"/>
  <c r="O84" i="4" s="1"/>
  <c r="E84" i="4"/>
  <c r="C84" i="4"/>
  <c r="B84" i="4"/>
  <c r="N83" i="4"/>
  <c r="O83" i="4" s="1"/>
  <c r="E83" i="4"/>
  <c r="C83" i="4"/>
  <c r="B83" i="4"/>
  <c r="M83" i="4" s="1"/>
  <c r="N82" i="4"/>
  <c r="O82" i="4" s="1"/>
  <c r="E82" i="4"/>
  <c r="C82" i="4"/>
  <c r="B82" i="4"/>
  <c r="N81" i="4"/>
  <c r="E81" i="4"/>
  <c r="C81" i="4"/>
  <c r="B81" i="4"/>
  <c r="N80" i="4"/>
  <c r="O80" i="4" s="1"/>
  <c r="E80" i="4"/>
  <c r="C80" i="4"/>
  <c r="B80" i="4"/>
  <c r="N79" i="4"/>
  <c r="E79" i="4"/>
  <c r="B79" i="4"/>
  <c r="N78" i="4"/>
  <c r="E78" i="4"/>
  <c r="C78" i="4"/>
  <c r="B78" i="4"/>
  <c r="N77" i="4"/>
  <c r="O77" i="4" s="1"/>
  <c r="E77" i="4"/>
  <c r="C77" i="4"/>
  <c r="B77" i="4"/>
  <c r="N76" i="4"/>
  <c r="E76" i="4"/>
  <c r="B76" i="4"/>
  <c r="N75" i="4"/>
  <c r="O75" i="4" s="1"/>
  <c r="E75" i="4"/>
  <c r="B75" i="4"/>
  <c r="N74" i="4"/>
  <c r="E74" i="4"/>
  <c r="C74" i="4"/>
  <c r="B74" i="4"/>
  <c r="N73" i="4"/>
  <c r="O73" i="4" s="1"/>
  <c r="E73" i="4"/>
  <c r="C73" i="4"/>
  <c r="B73" i="4"/>
  <c r="N72" i="4"/>
  <c r="E72" i="4"/>
  <c r="C72" i="4"/>
  <c r="B72" i="4"/>
  <c r="N71" i="4"/>
  <c r="E71" i="4"/>
  <c r="B71" i="4"/>
  <c r="N70" i="4"/>
  <c r="E70" i="4"/>
  <c r="C70" i="4"/>
  <c r="B70" i="4"/>
  <c r="N69" i="4"/>
  <c r="O69" i="4" s="1"/>
  <c r="E69" i="4"/>
  <c r="C69" i="4"/>
  <c r="B69" i="4"/>
  <c r="N68" i="4"/>
  <c r="E68" i="4"/>
  <c r="C68" i="4"/>
  <c r="B68" i="4"/>
  <c r="N67" i="4"/>
  <c r="O67" i="4" s="1"/>
  <c r="E67" i="4"/>
  <c r="C67" i="4"/>
  <c r="B67" i="4"/>
  <c r="N66" i="4"/>
  <c r="B66" i="4"/>
  <c r="N65" i="4"/>
  <c r="O65" i="4" s="1"/>
  <c r="E65" i="4"/>
  <c r="C65" i="4"/>
  <c r="B65" i="4"/>
  <c r="N64" i="4"/>
  <c r="E64" i="4"/>
  <c r="C64" i="4"/>
  <c r="B64" i="4"/>
  <c r="N63" i="4"/>
  <c r="E63" i="4"/>
  <c r="C63" i="4"/>
  <c r="N62" i="4"/>
  <c r="E62" i="4"/>
  <c r="C62" i="4"/>
  <c r="B62" i="4"/>
  <c r="N61" i="4"/>
  <c r="O61" i="4" s="1"/>
  <c r="E61" i="4"/>
  <c r="C61" i="4"/>
  <c r="B61" i="4"/>
  <c r="N60" i="4"/>
  <c r="O60" i="4" s="1"/>
  <c r="E60" i="4"/>
  <c r="C60" i="4"/>
  <c r="B60" i="4"/>
  <c r="N59" i="4"/>
  <c r="O59" i="4" s="1"/>
  <c r="E59" i="4"/>
  <c r="B59" i="4"/>
  <c r="N58" i="4"/>
  <c r="E58" i="4"/>
  <c r="B58" i="4"/>
  <c r="N57" i="4"/>
  <c r="E57" i="4"/>
  <c r="C57" i="4"/>
  <c r="B57" i="4"/>
  <c r="N56" i="4"/>
  <c r="E56" i="4"/>
  <c r="N55" i="4"/>
  <c r="E55" i="4"/>
  <c r="B55" i="4"/>
  <c r="N54" i="4"/>
  <c r="E54" i="4"/>
  <c r="C54" i="4"/>
  <c r="N53" i="4"/>
  <c r="E53" i="4"/>
  <c r="C53" i="4"/>
  <c r="B53" i="4"/>
  <c r="N52" i="4"/>
  <c r="O52" i="4" s="1"/>
  <c r="E52" i="4"/>
  <c r="N51" i="4"/>
  <c r="O51" i="4" s="1"/>
  <c r="E51" i="4"/>
  <c r="C51" i="4"/>
  <c r="B51" i="4"/>
  <c r="N50" i="4"/>
  <c r="O50" i="4" s="1"/>
  <c r="E50" i="4"/>
  <c r="C50" i="4"/>
  <c r="N49" i="4"/>
  <c r="E49" i="4"/>
  <c r="C49" i="4"/>
  <c r="B49" i="4"/>
  <c r="N48" i="4"/>
  <c r="O48" i="4" s="1"/>
  <c r="E48" i="4"/>
  <c r="C48" i="4"/>
  <c r="B48" i="4"/>
  <c r="N47" i="4"/>
  <c r="E47" i="4"/>
  <c r="C47" i="4"/>
  <c r="B47" i="4"/>
  <c r="N46" i="4"/>
  <c r="E46" i="4"/>
  <c r="C46" i="4"/>
  <c r="N45" i="4"/>
  <c r="O45" i="4" s="1"/>
  <c r="E45" i="4"/>
  <c r="C45" i="4"/>
  <c r="B45" i="4"/>
  <c r="N44" i="4"/>
  <c r="O44" i="4" s="1"/>
  <c r="E44" i="4"/>
  <c r="C44" i="4"/>
  <c r="B44" i="4"/>
  <c r="N43" i="4"/>
  <c r="O43" i="4" s="1"/>
  <c r="E43" i="4"/>
  <c r="C43" i="4"/>
  <c r="B43" i="4"/>
  <c r="N42" i="4"/>
  <c r="O42" i="4" s="1"/>
  <c r="E42" i="4"/>
  <c r="C42" i="4"/>
  <c r="B42" i="4"/>
  <c r="N41" i="4"/>
  <c r="O41" i="4" s="1"/>
  <c r="E41" i="4"/>
  <c r="C41" i="4"/>
  <c r="B41" i="4"/>
  <c r="N40" i="4"/>
  <c r="O40" i="4" s="1"/>
  <c r="E40" i="4"/>
  <c r="C40" i="4"/>
  <c r="B40" i="4"/>
  <c r="N39" i="4"/>
  <c r="O39" i="4" s="1"/>
  <c r="E39" i="4"/>
  <c r="C39" i="4"/>
  <c r="B39" i="4"/>
  <c r="N38" i="4"/>
  <c r="O38" i="4" s="1"/>
  <c r="E38" i="4"/>
  <c r="C38" i="4"/>
  <c r="B38" i="4"/>
  <c r="N37" i="4"/>
  <c r="E37" i="4"/>
  <c r="C37" i="4"/>
  <c r="B37" i="4"/>
  <c r="N36" i="4"/>
  <c r="O36" i="4" s="1"/>
  <c r="E36" i="4"/>
  <c r="C36" i="4"/>
  <c r="B36" i="4"/>
  <c r="N35" i="4"/>
  <c r="O35" i="4" s="1"/>
  <c r="E35" i="4"/>
  <c r="B35" i="4"/>
  <c r="N34" i="4"/>
  <c r="O34" i="4" s="1"/>
  <c r="E34" i="4"/>
  <c r="C34" i="4"/>
  <c r="B34" i="4"/>
  <c r="N33" i="4"/>
  <c r="O33" i="4" s="1"/>
  <c r="E33" i="4"/>
  <c r="C33" i="4"/>
  <c r="B33" i="4"/>
  <c r="N32" i="4"/>
  <c r="O32" i="4" s="1"/>
  <c r="E32" i="4"/>
  <c r="C32" i="4"/>
  <c r="B32" i="4"/>
  <c r="N31" i="4"/>
  <c r="O31" i="4" s="1"/>
  <c r="E31" i="4"/>
  <c r="B31" i="4"/>
  <c r="N30" i="4"/>
  <c r="O30" i="4" s="1"/>
  <c r="E30" i="4"/>
  <c r="C30" i="4"/>
  <c r="B30" i="4"/>
  <c r="N29" i="4"/>
  <c r="O29" i="4" s="1"/>
  <c r="E29" i="4"/>
  <c r="C29" i="4"/>
  <c r="B29" i="4"/>
  <c r="N28" i="4"/>
  <c r="O28" i="4" s="1"/>
  <c r="E28" i="4"/>
  <c r="C28" i="4"/>
  <c r="B28" i="4"/>
  <c r="N27" i="4"/>
  <c r="O27" i="4" s="1"/>
  <c r="E27" i="4"/>
  <c r="B27" i="4"/>
  <c r="N26" i="4"/>
  <c r="O26" i="4" s="1"/>
  <c r="B26" i="4"/>
  <c r="N25" i="4"/>
  <c r="O25" i="4" s="1"/>
  <c r="E25" i="4"/>
  <c r="C25" i="4"/>
  <c r="N24" i="4"/>
  <c r="O24" i="4" s="1"/>
  <c r="E24" i="4"/>
  <c r="C24" i="4"/>
  <c r="B24" i="4"/>
  <c r="N23" i="4"/>
  <c r="O23" i="4" s="1"/>
  <c r="E23" i="4"/>
  <c r="C23" i="4"/>
  <c r="B23" i="4"/>
  <c r="N22" i="4"/>
  <c r="O22" i="4" s="1"/>
  <c r="E22" i="4"/>
  <c r="C22" i="4"/>
  <c r="B22" i="4"/>
  <c r="N21" i="4"/>
  <c r="O21" i="4" s="1"/>
  <c r="E21" i="4"/>
  <c r="C21" i="4"/>
  <c r="B21" i="4"/>
  <c r="N20" i="4"/>
  <c r="E20" i="4"/>
  <c r="C20" i="4"/>
  <c r="B20" i="4"/>
  <c r="N19" i="4"/>
  <c r="O19" i="4" s="1"/>
  <c r="E19" i="4"/>
  <c r="B19" i="4"/>
  <c r="N18" i="4"/>
  <c r="O18" i="4" s="1"/>
  <c r="E18" i="4"/>
  <c r="C18" i="4"/>
  <c r="B18" i="4"/>
  <c r="N17" i="4"/>
  <c r="O17" i="4" s="1"/>
  <c r="E17" i="4"/>
  <c r="C17" i="4"/>
  <c r="B17" i="4"/>
  <c r="N16" i="4"/>
  <c r="O16" i="4" s="1"/>
  <c r="E16" i="4"/>
  <c r="B16" i="4"/>
  <c r="N15" i="4"/>
  <c r="O15" i="4" s="1"/>
  <c r="E15" i="4"/>
  <c r="B15" i="4"/>
  <c r="N14" i="4"/>
  <c r="O14" i="4" s="1"/>
  <c r="E14" i="4"/>
  <c r="C14" i="4"/>
  <c r="B14" i="4"/>
  <c r="N13" i="4"/>
  <c r="E13" i="4"/>
  <c r="B13" i="4"/>
  <c r="N12" i="4"/>
  <c r="O12" i="4" s="1"/>
  <c r="E12" i="4"/>
  <c r="B12" i="4"/>
  <c r="N11" i="4"/>
  <c r="O11" i="4" s="1"/>
  <c r="E11" i="4"/>
  <c r="C11" i="4"/>
  <c r="B11" i="4"/>
  <c r="N10" i="4"/>
  <c r="O10" i="4" s="1"/>
  <c r="E10" i="4"/>
  <c r="C10" i="4"/>
  <c r="B10" i="4"/>
  <c r="N9" i="4"/>
  <c r="E9" i="4"/>
  <c r="C9" i="4"/>
  <c r="B9" i="4"/>
  <c r="N8" i="4"/>
  <c r="E8" i="4"/>
  <c r="C8" i="4"/>
  <c r="B8" i="4"/>
  <c r="N7" i="4"/>
  <c r="O7" i="4" s="1"/>
  <c r="E7" i="4"/>
  <c r="C7" i="4"/>
  <c r="B7" i="4"/>
  <c r="N6" i="4"/>
  <c r="E6" i="4"/>
  <c r="B6" i="4"/>
  <c r="N5" i="4"/>
  <c r="O5" i="4" s="1"/>
  <c r="E5" i="4"/>
  <c r="C5" i="4"/>
  <c r="B5" i="4"/>
  <c r="L81" i="4" l="1"/>
  <c r="M35" i="4"/>
  <c r="L75" i="4"/>
  <c r="M66" i="4"/>
  <c r="M64" i="4"/>
  <c r="M62" i="4"/>
  <c r="M60" i="4"/>
  <c r="E26" i="3"/>
  <c r="M19" i="4"/>
  <c r="L16" i="4"/>
  <c r="C458" i="4"/>
  <c r="C299" i="4"/>
  <c r="C499" i="4"/>
  <c r="C415" i="4"/>
  <c r="C135" i="4"/>
  <c r="C379" i="4"/>
  <c r="C58" i="4"/>
  <c r="C138" i="4"/>
  <c r="C615" i="4"/>
  <c r="C12" i="4"/>
  <c r="C210" i="4"/>
  <c r="C292" i="4"/>
  <c r="C52" i="4"/>
  <c r="C252" i="4"/>
  <c r="C92" i="4"/>
  <c r="C212" i="4"/>
  <c r="C372" i="4"/>
  <c r="C333" i="4"/>
  <c r="C173" i="4"/>
  <c r="C13" i="4"/>
  <c r="C413" i="4"/>
  <c r="C453" i="4"/>
  <c r="C533" i="4"/>
  <c r="C93" i="4"/>
  <c r="C133" i="4"/>
  <c r="C213" i="4"/>
  <c r="C71" i="4"/>
  <c r="C151" i="4"/>
  <c r="C511" i="4"/>
  <c r="C31" i="4"/>
  <c r="C231" i="4"/>
  <c r="C431" i="4"/>
  <c r="C311" i="4"/>
  <c r="C351" i="4"/>
  <c r="C391" i="4"/>
  <c r="C373" i="4"/>
  <c r="C411" i="4"/>
  <c r="C493" i="4"/>
  <c r="C531" i="4"/>
  <c r="L101" i="4"/>
  <c r="M122" i="4"/>
  <c r="M148" i="4"/>
  <c r="L607" i="4"/>
  <c r="M609" i="4"/>
  <c r="P35" i="6"/>
  <c r="H34" i="6"/>
  <c r="K33" i="6"/>
  <c r="E12" i="11"/>
  <c r="F17" i="11"/>
  <c r="E13" i="13"/>
  <c r="C23" i="13"/>
  <c r="L105" i="4"/>
  <c r="M120" i="4"/>
  <c r="M124" i="4"/>
  <c r="B46" i="4"/>
  <c r="B50" i="4"/>
  <c r="M50" i="4" s="1"/>
  <c r="B52" i="4"/>
  <c r="B54" i="4"/>
  <c r="M54" i="4" s="1"/>
  <c r="M61" i="4"/>
  <c r="B63" i="4"/>
  <c r="M65" i="4"/>
  <c r="L80" i="4"/>
  <c r="M82" i="4"/>
  <c r="M84" i="4"/>
  <c r="B86" i="4"/>
  <c r="B137" i="4"/>
  <c r="L137" i="4" s="1"/>
  <c r="B174" i="4"/>
  <c r="L174" i="4" s="1"/>
  <c r="B188" i="4"/>
  <c r="C190" i="4"/>
  <c r="B214" i="4"/>
  <c r="B260" i="4"/>
  <c r="B354" i="4"/>
  <c r="B394" i="4"/>
  <c r="B474" i="4"/>
  <c r="B508" i="4"/>
  <c r="C510" i="4"/>
  <c r="B583" i="4"/>
  <c r="O35" i="6"/>
  <c r="R34" i="6"/>
  <c r="G34" i="6"/>
  <c r="J33" i="6"/>
  <c r="F25" i="10"/>
  <c r="L103" i="4"/>
  <c r="B330" i="4"/>
  <c r="B410" i="4"/>
  <c r="B426" i="4"/>
  <c r="B477" i="4"/>
  <c r="B536" i="4"/>
  <c r="B589" i="4"/>
  <c r="B629" i="4"/>
  <c r="M35" i="6"/>
  <c r="Q34" i="6"/>
  <c r="F34" i="6"/>
  <c r="I33" i="6"/>
  <c r="L153" i="4"/>
  <c r="M151" i="4"/>
  <c r="L155" i="4"/>
  <c r="M100" i="4"/>
  <c r="M102" i="4"/>
  <c r="M104" i="4"/>
  <c r="M106" i="4"/>
  <c r="L121" i="4"/>
  <c r="L123" i="4"/>
  <c r="M147" i="4"/>
  <c r="L149" i="4"/>
  <c r="B220" i="4"/>
  <c r="B226" i="4"/>
  <c r="C258" i="4"/>
  <c r="B357" i="4"/>
  <c r="B386" i="4"/>
  <c r="B388" i="4"/>
  <c r="B390" i="4"/>
  <c r="C451" i="4"/>
  <c r="B468" i="4"/>
  <c r="B470" i="4"/>
  <c r="C491" i="4"/>
  <c r="B548" i="4"/>
  <c r="B557" i="4"/>
  <c r="B614" i="4"/>
  <c r="I35" i="6"/>
  <c r="O34" i="6"/>
  <c r="R33" i="6"/>
  <c r="G33" i="6"/>
  <c r="C576" i="4"/>
  <c r="M136" i="4"/>
  <c r="E12" i="13"/>
  <c r="M179" i="4"/>
  <c r="B405" i="4"/>
  <c r="B325" i="4"/>
  <c r="B285" i="4"/>
  <c r="B205" i="4"/>
  <c r="M55" i="13" a="1"/>
  <c r="D55" i="13" s="1" a="1"/>
  <c r="M44" i="13" a="1"/>
  <c r="D44" i="13" s="1" a="1"/>
  <c r="M33" i="13" a="1"/>
  <c r="C33" i="13" s="1" a="1"/>
  <c r="M45" i="11" a="1"/>
  <c r="M35" i="11" a="1"/>
  <c r="B35" i="11" s="1" a="1"/>
  <c r="M29" i="11" a="1"/>
  <c r="M64" i="13" a="1"/>
  <c r="D64" i="13" s="1" a="1"/>
  <c r="M54" i="13" a="1"/>
  <c r="M43" i="13" a="1"/>
  <c r="D43" i="13" s="1" a="1"/>
  <c r="M31" i="13" a="1"/>
  <c r="D31" i="13" s="1" a="1"/>
  <c r="M42" i="13" a="1"/>
  <c r="M29" i="13" a="1"/>
  <c r="M64" i="11" a="1"/>
  <c r="M52" i="11" a="1"/>
  <c r="M44" i="11" a="1"/>
  <c r="D44" i="11" s="1" a="1"/>
  <c r="M39" i="11" a="1"/>
  <c r="B39" i="11" s="1" a="1"/>
  <c r="M34" i="11" a="1"/>
  <c r="M62" i="13" a="1"/>
  <c r="B62" i="13" s="1" a="1"/>
  <c r="G62" i="13" s="1"/>
  <c r="M51" i="13" a="1"/>
  <c r="D51" i="13" s="1" a="1"/>
  <c r="M40" i="13" a="1"/>
  <c r="D40" i="13" s="1" a="1"/>
  <c r="M60" i="13" a="1"/>
  <c r="D60" i="13" s="1" a="1"/>
  <c r="M50" i="13" a="1"/>
  <c r="M39" i="13" a="1"/>
  <c r="B39" i="13" s="1" a="1"/>
  <c r="M48" i="11" a="1"/>
  <c r="C450" i="4"/>
  <c r="C170" i="4"/>
  <c r="M47" i="13" a="1"/>
  <c r="D47" i="13" s="1" a="1"/>
  <c r="M37" i="13" a="1"/>
  <c r="M56" i="13" a="1"/>
  <c r="M46" i="13" a="1"/>
  <c r="M35" i="13" a="1"/>
  <c r="C35" i="13" s="1" a="1"/>
  <c r="M57" i="11" a="1"/>
  <c r="M53" i="11" a="1"/>
  <c r="D53" i="11" s="1" a="1"/>
  <c r="B615" i="4"/>
  <c r="B335" i="4"/>
  <c r="B539" i="4"/>
  <c r="B419" i="4"/>
  <c r="B219" i="4"/>
  <c r="J35" i="5"/>
  <c r="M33" i="11" a="1"/>
  <c r="B33" i="11" s="1" a="1"/>
  <c r="M66" i="11" a="1"/>
  <c r="B66" i="11" s="1" a="1"/>
  <c r="M86" i="4"/>
  <c r="M126" i="4"/>
  <c r="M59" i="4"/>
  <c r="L99" i="4"/>
  <c r="B145" i="4"/>
  <c r="L197" i="4"/>
  <c r="C250" i="4"/>
  <c r="B259" i="4"/>
  <c r="B265" i="4"/>
  <c r="B292" i="4"/>
  <c r="C296" i="4"/>
  <c r="B346" i="4"/>
  <c r="B380" i="4"/>
  <c r="B398" i="4"/>
  <c r="C430" i="4"/>
  <c r="B455" i="4"/>
  <c r="B466" i="4"/>
  <c r="C470" i="4"/>
  <c r="B485" i="4"/>
  <c r="C496" i="4"/>
  <c r="C550" i="4"/>
  <c r="B576" i="4"/>
  <c r="B620" i="4"/>
  <c r="E10" i="11"/>
  <c r="F23" i="11"/>
  <c r="C23" i="11"/>
  <c r="M60" i="11" a="1"/>
  <c r="B366" i="4"/>
  <c r="B166" i="4"/>
  <c r="C571" i="4"/>
  <c r="C291" i="4"/>
  <c r="C251" i="4"/>
  <c r="B585" i="4"/>
  <c r="B185" i="4"/>
  <c r="B510" i="4"/>
  <c r="B590" i="4"/>
  <c r="K36" i="5"/>
  <c r="I34" i="5"/>
  <c r="R34" i="5"/>
  <c r="M36" i="11" a="1"/>
  <c r="B36" i="11" s="1" a="1"/>
  <c r="M46" i="11" a="1"/>
  <c r="B492" i="4"/>
  <c r="B372" i="4"/>
  <c r="B475" i="4"/>
  <c r="B275" i="4"/>
  <c r="B195" i="4"/>
  <c r="M68" i="11" a="1"/>
  <c r="F14" i="11"/>
  <c r="M38" i="11" a="1"/>
  <c r="C38" i="11" s="1" a="1"/>
  <c r="M50" i="11" a="1"/>
  <c r="C331" i="4"/>
  <c r="B336" i="4"/>
  <c r="C390" i="4"/>
  <c r="B456" i="4"/>
  <c r="B473" i="4"/>
  <c r="C490" i="4"/>
  <c r="B499" i="4"/>
  <c r="C536" i="4"/>
  <c r="B572" i="4"/>
  <c r="C590" i="4"/>
  <c r="M601" i="4"/>
  <c r="L608" i="4"/>
  <c r="C572" i="4"/>
  <c r="C172" i="4"/>
  <c r="B617" i="4"/>
  <c r="B217" i="4"/>
  <c r="M181" i="4"/>
  <c r="B6" i="11"/>
  <c r="E14" i="11"/>
  <c r="M12" i="4"/>
  <c r="M58" i="4"/>
  <c r="M77" i="4"/>
  <c r="M79" i="4"/>
  <c r="M98" i="4"/>
  <c r="L117" i="4"/>
  <c r="L119" i="4"/>
  <c r="B140" i="4"/>
  <c r="M142" i="4"/>
  <c r="L144" i="4"/>
  <c r="B146" i="4"/>
  <c r="C150" i="4"/>
  <c r="B176" i="4"/>
  <c r="H33" i="5" s="1"/>
  <c r="B206" i="4"/>
  <c r="B212" i="4"/>
  <c r="B256" i="4"/>
  <c r="B266" i="4"/>
  <c r="B270" i="4"/>
  <c r="C336" i="4"/>
  <c r="B345" i="4"/>
  <c r="B358" i="4"/>
  <c r="C370" i="4"/>
  <c r="B379" i="4"/>
  <c r="M33" i="5" s="1"/>
  <c r="B433" i="4"/>
  <c r="B435" i="4"/>
  <c r="B452" i="4"/>
  <c r="O38" i="5" s="1"/>
  <c r="B465" i="4"/>
  <c r="B486" i="4"/>
  <c r="B495" i="4"/>
  <c r="B506" i="4"/>
  <c r="B513" i="4"/>
  <c r="B515" i="4"/>
  <c r="B558" i="4"/>
  <c r="B575" i="4"/>
  <c r="B580" i="4"/>
  <c r="B606" i="4"/>
  <c r="M640" i="4"/>
  <c r="B333" i="4"/>
  <c r="B213" i="4"/>
  <c r="C537" i="4"/>
  <c r="C337" i="4"/>
  <c r="C297" i="4"/>
  <c r="C591" i="4"/>
  <c r="C631" i="4"/>
  <c r="C471" i="4"/>
  <c r="C271" i="4"/>
  <c r="C191" i="4"/>
  <c r="F21" i="10"/>
  <c r="C12" i="11"/>
  <c r="F21" i="11"/>
  <c r="M40" i="11" a="1"/>
  <c r="B40" i="11" s="1" a="1"/>
  <c r="M55" i="11" a="1"/>
  <c r="C13" i="12"/>
  <c r="L8" i="4"/>
  <c r="M23" i="4"/>
  <c r="B25" i="4"/>
  <c r="B56" i="4"/>
  <c r="B96" i="4"/>
  <c r="M138" i="4"/>
  <c r="L161" i="4"/>
  <c r="L163" i="4"/>
  <c r="L204" i="4"/>
  <c r="C256" i="4"/>
  <c r="C270" i="4"/>
  <c r="B310" i="4"/>
  <c r="B318" i="4"/>
  <c r="B393" i="4"/>
  <c r="B395" i="4"/>
  <c r="B412" i="4"/>
  <c r="B416" i="4"/>
  <c r="B425" i="4"/>
  <c r="B446" i="4"/>
  <c r="B478" i="4"/>
  <c r="B532" i="4"/>
  <c r="B566" i="4"/>
  <c r="C570" i="4"/>
  <c r="L599" i="4"/>
  <c r="C611" i="4"/>
  <c r="B616" i="4"/>
  <c r="B630" i="4"/>
  <c r="C573" i="4"/>
  <c r="C293" i="4"/>
  <c r="C253" i="4"/>
  <c r="B498" i="4"/>
  <c r="B378" i="4"/>
  <c r="B552" i="4"/>
  <c r="B352" i="4"/>
  <c r="R35" i="5"/>
  <c r="M30" i="11" a="1"/>
  <c r="M41" i="11" a="1"/>
  <c r="B41" i="11" s="1" a="1"/>
  <c r="M56" i="11" a="1"/>
  <c r="D56" i="11" s="1" a="1"/>
  <c r="M36" i="4"/>
  <c r="L48" i="4"/>
  <c r="L67" i="4"/>
  <c r="M69" i="4"/>
  <c r="L71" i="4"/>
  <c r="M73" i="4"/>
  <c r="M88" i="4"/>
  <c r="M90" i="4"/>
  <c r="M92" i="4"/>
  <c r="M94" i="4"/>
  <c r="L107" i="4"/>
  <c r="L109" i="4"/>
  <c r="L111" i="4"/>
  <c r="L113" i="4"/>
  <c r="M128" i="4"/>
  <c r="M130" i="4"/>
  <c r="L132" i="4"/>
  <c r="M134" i="4"/>
  <c r="L157" i="4"/>
  <c r="B190" i="4"/>
  <c r="L190" i="4" s="1"/>
  <c r="B230" i="4"/>
  <c r="B246" i="4"/>
  <c r="B252" i="4"/>
  <c r="B300" i="4"/>
  <c r="C310" i="4"/>
  <c r="B326" i="4"/>
  <c r="B332" i="4"/>
  <c r="B339" i="4"/>
  <c r="B350" i="4"/>
  <c r="B375" i="4"/>
  <c r="B385" i="4"/>
  <c r="B406" i="4"/>
  <c r="C410" i="4"/>
  <c r="B459" i="4"/>
  <c r="B526" i="4"/>
  <c r="C530" i="4"/>
  <c r="B540" i="4"/>
  <c r="B545" i="4"/>
  <c r="B625" i="4"/>
  <c r="C630" i="4"/>
  <c r="B610" i="4"/>
  <c r="B490" i="4"/>
  <c r="B370" i="4"/>
  <c r="C418" i="4"/>
  <c r="C538" i="4"/>
  <c r="B543" i="4"/>
  <c r="B183" i="4"/>
  <c r="L183" i="4" s="1"/>
  <c r="Q35" i="5"/>
  <c r="C20" i="10"/>
  <c r="E20" i="10"/>
  <c r="M43" i="11" a="1"/>
  <c r="B43" i="11" s="1" a="1"/>
  <c r="M62" i="11" a="1"/>
  <c r="D62" i="11" s="1" a="1"/>
  <c r="M63" i="13" a="1"/>
  <c r="D63" i="13" s="1" a="1"/>
  <c r="M34" i="12" a="1"/>
  <c r="B34" i="12" s="1" a="1"/>
  <c r="G34" i="12" s="1"/>
  <c r="E13" i="11"/>
  <c r="F20" i="11"/>
  <c r="M31" i="11" a="1"/>
  <c r="M42" i="11" a="1"/>
  <c r="M58" i="11" a="1"/>
  <c r="B58" i="11" s="1" a="1"/>
  <c r="E58" i="11" s="1"/>
  <c r="C11" i="13"/>
  <c r="C15" i="13"/>
  <c r="E19" i="13"/>
  <c r="F21" i="13"/>
  <c r="C24" i="13"/>
  <c r="M58" i="13" a="1"/>
  <c r="B58" i="13" s="1" a="1"/>
  <c r="I58" i="13" s="1"/>
  <c r="L199" i="4"/>
  <c r="N35" i="6"/>
  <c r="S34" i="6"/>
  <c r="I34" i="6"/>
  <c r="A1" i="11"/>
  <c r="M32" i="11" a="1"/>
  <c r="M37" i="11" a="1"/>
  <c r="B37" i="11" s="1" a="1"/>
  <c r="M47" i="11" a="1"/>
  <c r="M54" i="11" a="1"/>
  <c r="D54" i="11" s="1" a="1"/>
  <c r="C11" i="12"/>
  <c r="C13" i="13"/>
  <c r="M48" i="13" a="1"/>
  <c r="D48" i="13" s="1" a="1"/>
  <c r="M59" i="13" a="1"/>
  <c r="D59" i="13" s="1" a="1"/>
  <c r="E18" i="12"/>
  <c r="M52" i="13" a="1"/>
  <c r="D52" i="13" s="1" a="1"/>
  <c r="C10" i="13"/>
  <c r="F12" i="13"/>
  <c r="B31" i="13" a="1"/>
  <c r="C31" i="13" a="1"/>
  <c r="F16" i="13"/>
  <c r="E16" i="13"/>
  <c r="C16" i="13"/>
  <c r="E17" i="13"/>
  <c r="F17" i="13"/>
  <c r="B29" i="13" a="1"/>
  <c r="D29" i="13" a="1"/>
  <c r="C29" i="13" a="1"/>
  <c r="B42" i="13" a="1"/>
  <c r="D42" i="13" a="1"/>
  <c r="C42" i="13" a="1"/>
  <c r="C17" i="13"/>
  <c r="I62" i="13"/>
  <c r="E62" i="13"/>
  <c r="C18" i="13"/>
  <c r="F25" i="13"/>
  <c r="E25" i="13"/>
  <c r="C25" i="13"/>
  <c r="B33" i="13" a="1"/>
  <c r="D33" i="13" a="1"/>
  <c r="F18" i="13"/>
  <c r="E18" i="13"/>
  <c r="E10" i="13"/>
  <c r="F23" i="13"/>
  <c r="B54" i="13" a="1"/>
  <c r="D54" i="13" a="1"/>
  <c r="C54" i="13" a="1"/>
  <c r="B55" i="13" a="1"/>
  <c r="B59" i="13" a="1"/>
  <c r="F19" i="13"/>
  <c r="E22" i="13"/>
  <c r="C22" i="13"/>
  <c r="D39" i="13" a="1"/>
  <c r="B40" i="13" a="1"/>
  <c r="C43" i="13" a="1"/>
  <c r="B44" i="13" a="1"/>
  <c r="C47" i="13" a="1"/>
  <c r="B48" i="13" a="1"/>
  <c r="C55" i="13" a="1"/>
  <c r="B60" i="13" a="1"/>
  <c r="A1" i="13"/>
  <c r="C14" i="13"/>
  <c r="F22" i="13"/>
  <c r="E24" i="13"/>
  <c r="C40" i="13" a="1"/>
  <c r="C44" i="13" a="1"/>
  <c r="C56" i="13" a="1"/>
  <c r="C60" i="13" a="1"/>
  <c r="C64" i="13" a="1"/>
  <c r="M68" i="13" a="1"/>
  <c r="M67" i="13" a="1"/>
  <c r="M66" i="13" a="1"/>
  <c r="E15" i="13"/>
  <c r="M30" i="13" a="1"/>
  <c r="M32" i="13" a="1"/>
  <c r="M34" i="13" a="1"/>
  <c r="M36" i="13" a="1"/>
  <c r="M38" i="13" a="1"/>
  <c r="M41" i="13" a="1"/>
  <c r="M45" i="13" a="1"/>
  <c r="M49" i="13" a="1"/>
  <c r="M53" i="13" a="1"/>
  <c r="M57" i="13" a="1"/>
  <c r="M61" i="13" a="1"/>
  <c r="M65" i="13" a="1"/>
  <c r="B6" i="13"/>
  <c r="E21" i="13"/>
  <c r="F19" i="12"/>
  <c r="D6" i="12"/>
  <c r="E10" i="12"/>
  <c r="F34" i="12"/>
  <c r="E17" i="12"/>
  <c r="F18" i="12"/>
  <c r="M59" i="12" a="1"/>
  <c r="M63" i="12" a="1"/>
  <c r="A1" i="12"/>
  <c r="E16" i="12"/>
  <c r="F17" i="12"/>
  <c r="F22" i="12"/>
  <c r="E24" i="12"/>
  <c r="E25" i="12"/>
  <c r="C34" i="12" a="1"/>
  <c r="M32" i="12" a="1"/>
  <c r="M36" i="12" a="1"/>
  <c r="M38" i="12" a="1"/>
  <c r="M40" i="12" a="1"/>
  <c r="M42" i="12" a="1"/>
  <c r="M44" i="12" a="1"/>
  <c r="M46" i="12" a="1"/>
  <c r="M48" i="12" a="1"/>
  <c r="M50" i="12" a="1"/>
  <c r="M52" i="12" a="1"/>
  <c r="M54" i="12" a="1"/>
  <c r="M56" i="12" a="1"/>
  <c r="M60" i="12" a="1"/>
  <c r="M64" i="12" a="1"/>
  <c r="B6" i="12"/>
  <c r="C12" i="12"/>
  <c r="E14" i="12"/>
  <c r="F15" i="12"/>
  <c r="C20" i="12"/>
  <c r="E21" i="12"/>
  <c r="D34" i="12" a="1"/>
  <c r="E13" i="12"/>
  <c r="F14" i="12"/>
  <c r="F21" i="12"/>
  <c r="F24" i="12"/>
  <c r="M57" i="12" a="1"/>
  <c r="M61" i="12" a="1"/>
  <c r="M65" i="12" a="1"/>
  <c r="F16" i="12"/>
  <c r="M30" i="12" a="1"/>
  <c r="F23" i="12"/>
  <c r="C10" i="12"/>
  <c r="E12" i="12"/>
  <c r="F13" i="12"/>
  <c r="C18" i="12"/>
  <c r="E20" i="12"/>
  <c r="C23" i="12"/>
  <c r="M68" i="12" a="1"/>
  <c r="M67" i="12" a="1"/>
  <c r="E15" i="12"/>
  <c r="E11" i="12"/>
  <c r="F12" i="12"/>
  <c r="E19" i="12"/>
  <c r="F20" i="12"/>
  <c r="E23" i="12"/>
  <c r="F25" i="12"/>
  <c r="M29" i="12" a="1"/>
  <c r="M31" i="12" a="1"/>
  <c r="M33" i="12" a="1"/>
  <c r="M35" i="12" a="1"/>
  <c r="M37" i="12" a="1"/>
  <c r="M39" i="12" a="1"/>
  <c r="M41" i="12" a="1"/>
  <c r="M43" i="12" a="1"/>
  <c r="M45" i="12" a="1"/>
  <c r="M47" i="12" a="1"/>
  <c r="M49" i="12" a="1"/>
  <c r="M51" i="12" a="1"/>
  <c r="M53" i="12" a="1"/>
  <c r="M55" i="12" a="1"/>
  <c r="M58" i="12" a="1"/>
  <c r="M62" i="12" a="1"/>
  <c r="M66" i="12" a="1"/>
  <c r="E22" i="12"/>
  <c r="C22" i="12"/>
  <c r="C25" i="12"/>
  <c r="C50" i="11" a="1"/>
  <c r="B47" i="11" a="1"/>
  <c r="F47" i="11" s="1"/>
  <c r="C52" i="11" a="1"/>
  <c r="C55" i="11" a="1"/>
  <c r="D57" i="11" a="1"/>
  <c r="C64" i="11" a="1"/>
  <c r="C29" i="11" a="1"/>
  <c r="C45" i="11" a="1"/>
  <c r="C48" i="11" a="1"/>
  <c r="C60" i="11" a="1"/>
  <c r="E24" i="11"/>
  <c r="C11" i="11"/>
  <c r="C19" i="11"/>
  <c r="F15" i="11"/>
  <c r="C24" i="11"/>
  <c r="C10" i="11"/>
  <c r="F13" i="11"/>
  <c r="C18" i="11"/>
  <c r="M61" i="11" a="1"/>
  <c r="M65" i="11" a="1"/>
  <c r="F24" i="11"/>
  <c r="C16" i="11"/>
  <c r="C15" i="11"/>
  <c r="M49" i="11" a="1"/>
  <c r="M51" i="11" a="1"/>
  <c r="F18" i="11"/>
  <c r="F25" i="11"/>
  <c r="C25" i="11"/>
  <c r="M59" i="11" a="1"/>
  <c r="M63" i="11" a="1"/>
  <c r="M67" i="11" a="1"/>
  <c r="C22" i="11"/>
  <c r="C14" i="11"/>
  <c r="E16" i="11"/>
  <c r="C21" i="11"/>
  <c r="F22" i="11"/>
  <c r="O9" i="4"/>
  <c r="P9" i="4" s="1"/>
  <c r="O118" i="4"/>
  <c r="P118" i="4" s="1"/>
  <c r="O166" i="4"/>
  <c r="P166" i="4" s="1"/>
  <c r="O168" i="4"/>
  <c r="P168" i="4" s="1"/>
  <c r="O170" i="4"/>
  <c r="P170" i="4" s="1"/>
  <c r="O180" i="4"/>
  <c r="P180" i="4" s="1"/>
  <c r="O182" i="4"/>
  <c r="P182" i="4" s="1"/>
  <c r="O221" i="4"/>
  <c r="P221" i="4" s="1"/>
  <c r="O229" i="4"/>
  <c r="P229" i="4" s="1"/>
  <c r="O297" i="4"/>
  <c r="P297" i="4" s="1"/>
  <c r="B537" i="4"/>
  <c r="M125" i="4"/>
  <c r="O143" i="4"/>
  <c r="P143" i="4" s="1"/>
  <c r="O160" i="4"/>
  <c r="P160" i="4" s="1"/>
  <c r="O162" i="4"/>
  <c r="P162" i="4" s="1"/>
  <c r="O164" i="4"/>
  <c r="P164" i="4" s="1"/>
  <c r="O190" i="4"/>
  <c r="P190" i="4" s="1"/>
  <c r="O209" i="4"/>
  <c r="P209" i="4" s="1"/>
  <c r="O225" i="4"/>
  <c r="P225" i="4" s="1"/>
  <c r="P590" i="4"/>
  <c r="O13" i="4"/>
  <c r="P13" i="4" s="1"/>
  <c r="O116" i="4"/>
  <c r="P116" i="4" s="1"/>
  <c r="O145" i="4"/>
  <c r="P145" i="4" s="1"/>
  <c r="O66" i="4"/>
  <c r="P66" i="4" s="1"/>
  <c r="O286" i="4"/>
  <c r="P286" i="4" s="1"/>
  <c r="O333" i="4"/>
  <c r="P333" i="4" s="1"/>
  <c r="O341" i="4"/>
  <c r="P341" i="4" s="1"/>
  <c r="O369" i="4"/>
  <c r="P369" i="4" s="1"/>
  <c r="P574" i="4"/>
  <c r="B581" i="4"/>
  <c r="B461" i="4"/>
  <c r="B631" i="4"/>
  <c r="B591" i="4"/>
  <c r="O585" i="4"/>
  <c r="P585" i="4" s="1"/>
  <c r="O139" i="4"/>
  <c r="P139" i="4" s="1"/>
  <c r="O20" i="4"/>
  <c r="P20" i="4" s="1"/>
  <c r="O95" i="4"/>
  <c r="P95" i="4" s="1"/>
  <c r="O110" i="4"/>
  <c r="P110" i="4" s="1"/>
  <c r="O127" i="4"/>
  <c r="P127" i="4" s="1"/>
  <c r="O129" i="4"/>
  <c r="P129" i="4" s="1"/>
  <c r="O133" i="4"/>
  <c r="P133" i="4" s="1"/>
  <c r="O135" i="4"/>
  <c r="P135" i="4" s="1"/>
  <c r="O156" i="4"/>
  <c r="P156" i="4" s="1"/>
  <c r="O64" i="4"/>
  <c r="P64" i="4" s="1"/>
  <c r="O79" i="4"/>
  <c r="O81" i="4"/>
  <c r="P81" i="4" s="1"/>
  <c r="O102" i="4"/>
  <c r="P102" i="4" s="1"/>
  <c r="O119" i="4"/>
  <c r="P119" i="4" s="1"/>
  <c r="O121" i="4"/>
  <c r="P121" i="4" s="1"/>
  <c r="O150" i="4"/>
  <c r="P150" i="4" s="1"/>
  <c r="O250" i="4"/>
  <c r="P250" i="4" s="1"/>
  <c r="O254" i="4"/>
  <c r="P254" i="4" s="1"/>
  <c r="O337" i="4"/>
  <c r="P337" i="4" s="1"/>
  <c r="O401" i="4"/>
  <c r="P401" i="4" s="1"/>
  <c r="O409" i="4"/>
  <c r="P409" i="4" s="1"/>
  <c r="O429" i="4"/>
  <c r="O461" i="4"/>
  <c r="P461" i="4" s="1"/>
  <c r="C492" i="4"/>
  <c r="B577" i="4"/>
  <c r="M577" i="4" s="1"/>
  <c r="B621" i="4"/>
  <c r="B623" i="4"/>
  <c r="B613" i="4"/>
  <c r="B533" i="4"/>
  <c r="B547" i="4"/>
  <c r="B587" i="4"/>
  <c r="B596" i="4"/>
  <c r="B476" i="4"/>
  <c r="O57" i="4"/>
  <c r="P57" i="4" s="1"/>
  <c r="O78" i="4"/>
  <c r="P78" i="4" s="1"/>
  <c r="M165" i="4"/>
  <c r="O142" i="4"/>
  <c r="P142" i="4" s="1"/>
  <c r="O183" i="4"/>
  <c r="P183" i="4" s="1"/>
  <c r="O313" i="4"/>
  <c r="P313" i="4" s="1"/>
  <c r="O345" i="4"/>
  <c r="P345" i="4" s="1"/>
  <c r="O465" i="4"/>
  <c r="P465" i="4" s="1"/>
  <c r="P615" i="4"/>
  <c r="O172" i="4"/>
  <c r="P172" i="4" s="1"/>
  <c r="O55" i="4"/>
  <c r="P55" i="4" s="1"/>
  <c r="O47" i="4"/>
  <c r="P47" i="4" s="1"/>
  <c r="O53" i="4"/>
  <c r="O70" i="4"/>
  <c r="P70" i="4" s="1"/>
  <c r="O87" i="4"/>
  <c r="P87" i="4" s="1"/>
  <c r="O93" i="4"/>
  <c r="P93" i="4" s="1"/>
  <c r="O233" i="4"/>
  <c r="P233" i="4" s="1"/>
  <c r="O8" i="4"/>
  <c r="P8" i="4" s="1"/>
  <c r="M78" i="4"/>
  <c r="L97" i="4"/>
  <c r="M118" i="4"/>
  <c r="L141" i="4"/>
  <c r="L143" i="4"/>
  <c r="O159" i="4"/>
  <c r="P159" i="4" s="1"/>
  <c r="M168" i="4"/>
  <c r="M170" i="4"/>
  <c r="M172" i="4"/>
  <c r="O191" i="4"/>
  <c r="P191" i="4" s="1"/>
  <c r="M203" i="4"/>
  <c r="O218" i="4"/>
  <c r="P218" i="4" s="1"/>
  <c r="O317" i="4"/>
  <c r="P317" i="4" s="1"/>
  <c r="P381" i="4"/>
  <c r="C412" i="4"/>
  <c r="O457" i="4"/>
  <c r="P457" i="4" s="1"/>
  <c r="O473" i="4"/>
  <c r="P473" i="4" s="1"/>
  <c r="B551" i="4"/>
  <c r="O161" i="4"/>
  <c r="P161" i="4" s="1"/>
  <c r="O62" i="4"/>
  <c r="P62" i="4" s="1"/>
  <c r="O76" i="4"/>
  <c r="P76" i="4" s="1"/>
  <c r="O97" i="4"/>
  <c r="P97" i="4" s="1"/>
  <c r="O141" i="4"/>
  <c r="P141" i="4" s="1"/>
  <c r="O37" i="4"/>
  <c r="P37" i="4" s="1"/>
  <c r="O72" i="4"/>
  <c r="P72" i="4" s="1"/>
  <c r="O91" i="4"/>
  <c r="P91" i="4" s="1"/>
  <c r="O108" i="4"/>
  <c r="P108" i="4" s="1"/>
  <c r="O158" i="4"/>
  <c r="P158" i="4" s="1"/>
  <c r="O169" i="4"/>
  <c r="P169" i="4" s="1"/>
  <c r="M57" i="4"/>
  <c r="M22" i="4"/>
  <c r="M26" i="4"/>
  <c r="O46" i="4"/>
  <c r="P46" i="4" s="1"/>
  <c r="O54" i="4"/>
  <c r="P54" i="4" s="1"/>
  <c r="M76" i="4"/>
  <c r="P86" i="4"/>
  <c r="O111" i="4"/>
  <c r="P111" i="4" s="1"/>
  <c r="M116" i="4"/>
  <c r="O126" i="4"/>
  <c r="P126" i="4" s="1"/>
  <c r="O134" i="4"/>
  <c r="P134" i="4" s="1"/>
  <c r="L139" i="4"/>
  <c r="M160" i="4"/>
  <c r="M162" i="4"/>
  <c r="L164" i="4"/>
  <c r="O199" i="4"/>
  <c r="P199" i="4" s="1"/>
  <c r="O281" i="4"/>
  <c r="P281" i="4" s="1"/>
  <c r="O302" i="4"/>
  <c r="P302" i="4" s="1"/>
  <c r="O357" i="4"/>
  <c r="P357" i="4" s="1"/>
  <c r="B501" i="4"/>
  <c r="B541" i="4"/>
  <c r="C610" i="4"/>
  <c r="M66" i="10" a="1"/>
  <c r="B66" i="10" s="1" a="1"/>
  <c r="B633" i="4"/>
  <c r="M633" i="4" s="1"/>
  <c r="B593" i="4"/>
  <c r="M593" i="4" s="1"/>
  <c r="B598" i="4"/>
  <c r="B438" i="4"/>
  <c r="O453" i="4"/>
  <c r="P453" i="4" s="1"/>
  <c r="O273" i="4"/>
  <c r="P273" i="4" s="1"/>
  <c r="M85" i="4"/>
  <c r="T33" i="6"/>
  <c r="O49" i="4"/>
  <c r="P49" i="4" s="1"/>
  <c r="O68" i="4"/>
  <c r="P68" i="4" s="1"/>
  <c r="O74" i="4"/>
  <c r="P74" i="4" s="1"/>
  <c r="O89" i="4"/>
  <c r="P89" i="4" s="1"/>
  <c r="O6" i="4"/>
  <c r="P6" i="4" s="1"/>
  <c r="O56" i="4"/>
  <c r="P56" i="4" s="1"/>
  <c r="O58" i="4"/>
  <c r="P58" i="4" s="1"/>
  <c r="O167" i="4"/>
  <c r="P167" i="4" s="1"/>
  <c r="O204" i="4"/>
  <c r="P204" i="4" s="1"/>
  <c r="O222" i="4"/>
  <c r="P222" i="4" s="1"/>
  <c r="M13" i="4"/>
  <c r="D33" i="6"/>
  <c r="M20" i="4"/>
  <c r="L24" i="4"/>
  <c r="O71" i="4"/>
  <c r="P71" i="4" s="1"/>
  <c r="O94" i="4"/>
  <c r="P94" i="4" s="1"/>
  <c r="M18" i="4"/>
  <c r="M43" i="4"/>
  <c r="M45" i="4"/>
  <c r="L47" i="4"/>
  <c r="M49" i="4"/>
  <c r="L51" i="4"/>
  <c r="M53" i="4"/>
  <c r="L55" i="4"/>
  <c r="O63" i="4"/>
  <c r="P63" i="4" s="1"/>
  <c r="M68" i="4"/>
  <c r="M70" i="4"/>
  <c r="M72" i="4"/>
  <c r="M74" i="4"/>
  <c r="M87" i="4"/>
  <c r="L89" i="4"/>
  <c r="M91" i="4"/>
  <c r="L93" i="4"/>
  <c r="M95" i="4"/>
  <c r="O103" i="4"/>
  <c r="P103" i="4" s="1"/>
  <c r="M108" i="4"/>
  <c r="M110" i="4"/>
  <c r="L112" i="4"/>
  <c r="M114" i="4"/>
  <c r="L127" i="4"/>
  <c r="L129" i="4"/>
  <c r="L131" i="4"/>
  <c r="L133" i="4"/>
  <c r="M135" i="4"/>
  <c r="O151" i="4"/>
  <c r="P151" i="4" s="1"/>
  <c r="M158" i="4"/>
  <c r="L196" i="4"/>
  <c r="O249" i="4"/>
  <c r="P249" i="4" s="1"/>
  <c r="O257" i="4"/>
  <c r="P257" i="4" s="1"/>
  <c r="P289" i="4"/>
  <c r="B301" i="4"/>
  <c r="M301" i="4" s="1"/>
  <c r="O321" i="4"/>
  <c r="P321" i="4" s="1"/>
  <c r="B341" i="4"/>
  <c r="B391" i="4"/>
  <c r="C452" i="4"/>
  <c r="B511" i="4"/>
  <c r="B627" i="4"/>
  <c r="M627" i="4" s="1"/>
  <c r="O607" i="4"/>
  <c r="P607" i="4" s="1"/>
  <c r="O385" i="4"/>
  <c r="P385" i="4" s="1"/>
  <c r="O361" i="4"/>
  <c r="P361" i="4" s="1"/>
  <c r="O226" i="4"/>
  <c r="P226" i="4" s="1"/>
  <c r="O137" i="4"/>
  <c r="P137" i="4" s="1"/>
  <c r="L592" i="4"/>
  <c r="P598" i="4"/>
  <c r="P631" i="4"/>
  <c r="P425" i="4"/>
  <c r="P433" i="4"/>
  <c r="P441" i="4"/>
  <c r="P481" i="4"/>
  <c r="M584" i="4"/>
  <c r="L639" i="4"/>
  <c r="R36" i="5"/>
  <c r="G34" i="5"/>
  <c r="P623" i="4"/>
  <c r="P641" i="4"/>
  <c r="O34" i="5"/>
  <c r="S35" i="5"/>
  <c r="Q34" i="5"/>
  <c r="I36" i="5"/>
  <c r="H35" i="5"/>
  <c r="S36" i="5"/>
  <c r="I35" i="5"/>
  <c r="M600" i="4"/>
  <c r="L624" i="4"/>
  <c r="P639" i="4"/>
  <c r="J36" i="5"/>
  <c r="E15" i="10"/>
  <c r="M58" i="10" a="1"/>
  <c r="C58" i="10" s="1" a="1"/>
  <c r="E23" i="10"/>
  <c r="E33" i="6"/>
  <c r="M33" i="6"/>
  <c r="D34" i="6"/>
  <c r="L34" i="6"/>
  <c r="T34" i="6"/>
  <c r="K35" i="6"/>
  <c r="S35" i="6"/>
  <c r="F33" i="6"/>
  <c r="N33" i="6"/>
  <c r="E34" i="6"/>
  <c r="M34" i="6"/>
  <c r="L35" i="6"/>
  <c r="F15" i="10"/>
  <c r="M62" i="10" a="1"/>
  <c r="C62" i="10" s="1" a="1"/>
  <c r="F17" i="10"/>
  <c r="M38" i="10" a="1"/>
  <c r="B38" i="10" s="1" a="1"/>
  <c r="E24" i="10"/>
  <c r="M54" i="10" a="1"/>
  <c r="B54" i="10" s="1" a="1"/>
  <c r="E16" i="10"/>
  <c r="M50" i="10" a="1"/>
  <c r="C50" i="10" s="1" a="1"/>
  <c r="F18" i="10"/>
  <c r="E17" i="10"/>
  <c r="E10" i="10"/>
  <c r="C24" i="10"/>
  <c r="F19" i="10"/>
  <c r="E18" i="10"/>
  <c r="C16" i="10"/>
  <c r="E14" i="10"/>
  <c r="E13" i="10"/>
  <c r="F13" i="10"/>
  <c r="M67" i="10" a="1"/>
  <c r="M63" i="10" a="1"/>
  <c r="M59" i="10" a="1"/>
  <c r="M55" i="10" a="1"/>
  <c r="M51" i="10" a="1"/>
  <c r="M47" i="10" a="1"/>
  <c r="M43" i="10" a="1"/>
  <c r="M39" i="10" a="1"/>
  <c r="M35" i="10" a="1"/>
  <c r="E25" i="10"/>
  <c r="C25" i="10"/>
  <c r="F20" i="10"/>
  <c r="E19" i="10"/>
  <c r="C17" i="10"/>
  <c r="M46" i="10" a="1"/>
  <c r="M42" i="10" a="1"/>
  <c r="M30" i="10" a="1"/>
  <c r="M31" i="10" a="1"/>
  <c r="M32" i="10" a="1"/>
  <c r="M33" i="10" a="1"/>
  <c r="M34" i="10" a="1"/>
  <c r="F22" i="10"/>
  <c r="E21" i="10"/>
  <c r="F14" i="10"/>
  <c r="F12" i="10"/>
  <c r="B6" i="10"/>
  <c r="F23" i="10"/>
  <c r="E22" i="10"/>
  <c r="M29" i="10" a="1"/>
  <c r="M65" i="10" a="1"/>
  <c r="M61" i="10" a="1"/>
  <c r="M57" i="10" a="1"/>
  <c r="M53" i="10" a="1"/>
  <c r="M49" i="10" a="1"/>
  <c r="M45" i="10" a="1"/>
  <c r="M41" i="10" a="1"/>
  <c r="M37" i="10" a="1"/>
  <c r="F24" i="10"/>
  <c r="F16" i="10"/>
  <c r="E12" i="10"/>
  <c r="M68" i="10" a="1"/>
  <c r="M64" i="10" a="1"/>
  <c r="M60" i="10" a="1"/>
  <c r="M56" i="10" a="1"/>
  <c r="M52" i="10" a="1"/>
  <c r="M48" i="10" a="1"/>
  <c r="M44" i="10" a="1"/>
  <c r="M40" i="10" a="1"/>
  <c r="M36" i="10" a="1"/>
  <c r="P437" i="4"/>
  <c r="P269" i="4"/>
  <c r="P117" i="4"/>
  <c r="P140" i="4"/>
  <c r="P171" i="4"/>
  <c r="P21" i="4"/>
  <c r="P75" i="4"/>
  <c r="P163" i="4"/>
  <c r="P237" i="4"/>
  <c r="P253" i="4"/>
  <c r="P261" i="4"/>
  <c r="P389" i="4"/>
  <c r="P628" i="4"/>
  <c r="P28" i="4"/>
  <c r="P59" i="4"/>
  <c r="P61" i="4"/>
  <c r="P65" i="4"/>
  <c r="P84" i="4"/>
  <c r="P99" i="4"/>
  <c r="P101" i="4"/>
  <c r="P105" i="4"/>
  <c r="P124" i="4"/>
  <c r="P147" i="4"/>
  <c r="P149" i="4"/>
  <c r="P153" i="4"/>
  <c r="P155" i="4"/>
  <c r="P213" i="4"/>
  <c r="P217" i="4"/>
  <c r="P241" i="4"/>
  <c r="P265" i="4"/>
  <c r="P305" i="4"/>
  <c r="P329" i="4"/>
  <c r="P353" i="4"/>
  <c r="P393" i="4"/>
  <c r="P397" i="4"/>
  <c r="P421" i="4"/>
  <c r="P449" i="4"/>
  <c r="P617" i="4"/>
  <c r="E40" i="5"/>
  <c r="F39" i="5"/>
  <c r="F38" i="5"/>
  <c r="D37" i="5"/>
  <c r="L36" i="5"/>
  <c r="T35" i="5"/>
  <c r="K35" i="5"/>
  <c r="S34" i="5"/>
  <c r="J34" i="5"/>
  <c r="P579" i="4"/>
  <c r="Q36" i="5"/>
  <c r="H36" i="5"/>
  <c r="P35" i="5"/>
  <c r="F35" i="5"/>
  <c r="N34" i="5"/>
  <c r="E34" i="5"/>
  <c r="D33" i="5"/>
  <c r="P60" i="4"/>
  <c r="P293" i="4"/>
  <c r="P12" i="4"/>
  <c r="P196" i="4"/>
  <c r="P349" i="4"/>
  <c r="P413" i="4"/>
  <c r="H40" i="5"/>
  <c r="Q39" i="5"/>
  <c r="I39" i="5"/>
  <c r="I38" i="5"/>
  <c r="H37" i="5"/>
  <c r="P36" i="5"/>
  <c r="G36" i="5"/>
  <c r="N35" i="5"/>
  <c r="E35" i="5"/>
  <c r="M34" i="5"/>
  <c r="D34" i="5"/>
  <c r="P29" i="4"/>
  <c r="P83" i="4"/>
  <c r="P100" i="4"/>
  <c r="P148" i="4"/>
  <c r="P469" i="4"/>
  <c r="P77" i="4"/>
  <c r="O40" i="5"/>
  <c r="G40" i="5"/>
  <c r="H39" i="5"/>
  <c r="H38" i="5"/>
  <c r="G37" i="5"/>
  <c r="O36" i="5"/>
  <c r="E36" i="5"/>
  <c r="M35" i="5"/>
  <c r="D35" i="5"/>
  <c r="L34" i="5"/>
  <c r="I33" i="5"/>
  <c r="H34" i="5"/>
  <c r="P34" i="5"/>
  <c r="G35" i="5"/>
  <c r="O35" i="5"/>
  <c r="F36" i="5"/>
  <c r="N36" i="5"/>
  <c r="E37" i="5"/>
  <c r="M37" i="5"/>
  <c r="D38" i="5"/>
  <c r="L38" i="5"/>
  <c r="P188" i="4"/>
  <c r="P31" i="6"/>
  <c r="P36" i="4"/>
  <c r="P52" i="4"/>
  <c r="P67" i="4"/>
  <c r="P69" i="4"/>
  <c r="P73" i="4"/>
  <c r="P92" i="4"/>
  <c r="P109" i="4"/>
  <c r="P113" i="4"/>
  <c r="P132" i="4"/>
  <c r="P157" i="4"/>
  <c r="P224" i="4"/>
  <c r="P277" i="4"/>
  <c r="P301" i="4"/>
  <c r="P309" i="4"/>
  <c r="P373" i="4"/>
  <c r="P377" i="4"/>
  <c r="P417" i="4"/>
  <c r="P477" i="4"/>
  <c r="P577" i="4"/>
  <c r="P580" i="4"/>
  <c r="P632" i="4"/>
  <c r="F40" i="5"/>
  <c r="O39" i="5"/>
  <c r="G39" i="5"/>
  <c r="P38" i="5"/>
  <c r="G38" i="5"/>
  <c r="O37" i="5"/>
  <c r="F37" i="5"/>
  <c r="M36" i="5"/>
  <c r="D36" i="5"/>
  <c r="L35" i="5"/>
  <c r="T34" i="5"/>
  <c r="K34" i="5"/>
  <c r="J33" i="5"/>
  <c r="P7" i="4"/>
  <c r="M44" i="4"/>
  <c r="M28" i="4"/>
  <c r="M31" i="4"/>
  <c r="M33" i="4"/>
  <c r="M32" i="4"/>
  <c r="M30" i="4"/>
  <c r="P44" i="4"/>
  <c r="P43" i="4"/>
  <c r="M42" i="4"/>
  <c r="P41" i="4"/>
  <c r="M41" i="4"/>
  <c r="P35" i="4"/>
  <c r="L38" i="4"/>
  <c r="M40" i="4"/>
  <c r="P39" i="4"/>
  <c r="P38" i="4"/>
  <c r="M37" i="4"/>
  <c r="P40" i="4"/>
  <c r="M39" i="4"/>
  <c r="M34" i="4"/>
  <c r="M15" i="4"/>
  <c r="P27" i="4"/>
  <c r="P19" i="4"/>
  <c r="P25" i="4"/>
  <c r="P17" i="4"/>
  <c r="L14" i="4"/>
  <c r="P16" i="4"/>
  <c r="P31" i="4"/>
  <c r="P15" i="4"/>
  <c r="P11" i="4"/>
  <c r="P23" i="4"/>
  <c r="P33" i="4"/>
  <c r="M11" i="4"/>
  <c r="M17" i="4"/>
  <c r="M21" i="4"/>
  <c r="P22" i="4"/>
  <c r="M27" i="4"/>
  <c r="M29" i="4"/>
  <c r="P32" i="4"/>
  <c r="P30" i="4"/>
  <c r="P14" i="4"/>
  <c r="M10" i="4"/>
  <c r="L173" i="4"/>
  <c r="M16" i="4"/>
  <c r="M157" i="4"/>
  <c r="F30" i="9"/>
  <c r="L100" i="4"/>
  <c r="L136" i="4"/>
  <c r="C540" i="4"/>
  <c r="C623" i="4"/>
  <c r="C580" i="4"/>
  <c r="C620" i="4"/>
  <c r="C503" i="4"/>
  <c r="C600" i="4"/>
  <c r="C584" i="4"/>
  <c r="C515" i="4"/>
  <c r="C15" i="4"/>
  <c r="C79" i="4"/>
  <c r="C199" i="4"/>
  <c r="C459" i="4"/>
  <c r="C479" i="4"/>
  <c r="C535" i="4"/>
  <c r="C19" i="4"/>
  <c r="C239" i="4"/>
  <c r="C255" i="4"/>
  <c r="C315" i="4"/>
  <c r="C376" i="4"/>
  <c r="C419" i="4"/>
  <c r="C436" i="4"/>
  <c r="C635" i="4"/>
  <c r="C99" i="4"/>
  <c r="C115" i="4"/>
  <c r="C119" i="4"/>
  <c r="C219" i="4"/>
  <c r="C136" i="4"/>
  <c r="C156" i="4"/>
  <c r="C179" i="4"/>
  <c r="C196" i="4"/>
  <c r="C259" i="4"/>
  <c r="C396" i="4"/>
  <c r="C495" i="4"/>
  <c r="C519" i="4"/>
  <c r="C539" i="4"/>
  <c r="C555" i="4"/>
  <c r="C55" i="4"/>
  <c r="C95" i="4"/>
  <c r="C159" i="4"/>
  <c r="C175" i="4"/>
  <c r="C439" i="4"/>
  <c r="C455" i="4"/>
  <c r="C56" i="4"/>
  <c r="C76" i="4"/>
  <c r="C96" i="4"/>
  <c r="C116" i="4"/>
  <c r="C236" i="4"/>
  <c r="C295" i="4"/>
  <c r="C335" i="4"/>
  <c r="C416" i="4"/>
  <c r="C476" i="4"/>
  <c r="C575" i="4"/>
  <c r="C595" i="4"/>
  <c r="C59" i="4"/>
  <c r="F11" i="13" s="1"/>
  <c r="C75" i="4"/>
  <c r="C139" i="4"/>
  <c r="C215" i="4"/>
  <c r="C399" i="4"/>
  <c r="C35" i="4"/>
  <c r="E6" i="10" s="1"/>
  <c r="C16" i="4"/>
  <c r="C176" i="4"/>
  <c r="C216" i="4"/>
  <c r="C275" i="4"/>
  <c r="C319" i="4"/>
  <c r="C456" i="4"/>
  <c r="C599" i="4"/>
  <c r="C612" i="4"/>
  <c r="C532" i="4"/>
  <c r="C592" i="4"/>
  <c r="C506" i="4"/>
  <c r="C26" i="4"/>
  <c r="C86" i="4"/>
  <c r="C306" i="4"/>
  <c r="C347" i="4"/>
  <c r="C427" i="4"/>
  <c r="C486" i="4"/>
  <c r="C546" i="4"/>
  <c r="C586" i="4"/>
  <c r="C106" i="4"/>
  <c r="C126" i="4"/>
  <c r="C206" i="4"/>
  <c r="C286" i="4"/>
  <c r="C386" i="4"/>
  <c r="C406" i="4"/>
  <c r="C146" i="4"/>
  <c r="C6" i="4"/>
  <c r="C166" i="4"/>
  <c r="C226" i="4"/>
  <c r="C326" i="4"/>
  <c r="C346" i="4"/>
  <c r="C526" i="4"/>
  <c r="C566" i="4"/>
  <c r="C606" i="4"/>
  <c r="I8" i="3"/>
  <c r="C66" i="4"/>
  <c r="C466" i="4"/>
  <c r="C186" i="4"/>
  <c r="C27" i="4"/>
  <c r="C307" i="4"/>
  <c r="C426" i="4"/>
  <c r="C507" i="4"/>
  <c r="C547" i="4"/>
  <c r="P616" i="4"/>
  <c r="P624" i="4"/>
  <c r="P592" i="4"/>
  <c r="P42" i="4"/>
  <c r="P48" i="4"/>
  <c r="P50" i="4"/>
  <c r="P107" i="4"/>
  <c r="P115" i="4"/>
  <c r="P123" i="4"/>
  <c r="P131" i="4"/>
  <c r="P195" i="4"/>
  <c r="P290" i="4"/>
  <c r="P587" i="4"/>
  <c r="P600" i="4"/>
  <c r="P528" i="4"/>
  <c r="P24" i="4"/>
  <c r="P80" i="4"/>
  <c r="P82" i="4"/>
  <c r="P88" i="4"/>
  <c r="P90" i="4"/>
  <c r="P96" i="4"/>
  <c r="P98" i="4"/>
  <c r="P258" i="4"/>
  <c r="P625" i="4"/>
  <c r="P640" i="4"/>
  <c r="P51" i="4"/>
  <c r="P104" i="4"/>
  <c r="P106" i="4"/>
  <c r="P112" i="4"/>
  <c r="P114" i="4"/>
  <c r="P120" i="4"/>
  <c r="P122" i="4"/>
  <c r="P128" i="4"/>
  <c r="P130" i="4"/>
  <c r="P187" i="4"/>
  <c r="P208" i="4"/>
  <c r="P282" i="4"/>
  <c r="P328" i="4"/>
  <c r="P488" i="4"/>
  <c r="P578" i="4"/>
  <c r="P586" i="4"/>
  <c r="P604" i="4"/>
  <c r="P608" i="4"/>
  <c r="P136" i="4"/>
  <c r="P138" i="4"/>
  <c r="P144" i="4"/>
  <c r="P146" i="4"/>
  <c r="P152" i="4"/>
  <c r="P154" i="4"/>
  <c r="P203" i="4"/>
  <c r="P576" i="4"/>
  <c r="P584" i="4"/>
  <c r="M24" i="4"/>
  <c r="L148" i="4"/>
  <c r="M109" i="4"/>
  <c r="L84" i="4"/>
  <c r="M164" i="4"/>
  <c r="M602" i="4"/>
  <c r="M48" i="4"/>
  <c r="M132" i="4"/>
  <c r="M8" i="4"/>
  <c r="L116" i="4"/>
  <c r="L152" i="4"/>
  <c r="L31" i="4"/>
  <c r="M80" i="4"/>
  <c r="M105" i="4"/>
  <c r="M141" i="4"/>
  <c r="M169" i="4"/>
  <c r="L168" i="4"/>
  <c r="L68" i="4"/>
  <c r="M144" i="4"/>
  <c r="L15" i="4"/>
  <c r="M112" i="4"/>
  <c r="L187" i="4"/>
  <c r="M634" i="4"/>
  <c r="L33" i="4"/>
  <c r="M93" i="4"/>
  <c r="L120" i="4"/>
  <c r="L32" i="4"/>
  <c r="L60" i="4"/>
  <c r="L92" i="4"/>
  <c r="L124" i="4"/>
  <c r="L156" i="4"/>
  <c r="M618" i="4"/>
  <c r="M117" i="4"/>
  <c r="M149" i="4"/>
  <c r="L23" i="4"/>
  <c r="L40" i="4"/>
  <c r="L72" i="4"/>
  <c r="L88" i="4"/>
  <c r="L104" i="4"/>
  <c r="M81" i="4"/>
  <c r="M97" i="4"/>
  <c r="M113" i="4"/>
  <c r="M129" i="4"/>
  <c r="M161" i="4"/>
  <c r="L198" i="4"/>
  <c r="L10" i="4"/>
  <c r="L18" i="4"/>
  <c r="L39" i="4"/>
  <c r="L64" i="4"/>
  <c r="M89" i="4"/>
  <c r="M121" i="4"/>
  <c r="L128" i="4"/>
  <c r="M153" i="4"/>
  <c r="L160" i="4"/>
  <c r="L17" i="4"/>
  <c r="L26" i="4"/>
  <c r="L44" i="4"/>
  <c r="L76" i="4"/>
  <c r="M101" i="4"/>
  <c r="L108" i="4"/>
  <c r="M133" i="4"/>
  <c r="L172" i="4"/>
  <c r="M642" i="4"/>
  <c r="L34" i="4"/>
  <c r="M599" i="4"/>
  <c r="M607" i="4"/>
  <c r="M639" i="4"/>
  <c r="L9" i="4"/>
  <c r="M9" i="4"/>
  <c r="L7" i="4"/>
  <c r="M7" i="4"/>
  <c r="G25" i="9"/>
  <c r="L6" i="4"/>
  <c r="E25" i="9"/>
  <c r="M200" i="4"/>
  <c r="L200" i="4"/>
  <c r="M233" i="4"/>
  <c r="L233" i="4"/>
  <c r="M236" i="4"/>
  <c r="L236" i="4"/>
  <c r="M268" i="4"/>
  <c r="L268" i="4"/>
  <c r="M297" i="4"/>
  <c r="L297" i="4"/>
  <c r="M316" i="4"/>
  <c r="L316" i="4"/>
  <c r="M321" i="4"/>
  <c r="L321" i="4"/>
  <c r="M348" i="4"/>
  <c r="L348" i="4"/>
  <c r="M353" i="4"/>
  <c r="L353" i="4"/>
  <c r="M12" i="9"/>
  <c r="N12" i="9"/>
  <c r="D12" i="9"/>
  <c r="L12" i="9"/>
  <c r="H12" i="9"/>
  <c r="F28" i="7"/>
  <c r="F19" i="7"/>
  <c r="M13" i="9"/>
  <c r="L13" i="9"/>
  <c r="D13" i="9"/>
  <c r="N13" i="9"/>
  <c r="H13" i="9"/>
  <c r="G28" i="7"/>
  <c r="G19" i="7"/>
  <c r="P173" i="4"/>
  <c r="L180" i="4"/>
  <c r="M186" i="4"/>
  <c r="L186" i="4"/>
  <c r="M193" i="4"/>
  <c r="L193" i="4"/>
  <c r="M221" i="4"/>
  <c r="L221" i="4"/>
  <c r="M224" i="4"/>
  <c r="L224" i="4"/>
  <c r="M253" i="4"/>
  <c r="L253" i="4"/>
  <c r="M288" i="4"/>
  <c r="L288" i="4"/>
  <c r="M328" i="4"/>
  <c r="L328" i="4"/>
  <c r="M360" i="4"/>
  <c r="L360" i="4"/>
  <c r="M365" i="4"/>
  <c r="L365" i="4"/>
  <c r="M10" i="9"/>
  <c r="H10" i="9"/>
  <c r="L10" i="9"/>
  <c r="D28" i="7"/>
  <c r="D19" i="7"/>
  <c r="N10" i="9"/>
  <c r="D10" i="9"/>
  <c r="M209" i="4"/>
  <c r="L209" i="4"/>
  <c r="M241" i="4"/>
  <c r="L241" i="4"/>
  <c r="M244" i="4"/>
  <c r="L244" i="4"/>
  <c r="M15" i="9"/>
  <c r="L15" i="9"/>
  <c r="D15" i="9"/>
  <c r="I28" i="7"/>
  <c r="I19" i="7"/>
  <c r="N15" i="9"/>
  <c r="H15" i="9"/>
  <c r="M273" i="4"/>
  <c r="L273" i="4"/>
  <c r="M276" i="4"/>
  <c r="L276" i="4"/>
  <c r="M305" i="4"/>
  <c r="L305" i="4"/>
  <c r="M308" i="4"/>
  <c r="L308" i="4"/>
  <c r="M313" i="4"/>
  <c r="L313" i="4"/>
  <c r="M340" i="4"/>
  <c r="L340" i="4"/>
  <c r="M377" i="4"/>
  <c r="L377" i="4"/>
  <c r="L83" i="4"/>
  <c r="L167" i="4"/>
  <c r="M192" i="4"/>
  <c r="L192" i="4"/>
  <c r="M229" i="4"/>
  <c r="L229" i="4"/>
  <c r="M232" i="4"/>
  <c r="L232" i="4"/>
  <c r="M261" i="4"/>
  <c r="L261" i="4"/>
  <c r="M264" i="4"/>
  <c r="L264" i="4"/>
  <c r="M293" i="4"/>
  <c r="L293" i="4"/>
  <c r="M296" i="4"/>
  <c r="L296" i="4"/>
  <c r="M320" i="4"/>
  <c r="L320" i="4"/>
  <c r="M389" i="4"/>
  <c r="L389" i="4"/>
  <c r="L43" i="4"/>
  <c r="L59" i="4"/>
  <c r="L79" i="4"/>
  <c r="L87" i="4"/>
  <c r="L91" i="4"/>
  <c r="L95" i="4"/>
  <c r="L135" i="4"/>
  <c r="L147" i="4"/>
  <c r="L151" i="4"/>
  <c r="M6" i="4"/>
  <c r="M14" i="4"/>
  <c r="L37" i="4"/>
  <c r="M38" i="4"/>
  <c r="M47" i="4"/>
  <c r="M51" i="4"/>
  <c r="M55" i="4"/>
  <c r="M67" i="4"/>
  <c r="M71" i="4"/>
  <c r="M75" i="4"/>
  <c r="M99" i="4"/>
  <c r="M103" i="4"/>
  <c r="M107" i="4"/>
  <c r="M111" i="4"/>
  <c r="M115" i="4"/>
  <c r="M119" i="4"/>
  <c r="M123" i="4"/>
  <c r="M127" i="4"/>
  <c r="M131" i="4"/>
  <c r="M139" i="4"/>
  <c r="M143" i="4"/>
  <c r="M155" i="4"/>
  <c r="M159" i="4"/>
  <c r="M163" i="4"/>
  <c r="M171" i="4"/>
  <c r="M173" i="4"/>
  <c r="L182" i="4"/>
  <c r="M249" i="4"/>
  <c r="L249" i="4"/>
  <c r="M281" i="4"/>
  <c r="L281" i="4"/>
  <c r="M284" i="4"/>
  <c r="L284" i="4"/>
  <c r="H16" i="9"/>
  <c r="J19" i="7"/>
  <c r="M16" i="9"/>
  <c r="D16" i="9"/>
  <c r="J28" i="7"/>
  <c r="N16" i="9"/>
  <c r="L16" i="9"/>
  <c r="M337" i="4"/>
  <c r="L337" i="4"/>
  <c r="M364" i="4"/>
  <c r="L364" i="4"/>
  <c r="M369" i="4"/>
  <c r="L369" i="4"/>
  <c r="P18" i="4"/>
  <c r="P34" i="4"/>
  <c r="L22" i="4"/>
  <c r="M202" i="4"/>
  <c r="L202" i="4"/>
  <c r="L5" i="4"/>
  <c r="L13" i="4"/>
  <c r="L21" i="4"/>
  <c r="L29" i="4"/>
  <c r="M5" i="4"/>
  <c r="L28" i="4"/>
  <c r="L36" i="4"/>
  <c r="L46" i="4"/>
  <c r="L50" i="4"/>
  <c r="L54" i="4"/>
  <c r="L58" i="4"/>
  <c r="L62" i="4"/>
  <c r="L66" i="4"/>
  <c r="L70" i="4"/>
  <c r="L74" i="4"/>
  <c r="L78" i="4"/>
  <c r="L82" i="4"/>
  <c r="L86" i="4"/>
  <c r="L90" i="4"/>
  <c r="L94" i="4"/>
  <c r="L98" i="4"/>
  <c r="L102" i="4"/>
  <c r="L106" i="4"/>
  <c r="L110" i="4"/>
  <c r="L114" i="4"/>
  <c r="L118" i="4"/>
  <c r="L122" i="4"/>
  <c r="L126" i="4"/>
  <c r="L130" i="4"/>
  <c r="L134" i="4"/>
  <c r="L138" i="4"/>
  <c r="L142" i="4"/>
  <c r="L150" i="4"/>
  <c r="L154" i="4"/>
  <c r="L158" i="4"/>
  <c r="L162" i="4"/>
  <c r="L170" i="4"/>
  <c r="L191" i="4"/>
  <c r="M208" i="4"/>
  <c r="L208" i="4"/>
  <c r="M237" i="4"/>
  <c r="L237" i="4"/>
  <c r="M240" i="4"/>
  <c r="L240" i="4"/>
  <c r="M269" i="4"/>
  <c r="L269" i="4"/>
  <c r="M272" i="4"/>
  <c r="L272" i="4"/>
  <c r="M304" i="4"/>
  <c r="L304" i="4"/>
  <c r="M312" i="4"/>
  <c r="L312" i="4"/>
  <c r="M317" i="4"/>
  <c r="L317" i="4"/>
  <c r="M344" i="4"/>
  <c r="L344" i="4"/>
  <c r="M349" i="4"/>
  <c r="L349" i="4"/>
  <c r="M381" i="4"/>
  <c r="L381" i="4"/>
  <c r="P10" i="4"/>
  <c r="P26" i="4"/>
  <c r="L30" i="4"/>
  <c r="M178" i="4"/>
  <c r="L178" i="4"/>
  <c r="L179" i="4"/>
  <c r="L203" i="4"/>
  <c r="L12" i="4"/>
  <c r="L20" i="4"/>
  <c r="L42" i="4"/>
  <c r="M9" i="9"/>
  <c r="G5" i="9"/>
  <c r="H25" i="9" s="1"/>
  <c r="N9" i="9"/>
  <c r="C28" i="7"/>
  <c r="L9" i="9"/>
  <c r="S19" i="7"/>
  <c r="S28" i="7"/>
  <c r="D9" i="9"/>
  <c r="H9" i="9"/>
  <c r="K5" i="9"/>
  <c r="J5" i="9"/>
  <c r="C19" i="7"/>
  <c r="C5" i="9"/>
  <c r="L5" i="9"/>
  <c r="L11" i="4"/>
  <c r="L19" i="4"/>
  <c r="L27" i="4"/>
  <c r="L35" i="4"/>
  <c r="M177" i="4"/>
  <c r="L177" i="4"/>
  <c r="L181" i="4"/>
  <c r="M184" i="4"/>
  <c r="L184" i="4"/>
  <c r="L188" i="4"/>
  <c r="M194" i="4"/>
  <c r="L194" i="4"/>
  <c r="M201" i="4"/>
  <c r="L201" i="4"/>
  <c r="H14" i="9"/>
  <c r="M14" i="9"/>
  <c r="D14" i="9"/>
  <c r="H19" i="7"/>
  <c r="N14" i="9"/>
  <c r="L14" i="9"/>
  <c r="H28" i="7"/>
  <c r="M225" i="4"/>
  <c r="L225" i="4"/>
  <c r="M228" i="4"/>
  <c r="L228" i="4"/>
  <c r="M257" i="4"/>
  <c r="L257" i="4"/>
  <c r="M260" i="4"/>
  <c r="L260" i="4"/>
  <c r="M289" i="4"/>
  <c r="L289" i="4"/>
  <c r="M292" i="4"/>
  <c r="L292" i="4"/>
  <c r="M324" i="4"/>
  <c r="L324" i="4"/>
  <c r="M329" i="4"/>
  <c r="L329" i="4"/>
  <c r="M356" i="4"/>
  <c r="L356" i="4"/>
  <c r="M361" i="4"/>
  <c r="L361" i="4"/>
  <c r="M11" i="9"/>
  <c r="H11" i="9"/>
  <c r="D11" i="9"/>
  <c r="N11" i="9"/>
  <c r="L11" i="9"/>
  <c r="E28" i="7"/>
  <c r="E19" i="7"/>
  <c r="P5" i="4"/>
  <c r="L41" i="4"/>
  <c r="L45" i="4"/>
  <c r="L49" i="4"/>
  <c r="L53" i="4"/>
  <c r="L57" i="4"/>
  <c r="L61" i="4"/>
  <c r="L65" i="4"/>
  <c r="L69" i="4"/>
  <c r="L73" i="4"/>
  <c r="L77" i="4"/>
  <c r="L85" i="4"/>
  <c r="L125" i="4"/>
  <c r="L165" i="4"/>
  <c r="P205" i="4"/>
  <c r="M216" i="4"/>
  <c r="L216" i="4"/>
  <c r="M245" i="4"/>
  <c r="L245" i="4"/>
  <c r="M248" i="4"/>
  <c r="L248" i="4"/>
  <c r="M277" i="4"/>
  <c r="L277" i="4"/>
  <c r="M280" i="4"/>
  <c r="L280" i="4"/>
  <c r="M309" i="4"/>
  <c r="L309" i="4"/>
  <c r="M341" i="4"/>
  <c r="L341" i="4"/>
  <c r="M373" i="4"/>
  <c r="L373" i="4"/>
  <c r="M180" i="4"/>
  <c r="M188" i="4"/>
  <c r="M196" i="4"/>
  <c r="M204" i="4"/>
  <c r="M504" i="4"/>
  <c r="L504" i="4"/>
  <c r="L511" i="4"/>
  <c r="L590" i="4"/>
  <c r="M590" i="4"/>
  <c r="M397" i="4"/>
  <c r="L397" i="4"/>
  <c r="M401" i="4"/>
  <c r="L401" i="4"/>
  <c r="M405" i="4"/>
  <c r="L405" i="4"/>
  <c r="M409" i="4"/>
  <c r="L409" i="4"/>
  <c r="M413" i="4"/>
  <c r="L413" i="4"/>
  <c r="M417" i="4"/>
  <c r="L417" i="4"/>
  <c r="M421" i="4"/>
  <c r="L421" i="4"/>
  <c r="M425" i="4"/>
  <c r="L425" i="4"/>
  <c r="M429" i="4"/>
  <c r="L429" i="4"/>
  <c r="M437" i="4"/>
  <c r="L437" i="4"/>
  <c r="M441" i="4"/>
  <c r="L441" i="4"/>
  <c r="M445" i="4"/>
  <c r="L445" i="4"/>
  <c r="M449" i="4"/>
  <c r="L449" i="4"/>
  <c r="M453" i="4"/>
  <c r="L453" i="4"/>
  <c r="M457" i="4"/>
  <c r="L457" i="4"/>
  <c r="M461" i="4"/>
  <c r="L461" i="4"/>
  <c r="M469" i="4"/>
  <c r="L469" i="4"/>
  <c r="M473" i="4"/>
  <c r="L473" i="4"/>
  <c r="M477" i="4"/>
  <c r="L477" i="4"/>
  <c r="M481" i="4"/>
  <c r="L481" i="4"/>
  <c r="M485" i="4"/>
  <c r="L485" i="4"/>
  <c r="M489" i="4"/>
  <c r="L489" i="4"/>
  <c r="M500" i="4"/>
  <c r="L500" i="4"/>
  <c r="M507" i="4"/>
  <c r="L507" i="4"/>
  <c r="M527" i="4"/>
  <c r="L527" i="4"/>
  <c r="M540" i="4"/>
  <c r="L540" i="4"/>
  <c r="M543" i="4"/>
  <c r="L543" i="4"/>
  <c r="M556" i="4"/>
  <c r="L556" i="4"/>
  <c r="M559" i="4"/>
  <c r="L559" i="4"/>
  <c r="M496" i="4"/>
  <c r="L496" i="4"/>
  <c r="M503" i="4"/>
  <c r="L503" i="4"/>
  <c r="M524" i="4"/>
  <c r="L524" i="4"/>
  <c r="M568" i="4"/>
  <c r="L568" i="4"/>
  <c r="M368" i="4"/>
  <c r="L368" i="4"/>
  <c r="M376" i="4"/>
  <c r="L376" i="4"/>
  <c r="M384" i="4"/>
  <c r="L384" i="4"/>
  <c r="M392" i="4"/>
  <c r="L392" i="4"/>
  <c r="M396" i="4"/>
  <c r="L396" i="4"/>
  <c r="M400" i="4"/>
  <c r="L400" i="4"/>
  <c r="M404" i="4"/>
  <c r="L404" i="4"/>
  <c r="M408" i="4"/>
  <c r="L408" i="4"/>
  <c r="M412" i="4"/>
  <c r="L412" i="4"/>
  <c r="M416" i="4"/>
  <c r="L416" i="4"/>
  <c r="M420" i="4"/>
  <c r="L420" i="4"/>
  <c r="M424" i="4"/>
  <c r="L424" i="4"/>
  <c r="M428" i="4"/>
  <c r="L428" i="4"/>
  <c r="M432" i="4"/>
  <c r="L432" i="4"/>
  <c r="M436" i="4"/>
  <c r="L436" i="4"/>
  <c r="M440" i="4"/>
  <c r="L440" i="4"/>
  <c r="M444" i="4"/>
  <c r="L444" i="4"/>
  <c r="M448" i="4"/>
  <c r="L448" i="4"/>
  <c r="M460" i="4"/>
  <c r="L460" i="4"/>
  <c r="M464" i="4"/>
  <c r="L464" i="4"/>
  <c r="M472" i="4"/>
  <c r="L472" i="4"/>
  <c r="M480" i="4"/>
  <c r="L480" i="4"/>
  <c r="M484" i="4"/>
  <c r="L484" i="4"/>
  <c r="M488" i="4"/>
  <c r="L488" i="4"/>
  <c r="P525" i="4"/>
  <c r="M552" i="4"/>
  <c r="L552" i="4"/>
  <c r="M555" i="4"/>
  <c r="L555" i="4"/>
  <c r="M17" i="9"/>
  <c r="L17" i="9"/>
  <c r="D17" i="9"/>
  <c r="K19" i="7"/>
  <c r="K28" i="7"/>
  <c r="N17" i="9"/>
  <c r="H17" i="9"/>
  <c r="H18" i="9"/>
  <c r="N18" i="9"/>
  <c r="M18" i="9"/>
  <c r="L28" i="7"/>
  <c r="D18" i="9"/>
  <c r="L18" i="9"/>
  <c r="L19" i="7"/>
  <c r="M19" i="9"/>
  <c r="L19" i="9"/>
  <c r="D19" i="9"/>
  <c r="N19" i="9"/>
  <c r="H19" i="9"/>
  <c r="M28" i="7"/>
  <c r="M19" i="7"/>
  <c r="H20" i="9"/>
  <c r="N20" i="9"/>
  <c r="M20" i="9"/>
  <c r="L20" i="9"/>
  <c r="D20" i="9"/>
  <c r="N28" i="7"/>
  <c r="N19" i="7"/>
  <c r="M21" i="9"/>
  <c r="L21" i="9"/>
  <c r="D21" i="9"/>
  <c r="H21" i="9"/>
  <c r="N21" i="9"/>
  <c r="O28" i="7"/>
  <c r="O19" i="7"/>
  <c r="M495" i="4"/>
  <c r="L495" i="4"/>
  <c r="M520" i="4"/>
  <c r="L520" i="4"/>
  <c r="M523" i="4"/>
  <c r="L523" i="4"/>
  <c r="M183" i="4"/>
  <c r="M207" i="4"/>
  <c r="L207" i="4"/>
  <c r="M215" i="4"/>
  <c r="L215" i="4"/>
  <c r="M219" i="4"/>
  <c r="L219" i="4"/>
  <c r="M223" i="4"/>
  <c r="L223" i="4"/>
  <c r="M227" i="4"/>
  <c r="L227" i="4"/>
  <c r="M231" i="4"/>
  <c r="L231" i="4"/>
  <c r="M235" i="4"/>
  <c r="L235" i="4"/>
  <c r="M239" i="4"/>
  <c r="L239" i="4"/>
  <c r="M243" i="4"/>
  <c r="L243" i="4"/>
  <c r="M247" i="4"/>
  <c r="L247" i="4"/>
  <c r="M251" i="4"/>
  <c r="L251" i="4"/>
  <c r="M255" i="4"/>
  <c r="L255" i="4"/>
  <c r="M259" i="4"/>
  <c r="L259" i="4"/>
  <c r="M263" i="4"/>
  <c r="L263" i="4"/>
  <c r="M267" i="4"/>
  <c r="L267" i="4"/>
  <c r="M271" i="4"/>
  <c r="L271" i="4"/>
  <c r="M275" i="4"/>
  <c r="L275" i="4"/>
  <c r="M279" i="4"/>
  <c r="L279" i="4"/>
  <c r="M283" i="4"/>
  <c r="L283" i="4"/>
  <c r="M287" i="4"/>
  <c r="L287" i="4"/>
  <c r="M291" i="4"/>
  <c r="L291" i="4"/>
  <c r="M295" i="4"/>
  <c r="L295" i="4"/>
  <c r="M299" i="4"/>
  <c r="L299" i="4"/>
  <c r="M303" i="4"/>
  <c r="L303" i="4"/>
  <c r="M307" i="4"/>
  <c r="L307" i="4"/>
  <c r="M311" i="4"/>
  <c r="L311" i="4"/>
  <c r="M315" i="4"/>
  <c r="L315" i="4"/>
  <c r="M319" i="4"/>
  <c r="L319" i="4"/>
  <c r="M323" i="4"/>
  <c r="L323" i="4"/>
  <c r="M327" i="4"/>
  <c r="L327" i="4"/>
  <c r="M331" i="4"/>
  <c r="L331" i="4"/>
  <c r="M335" i="4"/>
  <c r="L335" i="4"/>
  <c r="M339" i="4"/>
  <c r="L339" i="4"/>
  <c r="M343" i="4"/>
  <c r="L343" i="4"/>
  <c r="M347" i="4"/>
  <c r="L347" i="4"/>
  <c r="M351" i="4"/>
  <c r="L351" i="4"/>
  <c r="M355" i="4"/>
  <c r="L355" i="4"/>
  <c r="M359" i="4"/>
  <c r="L359" i="4"/>
  <c r="M363" i="4"/>
  <c r="L363" i="4"/>
  <c r="M367" i="4"/>
  <c r="L367" i="4"/>
  <c r="M371" i="4"/>
  <c r="L371" i="4"/>
  <c r="M375" i="4"/>
  <c r="L375" i="4"/>
  <c r="M379" i="4"/>
  <c r="L379" i="4"/>
  <c r="M383" i="4"/>
  <c r="L383" i="4"/>
  <c r="M387" i="4"/>
  <c r="L387" i="4"/>
  <c r="L391" i="4"/>
  <c r="M395" i="4"/>
  <c r="L395" i="4"/>
  <c r="M399" i="4"/>
  <c r="L399" i="4"/>
  <c r="M403" i="4"/>
  <c r="L403" i="4"/>
  <c r="M407" i="4"/>
  <c r="L407" i="4"/>
  <c r="M411" i="4"/>
  <c r="L411" i="4"/>
  <c r="M415" i="4"/>
  <c r="L415" i="4"/>
  <c r="M419" i="4"/>
  <c r="L419" i="4"/>
  <c r="M423" i="4"/>
  <c r="L423" i="4"/>
  <c r="M427" i="4"/>
  <c r="L427" i="4"/>
  <c r="M431" i="4"/>
  <c r="L431" i="4"/>
  <c r="M435" i="4"/>
  <c r="L435" i="4"/>
  <c r="M439" i="4"/>
  <c r="L439" i="4"/>
  <c r="M443" i="4"/>
  <c r="L443" i="4"/>
  <c r="M447" i="4"/>
  <c r="L447" i="4"/>
  <c r="M451" i="4"/>
  <c r="L451" i="4"/>
  <c r="M455" i="4"/>
  <c r="L455" i="4"/>
  <c r="M459" i="4"/>
  <c r="L459" i="4"/>
  <c r="M463" i="4"/>
  <c r="L463" i="4"/>
  <c r="M467" i="4"/>
  <c r="L467" i="4"/>
  <c r="M471" i="4"/>
  <c r="L471" i="4"/>
  <c r="M475" i="4"/>
  <c r="L475" i="4"/>
  <c r="M479" i="4"/>
  <c r="L479" i="4"/>
  <c r="M483" i="4"/>
  <c r="L483" i="4"/>
  <c r="M487" i="4"/>
  <c r="L487" i="4"/>
  <c r="M491" i="4"/>
  <c r="L491" i="4"/>
  <c r="M516" i="4"/>
  <c r="L516" i="4"/>
  <c r="M532" i="4"/>
  <c r="L532" i="4"/>
  <c r="M535" i="4"/>
  <c r="L535" i="4"/>
  <c r="M548" i="4"/>
  <c r="L548" i="4"/>
  <c r="M551" i="4"/>
  <c r="L551" i="4"/>
  <c r="M564" i="4"/>
  <c r="L564" i="4"/>
  <c r="M175" i="4"/>
  <c r="M191" i="4"/>
  <c r="M199" i="4"/>
  <c r="M211" i="4"/>
  <c r="L211" i="4"/>
  <c r="M174" i="4"/>
  <c r="M182" i="4"/>
  <c r="M190" i="4"/>
  <c r="M198" i="4"/>
  <c r="M206" i="4"/>
  <c r="M512" i="4"/>
  <c r="L512" i="4"/>
  <c r="M519" i="4"/>
  <c r="L519" i="4"/>
  <c r="P565" i="4"/>
  <c r="M594" i="4"/>
  <c r="P594" i="4"/>
  <c r="M189" i="4"/>
  <c r="M197" i="4"/>
  <c r="M205" i="4"/>
  <c r="M210" i="4"/>
  <c r="L210" i="4"/>
  <c r="M214" i="4"/>
  <c r="L214" i="4"/>
  <c r="M218" i="4"/>
  <c r="L218" i="4"/>
  <c r="M222" i="4"/>
  <c r="L222" i="4"/>
  <c r="M226" i="4"/>
  <c r="L226" i="4"/>
  <c r="M230" i="4"/>
  <c r="L230" i="4"/>
  <c r="M234" i="4"/>
  <c r="L234" i="4"/>
  <c r="M238" i="4"/>
  <c r="L238" i="4"/>
  <c r="M242" i="4"/>
  <c r="L242" i="4"/>
  <c r="M246" i="4"/>
  <c r="L246" i="4"/>
  <c r="M250" i="4"/>
  <c r="L250" i="4"/>
  <c r="M254" i="4"/>
  <c r="L254" i="4"/>
  <c r="M258" i="4"/>
  <c r="L258" i="4"/>
  <c r="M262" i="4"/>
  <c r="L262" i="4"/>
  <c r="M274" i="4"/>
  <c r="L274" i="4"/>
  <c r="M278" i="4"/>
  <c r="L278" i="4"/>
  <c r="M282" i="4"/>
  <c r="L282" i="4"/>
  <c r="M286" i="4"/>
  <c r="L286" i="4"/>
  <c r="M290" i="4"/>
  <c r="L290" i="4"/>
  <c r="M294" i="4"/>
  <c r="L294" i="4"/>
  <c r="M298" i="4"/>
  <c r="L298" i="4"/>
  <c r="M302" i="4"/>
  <c r="L302" i="4"/>
  <c r="M306" i="4"/>
  <c r="L306" i="4"/>
  <c r="M314" i="4"/>
  <c r="L314" i="4"/>
  <c r="M322" i="4"/>
  <c r="L322" i="4"/>
  <c r="M334" i="4"/>
  <c r="L334" i="4"/>
  <c r="M338" i="4"/>
  <c r="L338" i="4"/>
  <c r="M342" i="4"/>
  <c r="L342" i="4"/>
  <c r="M362" i="4"/>
  <c r="L362" i="4"/>
  <c r="M374" i="4"/>
  <c r="L374" i="4"/>
  <c r="M382" i="4"/>
  <c r="L382" i="4"/>
  <c r="M402" i="4"/>
  <c r="L402" i="4"/>
  <c r="M414" i="4"/>
  <c r="L414" i="4"/>
  <c r="M418" i="4"/>
  <c r="L418" i="4"/>
  <c r="M422" i="4"/>
  <c r="L422" i="4"/>
  <c r="M430" i="4"/>
  <c r="L430" i="4"/>
  <c r="M434" i="4"/>
  <c r="L434" i="4"/>
  <c r="M442" i="4"/>
  <c r="L442" i="4"/>
  <c r="M450" i="4"/>
  <c r="L450" i="4"/>
  <c r="M454" i="4"/>
  <c r="L454" i="4"/>
  <c r="M458" i="4"/>
  <c r="L458" i="4"/>
  <c r="M462" i="4"/>
  <c r="L462" i="4"/>
  <c r="M482" i="4"/>
  <c r="L482" i="4"/>
  <c r="M528" i="4"/>
  <c r="L528" i="4"/>
  <c r="M531" i="4"/>
  <c r="L531" i="4"/>
  <c r="M544" i="4"/>
  <c r="L544" i="4"/>
  <c r="M560" i="4"/>
  <c r="L560" i="4"/>
  <c r="M563" i="4"/>
  <c r="L563" i="4"/>
  <c r="L628" i="4"/>
  <c r="M628" i="4"/>
  <c r="E23" i="3"/>
  <c r="E20" i="3"/>
  <c r="E5" i="3"/>
  <c r="AC6" i="5" s="1"/>
  <c r="E40" i="3"/>
  <c r="E37" i="3"/>
  <c r="E24" i="3"/>
  <c r="E21" i="3"/>
  <c r="E18" i="3"/>
  <c r="E15" i="3"/>
  <c r="I5" i="3"/>
  <c r="E39" i="3"/>
  <c r="E36" i="3"/>
  <c r="E11" i="3"/>
  <c r="B611" i="4"/>
  <c r="E14" i="3"/>
  <c r="E29" i="3"/>
  <c r="L622" i="4"/>
  <c r="M622" i="4"/>
  <c r="L644" i="4"/>
  <c r="M644" i="4"/>
  <c r="L582" i="4"/>
  <c r="M582" i="4"/>
  <c r="B605" i="4"/>
  <c r="P634" i="4"/>
  <c r="L636" i="4"/>
  <c r="M636" i="4"/>
  <c r="E9" i="3"/>
  <c r="C618" i="4"/>
  <c r="C578" i="4"/>
  <c r="M567" i="4"/>
  <c r="L567" i="4"/>
  <c r="M571" i="4"/>
  <c r="L571" i="4"/>
  <c r="H5" i="3"/>
  <c r="E7" i="3"/>
  <c r="L588" i="4"/>
  <c r="M588" i="4"/>
  <c r="M608" i="4"/>
  <c r="L632" i="4"/>
  <c r="L638" i="4"/>
  <c r="M638" i="4"/>
  <c r="P642" i="4"/>
  <c r="E12" i="3"/>
  <c r="C619" i="4"/>
  <c r="C579" i="4"/>
  <c r="M494" i="4"/>
  <c r="L494" i="4"/>
  <c r="M502" i="4"/>
  <c r="L502" i="4"/>
  <c r="M514" i="4"/>
  <c r="L514" i="4"/>
  <c r="M518" i="4"/>
  <c r="L518" i="4"/>
  <c r="M522" i="4"/>
  <c r="L522" i="4"/>
  <c r="M530" i="4"/>
  <c r="L530" i="4"/>
  <c r="M534" i="4"/>
  <c r="L534" i="4"/>
  <c r="M538" i="4"/>
  <c r="L538" i="4"/>
  <c r="M542" i="4"/>
  <c r="L542" i="4"/>
  <c r="M546" i="4"/>
  <c r="L546" i="4"/>
  <c r="M550" i="4"/>
  <c r="L550" i="4"/>
  <c r="M554" i="4"/>
  <c r="L554" i="4"/>
  <c r="M562" i="4"/>
  <c r="L562" i="4"/>
  <c r="M570" i="4"/>
  <c r="L570" i="4"/>
  <c r="B574" i="4"/>
  <c r="M578" i="4"/>
  <c r="L584" i="4"/>
  <c r="L604" i="4"/>
  <c r="M604" i="4"/>
  <c r="M624" i="4"/>
  <c r="M641" i="4"/>
  <c r="E6" i="3"/>
  <c r="E8" i="3"/>
  <c r="E34" i="3"/>
  <c r="M592" i="4"/>
  <c r="L597" i="4"/>
  <c r="M597" i="4"/>
  <c r="L600" i="4"/>
  <c r="P605" i="4"/>
  <c r="L640" i="4"/>
  <c r="I7" i="3"/>
  <c r="H7" i="3"/>
  <c r="E16" i="3"/>
  <c r="E31" i="3"/>
  <c r="L643" i="4"/>
  <c r="M643" i="4"/>
  <c r="M493" i="4"/>
  <c r="L493" i="4"/>
  <c r="M497" i="4"/>
  <c r="L497" i="4"/>
  <c r="M505" i="4"/>
  <c r="L505" i="4"/>
  <c r="M509" i="4"/>
  <c r="L509" i="4"/>
  <c r="M517" i="4"/>
  <c r="L517" i="4"/>
  <c r="M521" i="4"/>
  <c r="L521" i="4"/>
  <c r="B525" i="4"/>
  <c r="M529" i="4"/>
  <c r="L529" i="4"/>
  <c r="M537" i="4"/>
  <c r="L537" i="4"/>
  <c r="M549" i="4"/>
  <c r="L549" i="4"/>
  <c r="M553" i="4"/>
  <c r="L553" i="4"/>
  <c r="M561" i="4"/>
  <c r="L561" i="4"/>
  <c r="B565" i="4"/>
  <c r="M569" i="4"/>
  <c r="L569" i="4"/>
  <c r="M573" i="4"/>
  <c r="L573" i="4"/>
  <c r="P610" i="4"/>
  <c r="L612" i="4"/>
  <c r="M612" i="4"/>
  <c r="M632" i="4"/>
  <c r="L637" i="4"/>
  <c r="M637" i="4"/>
  <c r="I6" i="3"/>
  <c r="H8" i="3"/>
  <c r="E10" i="3"/>
  <c r="E13" i="3"/>
  <c r="E28" i="3"/>
  <c r="E32" i="3"/>
  <c r="E19" i="3"/>
  <c r="E22" i="3"/>
  <c r="E25" i="3"/>
  <c r="E43" i="3"/>
  <c r="E44" i="3"/>
  <c r="E35" i="3"/>
  <c r="E38" i="3"/>
  <c r="E41" i="3"/>
  <c r="B579" i="4"/>
  <c r="B595" i="4"/>
  <c r="B603" i="4"/>
  <c r="B619" i="4"/>
  <c r="B635" i="4"/>
  <c r="E17" i="3"/>
  <c r="L578" i="4"/>
  <c r="B586" i="4"/>
  <c r="C587" i="4"/>
  <c r="L594" i="4"/>
  <c r="L602" i="4"/>
  <c r="L618" i="4"/>
  <c r="B626" i="4"/>
  <c r="L634" i="4"/>
  <c r="L642" i="4"/>
  <c r="H6" i="3"/>
  <c r="E42" i="3"/>
  <c r="H22" i="9"/>
  <c r="N22" i="9"/>
  <c r="M22" i="9"/>
  <c r="L22" i="9"/>
  <c r="D22" i="9"/>
  <c r="P19" i="7"/>
  <c r="P28" i="7"/>
  <c r="M23" i="9"/>
  <c r="L23" i="9"/>
  <c r="D23" i="9"/>
  <c r="Q28" i="7"/>
  <c r="H23" i="9"/>
  <c r="N23" i="9"/>
  <c r="Q19" i="7"/>
  <c r="L577" i="4"/>
  <c r="L593" i="4"/>
  <c r="C594" i="4"/>
  <c r="L601" i="4"/>
  <c r="H24" i="9"/>
  <c r="R19" i="7"/>
  <c r="N24" i="9"/>
  <c r="M24" i="9"/>
  <c r="L24" i="9"/>
  <c r="D24" i="9"/>
  <c r="R28" i="7"/>
  <c r="L609" i="4"/>
  <c r="L633" i="4"/>
  <c r="L641" i="4"/>
  <c r="E27" i="3"/>
  <c r="E30" i="3"/>
  <c r="E33" i="3"/>
  <c r="C33" i="7"/>
  <c r="D35" i="7"/>
  <c r="D33" i="7"/>
  <c r="C36" i="7"/>
  <c r="E33" i="7"/>
  <c r="E35" i="7"/>
  <c r="E34" i="7"/>
  <c r="C34" i="7"/>
  <c r="D34" i="7"/>
  <c r="F25" i="9"/>
  <c r="E36" i="7"/>
  <c r="D36" i="7"/>
  <c r="C35" i="7"/>
  <c r="C29" i="9"/>
  <c r="E29" i="9"/>
  <c r="F29" i="9"/>
  <c r="C30" i="9"/>
  <c r="E30" i="9"/>
  <c r="E38" i="6" l="1"/>
  <c r="L206" i="4"/>
  <c r="I37" i="5"/>
  <c r="I40" i="5"/>
  <c r="J39" i="5"/>
  <c r="J38" i="5"/>
  <c r="F33" i="5"/>
  <c r="N32" i="6"/>
  <c r="M583" i="4"/>
  <c r="L583" i="4"/>
  <c r="L330" i="4"/>
  <c r="M330" i="4"/>
  <c r="M266" i="4"/>
  <c r="L266" i="4"/>
  <c r="L270" i="4"/>
  <c r="M270" i="4"/>
  <c r="D39" i="6"/>
  <c r="D32" i="6"/>
  <c r="D36" i="6"/>
  <c r="D37" i="6"/>
  <c r="D38" i="6"/>
  <c r="L310" i="4"/>
  <c r="M310" i="4"/>
  <c r="L318" i="4"/>
  <c r="M318" i="4"/>
  <c r="M393" i="4"/>
  <c r="L393" i="4"/>
  <c r="L446" i="4"/>
  <c r="M446" i="4"/>
  <c r="L478" i="4"/>
  <c r="M478" i="4"/>
  <c r="L566" i="4"/>
  <c r="M566" i="4"/>
  <c r="L616" i="4"/>
  <c r="M616" i="4"/>
  <c r="M630" i="4"/>
  <c r="L630" i="4"/>
  <c r="L498" i="4"/>
  <c r="M498" i="4"/>
  <c r="M378" i="4"/>
  <c r="L378" i="4"/>
  <c r="L352" i="4"/>
  <c r="M352" i="4"/>
  <c r="L252" i="4"/>
  <c r="M252" i="4"/>
  <c r="M300" i="4"/>
  <c r="L300" i="4"/>
  <c r="L326" i="4"/>
  <c r="M326" i="4"/>
  <c r="L332" i="4"/>
  <c r="M332" i="4"/>
  <c r="M385" i="4"/>
  <c r="L385" i="4"/>
  <c r="M526" i="4"/>
  <c r="L526" i="4"/>
  <c r="M545" i="4"/>
  <c r="L545" i="4"/>
  <c r="M625" i="4"/>
  <c r="L625" i="4"/>
  <c r="M610" i="4"/>
  <c r="L610" i="4"/>
  <c r="B34" i="11" a="1"/>
  <c r="C34" i="11" a="1"/>
  <c r="B50" i="13" a="1"/>
  <c r="D50" i="13" a="1"/>
  <c r="I39" i="13"/>
  <c r="F39" i="13"/>
  <c r="G39" i="13"/>
  <c r="D56" i="13" a="1"/>
  <c r="B56" i="13" a="1"/>
  <c r="D29" i="11" a="1"/>
  <c r="B29" i="11" a="1"/>
  <c r="B64" i="11" a="1"/>
  <c r="D64" i="11" a="1"/>
  <c r="B52" i="11" a="1"/>
  <c r="D52" i="11" a="1"/>
  <c r="F34" i="11"/>
  <c r="G34" i="11"/>
  <c r="E34" i="11"/>
  <c r="H34" i="11" s="1"/>
  <c r="K34" i="11"/>
  <c r="B48" i="11" a="1"/>
  <c r="D48" i="11" a="1"/>
  <c r="B37" i="13" a="1"/>
  <c r="D37" i="13" a="1"/>
  <c r="C37" i="13" a="1"/>
  <c r="D46" i="13" a="1"/>
  <c r="B46" i="13" a="1"/>
  <c r="I66" i="11"/>
  <c r="E66" i="11"/>
  <c r="G66" i="11"/>
  <c r="F66" i="11"/>
  <c r="B60" i="11" a="1"/>
  <c r="D60" i="11" a="1"/>
  <c r="E36" i="11"/>
  <c r="H36" i="11" s="1"/>
  <c r="G36" i="11"/>
  <c r="F36" i="11"/>
  <c r="B46" i="11" a="1"/>
  <c r="G46" i="11" s="1"/>
  <c r="D46" i="11" a="1"/>
  <c r="B68" i="11" a="1"/>
  <c r="D68" i="11" a="1"/>
  <c r="B38" i="11" a="1"/>
  <c r="D38" i="11" a="1"/>
  <c r="B50" i="11" a="1"/>
  <c r="D50" i="11" a="1"/>
  <c r="F40" i="11"/>
  <c r="K40" i="11"/>
  <c r="B30" i="11" a="1"/>
  <c r="D30" i="11" a="1"/>
  <c r="D31" i="11" a="1"/>
  <c r="B31" i="11" a="1"/>
  <c r="B42" i="11" a="1"/>
  <c r="C42" i="11" a="1"/>
  <c r="B32" i="11" a="1"/>
  <c r="D32" i="11" a="1"/>
  <c r="C32" i="11" a="1"/>
  <c r="F11" i="12"/>
  <c r="F11" i="10"/>
  <c r="E11" i="10"/>
  <c r="D6" i="10"/>
  <c r="N38" i="5"/>
  <c r="K32" i="6"/>
  <c r="L37" i="6"/>
  <c r="M32" i="6"/>
  <c r="P32" i="6"/>
  <c r="H36" i="7"/>
  <c r="Q38" i="6"/>
  <c r="K29" i="9"/>
  <c r="E11" i="13"/>
  <c r="F11" i="11"/>
  <c r="E11" i="11"/>
  <c r="E37" i="6"/>
  <c r="M46" i="4"/>
  <c r="E32" i="6"/>
  <c r="E39" i="5"/>
  <c r="E33" i="5"/>
  <c r="E38" i="5"/>
  <c r="E39" i="6"/>
  <c r="E36" i="6"/>
  <c r="M52" i="4"/>
  <c r="L52" i="4"/>
  <c r="M63" i="4"/>
  <c r="E35" i="6"/>
  <c r="L63" i="4"/>
  <c r="G38" i="6"/>
  <c r="G33" i="5"/>
  <c r="M137" i="4"/>
  <c r="L354" i="4"/>
  <c r="M354" i="4"/>
  <c r="L394" i="4"/>
  <c r="M394" i="4"/>
  <c r="L474" i="4"/>
  <c r="M474" i="4"/>
  <c r="L508" i="4"/>
  <c r="M508" i="4"/>
  <c r="L410" i="4"/>
  <c r="M410" i="4"/>
  <c r="L426" i="4"/>
  <c r="M426" i="4"/>
  <c r="L536" i="4"/>
  <c r="M536" i="4"/>
  <c r="M589" i="4"/>
  <c r="L589" i="4"/>
  <c r="L629" i="4"/>
  <c r="M629" i="4"/>
  <c r="M220" i="4"/>
  <c r="L220" i="4"/>
  <c r="M357" i="4"/>
  <c r="L357" i="4"/>
  <c r="L386" i="4"/>
  <c r="M386" i="4"/>
  <c r="L388" i="4"/>
  <c r="M388" i="4"/>
  <c r="M390" i="4"/>
  <c r="L390" i="4"/>
  <c r="L468" i="4"/>
  <c r="M468" i="4"/>
  <c r="L470" i="4"/>
  <c r="M470" i="4"/>
  <c r="M557" i="4"/>
  <c r="L557" i="4"/>
  <c r="L614" i="4"/>
  <c r="M614" i="4"/>
  <c r="L325" i="4"/>
  <c r="M325" i="4"/>
  <c r="L285" i="4"/>
  <c r="M285" i="4"/>
  <c r="L205" i="4"/>
  <c r="I36" i="6"/>
  <c r="I32" i="6"/>
  <c r="I38" i="6"/>
  <c r="I37" i="6"/>
  <c r="I39" i="6"/>
  <c r="L615" i="4"/>
  <c r="M615" i="4"/>
  <c r="M539" i="4"/>
  <c r="L539" i="4"/>
  <c r="M145" i="4"/>
  <c r="L145" i="4"/>
  <c r="L265" i="4"/>
  <c r="M265" i="4"/>
  <c r="L346" i="4"/>
  <c r="M346" i="4"/>
  <c r="L380" i="4"/>
  <c r="M380" i="4"/>
  <c r="M398" i="4"/>
  <c r="L398" i="4"/>
  <c r="M466" i="4"/>
  <c r="L466" i="4"/>
  <c r="M576" i="4"/>
  <c r="L576" i="4"/>
  <c r="M620" i="4"/>
  <c r="L620" i="4"/>
  <c r="M366" i="4"/>
  <c r="L366" i="4"/>
  <c r="H36" i="6"/>
  <c r="H38" i="6"/>
  <c r="M166" i="4"/>
  <c r="H39" i="6"/>
  <c r="L166" i="4"/>
  <c r="H37" i="6"/>
  <c r="H32" i="6"/>
  <c r="L585" i="4"/>
  <c r="M585" i="4"/>
  <c r="M185" i="4"/>
  <c r="L185" i="4"/>
  <c r="M510" i="4"/>
  <c r="L510" i="4"/>
  <c r="M492" i="4"/>
  <c r="L492" i="4"/>
  <c r="M372" i="4"/>
  <c r="L372" i="4"/>
  <c r="M195" i="4"/>
  <c r="L195" i="4"/>
  <c r="M336" i="4"/>
  <c r="L336" i="4"/>
  <c r="M456" i="4"/>
  <c r="L456" i="4"/>
  <c r="M499" i="4"/>
  <c r="L499" i="4"/>
  <c r="L572" i="4"/>
  <c r="M572" i="4"/>
  <c r="M617" i="4"/>
  <c r="L617" i="4"/>
  <c r="L217" i="4"/>
  <c r="M217" i="4"/>
  <c r="M140" i="4"/>
  <c r="G39" i="6"/>
  <c r="G32" i="6"/>
  <c r="L140" i="4"/>
  <c r="M146" i="4"/>
  <c r="L146" i="4"/>
  <c r="M176" i="4"/>
  <c r="L176" i="4"/>
  <c r="M212" i="4"/>
  <c r="L212" i="4"/>
  <c r="J39" i="6"/>
  <c r="J38" i="6"/>
  <c r="J40" i="5"/>
  <c r="J36" i="6"/>
  <c r="J32" i="6"/>
  <c r="J37" i="5"/>
  <c r="J37" i="6"/>
  <c r="M256" i="4"/>
  <c r="L256" i="4"/>
  <c r="M345" i="4"/>
  <c r="L345" i="4"/>
  <c r="L358" i="4"/>
  <c r="M358" i="4"/>
  <c r="M433" i="4"/>
  <c r="L433" i="4"/>
  <c r="M452" i="4"/>
  <c r="O39" i="6"/>
  <c r="L452" i="4"/>
  <c r="O32" i="6"/>
  <c r="L465" i="4"/>
  <c r="M465" i="4"/>
  <c r="K21" i="9"/>
  <c r="L486" i="4"/>
  <c r="M486" i="4"/>
  <c r="L506" i="4"/>
  <c r="M506" i="4"/>
  <c r="M513" i="4"/>
  <c r="L513" i="4"/>
  <c r="M515" i="4"/>
  <c r="L515" i="4"/>
  <c r="L558" i="4"/>
  <c r="M558" i="4"/>
  <c r="L575" i="4"/>
  <c r="M575" i="4"/>
  <c r="M580" i="4"/>
  <c r="L580" i="4"/>
  <c r="M606" i="4"/>
  <c r="L606" i="4"/>
  <c r="M333" i="4"/>
  <c r="L333" i="4"/>
  <c r="M213" i="4"/>
  <c r="L213" i="4"/>
  <c r="M25" i="4"/>
  <c r="D35" i="6"/>
  <c r="T36" i="5"/>
  <c r="G29" i="9"/>
  <c r="G30" i="9"/>
  <c r="T35" i="6"/>
  <c r="D39" i="5"/>
  <c r="D40" i="5"/>
  <c r="L25" i="4"/>
  <c r="M56" i="4"/>
  <c r="L56" i="4"/>
  <c r="M96" i="4"/>
  <c r="F32" i="6"/>
  <c r="L96" i="4"/>
  <c r="F38" i="6"/>
  <c r="F39" i="6"/>
  <c r="F37" i="6"/>
  <c r="F36" i="6"/>
  <c r="L350" i="4"/>
  <c r="M350" i="4"/>
  <c r="L406" i="4"/>
  <c r="M406" i="4"/>
  <c r="M490" i="4"/>
  <c r="L490" i="4"/>
  <c r="L370" i="4"/>
  <c r="M370" i="4"/>
  <c r="M581" i="4"/>
  <c r="L581" i="4"/>
  <c r="L631" i="4"/>
  <c r="M631" i="4"/>
  <c r="L591" i="4"/>
  <c r="M591" i="4"/>
  <c r="M621" i="4"/>
  <c r="L621" i="4"/>
  <c r="L623" i="4"/>
  <c r="M623" i="4"/>
  <c r="M613" i="4"/>
  <c r="L613" i="4"/>
  <c r="M533" i="4"/>
  <c r="L533" i="4"/>
  <c r="L547" i="4"/>
  <c r="M547" i="4"/>
  <c r="M587" i="4"/>
  <c r="L587" i="4"/>
  <c r="M596" i="4"/>
  <c r="L596" i="4"/>
  <c r="L476" i="4"/>
  <c r="M476" i="4"/>
  <c r="L501" i="4"/>
  <c r="M501" i="4"/>
  <c r="L541" i="4"/>
  <c r="M541" i="4"/>
  <c r="M598" i="4"/>
  <c r="L598" i="4"/>
  <c r="D6" i="13"/>
  <c r="D6" i="11"/>
  <c r="B5" i="9"/>
  <c r="E626" i="4"/>
  <c r="E586" i="4"/>
  <c r="E546" i="4"/>
  <c r="E506" i="4"/>
  <c r="E466" i="4"/>
  <c r="E426" i="4"/>
  <c r="E386" i="4"/>
  <c r="E346" i="4"/>
  <c r="E306" i="4"/>
  <c r="E266" i="4"/>
  <c r="E226" i="4"/>
  <c r="E186" i="4"/>
  <c r="E146" i="4"/>
  <c r="E106" i="4"/>
  <c r="E66" i="4"/>
  <c r="E26" i="4"/>
  <c r="O37" i="6"/>
  <c r="H47" i="11"/>
  <c r="M438" i="4"/>
  <c r="Q40" i="5"/>
  <c r="Q37" i="6"/>
  <c r="N33" i="5"/>
  <c r="N38" i="6"/>
  <c r="L627" i="4"/>
  <c r="L33" i="5"/>
  <c r="N37" i="5"/>
  <c r="T40" i="5"/>
  <c r="L40" i="5"/>
  <c r="N37" i="6"/>
  <c r="K37" i="6"/>
  <c r="M38" i="6"/>
  <c r="L39" i="6"/>
  <c r="L39" i="5"/>
  <c r="T39" i="5"/>
  <c r="P39" i="5"/>
  <c r="S38" i="5"/>
  <c r="P40" i="5"/>
  <c r="L38" i="6"/>
  <c r="N40" i="5"/>
  <c r="L438" i="4"/>
  <c r="P33" i="5"/>
  <c r="L37" i="5"/>
  <c r="B47" i="13" a="1"/>
  <c r="H62" i="13"/>
  <c r="C39" i="13" a="1"/>
  <c r="B35" i="13" a="1"/>
  <c r="D62" i="13" a="1"/>
  <c r="E39" i="13"/>
  <c r="B64" i="13" a="1"/>
  <c r="H39" i="13"/>
  <c r="B43" i="13" a="1"/>
  <c r="C48" i="13" a="1"/>
  <c r="D23" i="11"/>
  <c r="G23" i="11" s="1"/>
  <c r="D66" i="10" a="1"/>
  <c r="D58" i="13" a="1"/>
  <c r="H19" i="11"/>
  <c r="C62" i="13" a="1"/>
  <c r="K62" i="13"/>
  <c r="F58" i="13"/>
  <c r="F62" i="13"/>
  <c r="D18" i="13"/>
  <c r="G18" i="13" s="1"/>
  <c r="D58" i="10" a="1"/>
  <c r="B58" i="10" a="1"/>
  <c r="C54" i="10" a="1"/>
  <c r="C66" i="10" a="1"/>
  <c r="B50" i="10" a="1"/>
  <c r="K37" i="5"/>
  <c r="D17" i="10"/>
  <c r="G17" i="10" s="1"/>
  <c r="D21" i="12"/>
  <c r="G21" i="12" s="1"/>
  <c r="K40" i="5"/>
  <c r="P429" i="4"/>
  <c r="G37" i="6"/>
  <c r="G47" i="11"/>
  <c r="C31" i="11" a="1"/>
  <c r="C52" i="13" a="1"/>
  <c r="D15" i="11"/>
  <c r="G15" i="11" s="1"/>
  <c r="D16" i="12"/>
  <c r="G16" i="12" s="1"/>
  <c r="H21" i="11"/>
  <c r="S33" i="5"/>
  <c r="H16" i="12"/>
  <c r="R36" i="6"/>
  <c r="D13" i="13"/>
  <c r="G13" i="13" s="1"/>
  <c r="D12" i="13"/>
  <c r="G12" i="13" s="1"/>
  <c r="R37" i="6"/>
  <c r="M38" i="5"/>
  <c r="L32" i="6"/>
  <c r="N36" i="6"/>
  <c r="P37" i="6"/>
  <c r="K39" i="5"/>
  <c r="G36" i="6"/>
  <c r="I47" i="11"/>
  <c r="L47" i="11" s="1"/>
  <c r="C59" i="13" a="1"/>
  <c r="K39" i="6"/>
  <c r="L301" i="4"/>
  <c r="K33" i="5"/>
  <c r="Q38" i="5"/>
  <c r="K36" i="6"/>
  <c r="T39" i="6"/>
  <c r="O36" i="6"/>
  <c r="D35" i="13" a="1"/>
  <c r="E58" i="13"/>
  <c r="M39" i="6"/>
  <c r="B52" i="13" a="1"/>
  <c r="H24" i="10"/>
  <c r="D20" i="10"/>
  <c r="G20" i="10" s="1"/>
  <c r="D22" i="10"/>
  <c r="G22" i="10" s="1"/>
  <c r="R39" i="5"/>
  <c r="T38" i="5"/>
  <c r="O38" i="6"/>
  <c r="K39" i="13"/>
  <c r="M39" i="5"/>
  <c r="B63" i="13" a="1"/>
  <c r="C46" i="13" a="1"/>
  <c r="C50" i="13" a="1"/>
  <c r="C51" i="13" a="1"/>
  <c r="B51" i="13" a="1"/>
  <c r="K34" i="12"/>
  <c r="E34" i="12"/>
  <c r="H34" i="12" s="1"/>
  <c r="H58" i="11"/>
  <c r="K66" i="11"/>
  <c r="G58" i="11"/>
  <c r="K36" i="11"/>
  <c r="D58" i="11" a="1"/>
  <c r="D40" i="11" a="1"/>
  <c r="F58" i="11"/>
  <c r="E40" i="11"/>
  <c r="H40" i="11" s="1"/>
  <c r="C66" i="11" a="1"/>
  <c r="C58" i="11" a="1"/>
  <c r="G40" i="11"/>
  <c r="D66" i="11" a="1"/>
  <c r="D36" i="11" a="1"/>
  <c r="I58" i="11"/>
  <c r="L58" i="11" s="1"/>
  <c r="K47" i="11"/>
  <c r="C68" i="11" a="1"/>
  <c r="C40" i="11" a="1"/>
  <c r="H66" i="11"/>
  <c r="K58" i="11"/>
  <c r="I40" i="11"/>
  <c r="J40" i="11" s="1"/>
  <c r="C36" i="11" a="1"/>
  <c r="C46" i="11" a="1"/>
  <c r="D42" i="11" a="1"/>
  <c r="D34" i="11" a="1"/>
  <c r="C30" i="11" a="1"/>
  <c r="K31" i="6"/>
  <c r="K16" i="9"/>
  <c r="H14" i="10"/>
  <c r="R32" i="5"/>
  <c r="P37" i="5"/>
  <c r="R38" i="5"/>
  <c r="M40" i="5"/>
  <c r="P38" i="6"/>
  <c r="R40" i="5"/>
  <c r="T37" i="6"/>
  <c r="K15" i="9"/>
  <c r="N39" i="6"/>
  <c r="P53" i="4"/>
  <c r="H11" i="12" s="1"/>
  <c r="K38" i="6"/>
  <c r="I6" i="11"/>
  <c r="F10" i="11"/>
  <c r="I34" i="11"/>
  <c r="J34" i="11" s="1"/>
  <c r="H18" i="12"/>
  <c r="H12" i="12"/>
  <c r="I34" i="12"/>
  <c r="J34" i="12" s="1"/>
  <c r="D15" i="13"/>
  <c r="G15" i="13" s="1"/>
  <c r="D23" i="13"/>
  <c r="G23" i="13" s="1"/>
  <c r="K58" i="13"/>
  <c r="D17" i="13"/>
  <c r="G17" i="13" s="1"/>
  <c r="H18" i="11"/>
  <c r="C6" i="11"/>
  <c r="F6" i="11" s="1"/>
  <c r="E6" i="11"/>
  <c r="D21" i="11"/>
  <c r="G21" i="11" s="1"/>
  <c r="H20" i="11"/>
  <c r="D35" i="11" a="1"/>
  <c r="C35" i="11" a="1"/>
  <c r="D25" i="10"/>
  <c r="G25" i="10" s="1"/>
  <c r="D17" i="12"/>
  <c r="G17" i="12" s="1"/>
  <c r="H10" i="12"/>
  <c r="H17" i="12"/>
  <c r="F10" i="12"/>
  <c r="D14" i="13"/>
  <c r="G14" i="13" s="1"/>
  <c r="D10" i="13"/>
  <c r="G10" i="13" s="1"/>
  <c r="H14" i="11"/>
  <c r="D45" i="11" a="1"/>
  <c r="B45" i="11" a="1"/>
  <c r="O31" i="6"/>
  <c r="B62" i="10" a="1"/>
  <c r="D11" i="11"/>
  <c r="G11" i="11" s="1"/>
  <c r="D18" i="12"/>
  <c r="G18" i="12" s="1"/>
  <c r="D12" i="12"/>
  <c r="G12" i="12" s="1"/>
  <c r="G6" i="12"/>
  <c r="H6" i="12" s="1"/>
  <c r="H15" i="12"/>
  <c r="J6" i="13"/>
  <c r="I6" i="13"/>
  <c r="H25" i="13"/>
  <c r="H15" i="13"/>
  <c r="H13" i="11"/>
  <c r="D11" i="13"/>
  <c r="G11" i="13" s="1"/>
  <c r="D17" i="11"/>
  <c r="G17" i="11" s="1"/>
  <c r="H17" i="11"/>
  <c r="D23" i="10"/>
  <c r="G23" i="10" s="1"/>
  <c r="H13" i="10"/>
  <c r="H19" i="10"/>
  <c r="H21" i="10"/>
  <c r="H14" i="12"/>
  <c r="D11" i="12"/>
  <c r="G11" i="12" s="1"/>
  <c r="C6" i="12"/>
  <c r="F6" i="12" s="1"/>
  <c r="H19" i="12"/>
  <c r="D22" i="12"/>
  <c r="G22" i="12" s="1"/>
  <c r="D14" i="12"/>
  <c r="G14" i="12" s="1"/>
  <c r="H10" i="11"/>
  <c r="B56" i="11" a="1"/>
  <c r="C56" i="11" a="1"/>
  <c r="D12" i="11"/>
  <c r="G12" i="11" s="1"/>
  <c r="H12" i="11"/>
  <c r="P79" i="4"/>
  <c r="K25" i="9" s="1"/>
  <c r="D25" i="11"/>
  <c r="G25" i="11" s="1"/>
  <c r="D22" i="11"/>
  <c r="G22" i="11" s="1"/>
  <c r="D24" i="11"/>
  <c r="G24" i="11" s="1"/>
  <c r="H24" i="12"/>
  <c r="D13" i="12"/>
  <c r="G13" i="12" s="1"/>
  <c r="H20" i="12"/>
  <c r="I6" i="12"/>
  <c r="D25" i="12"/>
  <c r="G25" i="12" s="1"/>
  <c r="H10" i="13"/>
  <c r="B62" i="11" a="1"/>
  <c r="C62" i="11" a="1"/>
  <c r="J6" i="11"/>
  <c r="D41" i="11" a="1"/>
  <c r="C41" i="11" a="1"/>
  <c r="H13" i="12"/>
  <c r="D33" i="11" a="1"/>
  <c r="C33" i="11" a="1"/>
  <c r="B53" i="11" a="1"/>
  <c r="C53" i="11" a="1"/>
  <c r="G6" i="11"/>
  <c r="H6" i="11" s="1"/>
  <c r="T32" i="6"/>
  <c r="S36" i="6"/>
  <c r="Q32" i="5"/>
  <c r="K25" i="7"/>
  <c r="D15" i="10"/>
  <c r="G15" i="10" s="1"/>
  <c r="H22" i="10"/>
  <c r="D16" i="10"/>
  <c r="G16" i="10" s="1"/>
  <c r="J31" i="6"/>
  <c r="M37" i="6"/>
  <c r="H23" i="11"/>
  <c r="D16" i="11"/>
  <c r="G16" i="11" s="1"/>
  <c r="D19" i="11"/>
  <c r="G19" i="11" s="1"/>
  <c r="H22" i="11"/>
  <c r="H25" i="12"/>
  <c r="D23" i="12"/>
  <c r="G23" i="12" s="1"/>
  <c r="D24" i="12"/>
  <c r="G24" i="12" s="1"/>
  <c r="C63" i="13" a="1"/>
  <c r="F10" i="13"/>
  <c r="H58" i="13"/>
  <c r="D16" i="13"/>
  <c r="G16" i="13" s="1"/>
  <c r="B54" i="11" a="1"/>
  <c r="C54" i="11" a="1"/>
  <c r="D43" i="11" a="1"/>
  <c r="C43" i="11" a="1"/>
  <c r="C6" i="13"/>
  <c r="F6" i="13" s="1"/>
  <c r="B55" i="11" a="1"/>
  <c r="D55" i="11" a="1"/>
  <c r="D20" i="13"/>
  <c r="G20" i="13" s="1"/>
  <c r="H24" i="13"/>
  <c r="D22" i="13"/>
  <c r="G22" i="13" s="1"/>
  <c r="D10" i="11"/>
  <c r="G10" i="11" s="1"/>
  <c r="B57" i="11" a="1"/>
  <c r="C57" i="11" a="1"/>
  <c r="D39" i="11" a="1"/>
  <c r="C39" i="11" a="1"/>
  <c r="D13" i="11"/>
  <c r="G13" i="11" s="1"/>
  <c r="D21" i="10"/>
  <c r="G21" i="10" s="1"/>
  <c r="AC23" i="5"/>
  <c r="C23" i="5" s="1"/>
  <c r="M391" i="4"/>
  <c r="M511" i="4"/>
  <c r="H12" i="10"/>
  <c r="N39" i="5"/>
  <c r="K17" i="9"/>
  <c r="D38" i="10" a="1"/>
  <c r="P39" i="6"/>
  <c r="T38" i="6"/>
  <c r="P36" i="6"/>
  <c r="K38" i="5"/>
  <c r="H25" i="11"/>
  <c r="H16" i="11"/>
  <c r="D10" i="12"/>
  <c r="G10" i="12" s="1"/>
  <c r="H22" i="12"/>
  <c r="J6" i="12"/>
  <c r="D15" i="12"/>
  <c r="G15" i="12" s="1"/>
  <c r="C58" i="13" a="1"/>
  <c r="D25" i="13"/>
  <c r="G25" i="13" s="1"/>
  <c r="G58" i="13"/>
  <c r="H11" i="11"/>
  <c r="D47" i="11" a="1"/>
  <c r="C47" i="11" a="1"/>
  <c r="D14" i="11"/>
  <c r="G14" i="11" s="1"/>
  <c r="B44" i="11" a="1"/>
  <c r="C44" i="11" a="1"/>
  <c r="D18" i="11"/>
  <c r="G18" i="11" s="1"/>
  <c r="J14" i="9"/>
  <c r="K20" i="9"/>
  <c r="Q33" i="5"/>
  <c r="H24" i="11"/>
  <c r="H15" i="11"/>
  <c r="I30" i="11"/>
  <c r="J30" i="11" s="1"/>
  <c r="H21" i="12"/>
  <c r="E6" i="12"/>
  <c r="D19" i="12"/>
  <c r="G19" i="12" s="1"/>
  <c r="D20" i="12"/>
  <c r="G20" i="12" s="1"/>
  <c r="D24" i="13"/>
  <c r="G24" i="13" s="1"/>
  <c r="D21" i="13"/>
  <c r="G21" i="13" s="1"/>
  <c r="H23" i="13"/>
  <c r="H23" i="12"/>
  <c r="D37" i="11" a="1"/>
  <c r="C37" i="11" a="1"/>
  <c r="D19" i="13"/>
  <c r="G19" i="13" s="1"/>
  <c r="E6" i="13"/>
  <c r="D20" i="11"/>
  <c r="G20" i="11" s="1"/>
  <c r="C45" i="13" a="1"/>
  <c r="B45" i="13" a="1"/>
  <c r="D45" i="13" a="1"/>
  <c r="F56" i="13"/>
  <c r="E56" i="13"/>
  <c r="K56" i="13"/>
  <c r="I56" i="13"/>
  <c r="H56" i="13"/>
  <c r="G56" i="13"/>
  <c r="F40" i="13"/>
  <c r="E40" i="13"/>
  <c r="K40" i="13"/>
  <c r="I40" i="13"/>
  <c r="H40" i="13"/>
  <c r="G40" i="13"/>
  <c r="F51" i="13"/>
  <c r="H51" i="13"/>
  <c r="G51" i="13"/>
  <c r="E51" i="13"/>
  <c r="K51" i="13"/>
  <c r="I51" i="13"/>
  <c r="L62" i="13"/>
  <c r="J62" i="13"/>
  <c r="L58" i="13"/>
  <c r="J58" i="13"/>
  <c r="F29" i="13"/>
  <c r="G29" i="13"/>
  <c r="E29" i="13"/>
  <c r="H29" i="13" s="1"/>
  <c r="K29" i="13"/>
  <c r="F46" i="13"/>
  <c r="K46" i="13"/>
  <c r="G46" i="13"/>
  <c r="I46" i="13"/>
  <c r="H46" i="13"/>
  <c r="E46" i="13"/>
  <c r="F47" i="13"/>
  <c r="H47" i="13"/>
  <c r="G47" i="13"/>
  <c r="E47" i="13"/>
  <c r="K47" i="13"/>
  <c r="I47" i="13"/>
  <c r="B66" i="13" a="1"/>
  <c r="D66" i="13" a="1"/>
  <c r="C66" i="13" a="1"/>
  <c r="F52" i="13"/>
  <c r="E52" i="13"/>
  <c r="K52" i="13"/>
  <c r="I52" i="13"/>
  <c r="H52" i="13"/>
  <c r="G52" i="13"/>
  <c r="F43" i="13"/>
  <c r="H43" i="13"/>
  <c r="G43" i="13"/>
  <c r="E43" i="13"/>
  <c r="K43" i="13"/>
  <c r="I43" i="13"/>
  <c r="L39" i="13"/>
  <c r="J39" i="13"/>
  <c r="D36" i="13" a="1"/>
  <c r="C36" i="13" a="1"/>
  <c r="B36" i="13" a="1"/>
  <c r="F37" i="13"/>
  <c r="I37" i="13"/>
  <c r="G37" i="13"/>
  <c r="E37" i="13"/>
  <c r="H37" i="13" s="1"/>
  <c r="K37" i="13"/>
  <c r="C41" i="13" a="1"/>
  <c r="B41" i="13" a="1"/>
  <c r="D41" i="13" a="1"/>
  <c r="C65" i="13" a="1"/>
  <c r="B65" i="13" a="1"/>
  <c r="D65" i="13" a="1"/>
  <c r="F63" i="13"/>
  <c r="H63" i="13"/>
  <c r="G63" i="13"/>
  <c r="E63" i="13"/>
  <c r="K63" i="13"/>
  <c r="I63" i="13"/>
  <c r="C61" i="13" a="1"/>
  <c r="B61" i="13" a="1"/>
  <c r="D61" i="13" a="1"/>
  <c r="D34" i="13" a="1"/>
  <c r="C34" i="13" a="1"/>
  <c r="B34" i="13" a="1"/>
  <c r="D68" i="13" a="1"/>
  <c r="C68" i="13" a="1"/>
  <c r="B68" i="13" a="1"/>
  <c r="F64" i="13"/>
  <c r="E64" i="13"/>
  <c r="K64" i="13"/>
  <c r="I64" i="13"/>
  <c r="H64" i="13"/>
  <c r="G64" i="13"/>
  <c r="F48" i="13"/>
  <c r="E48" i="13"/>
  <c r="K48" i="13"/>
  <c r="I48" i="13"/>
  <c r="H48" i="13"/>
  <c r="G48" i="13"/>
  <c r="F50" i="13"/>
  <c r="K50" i="13"/>
  <c r="I50" i="13"/>
  <c r="H50" i="13"/>
  <c r="G50" i="13"/>
  <c r="E50" i="13"/>
  <c r="D67" i="13" a="1"/>
  <c r="C67" i="13" a="1"/>
  <c r="B67" i="13" a="1"/>
  <c r="C57" i="13" a="1"/>
  <c r="B57" i="13" a="1"/>
  <c r="D57" i="13" a="1"/>
  <c r="D32" i="13" a="1"/>
  <c r="C32" i="13" a="1"/>
  <c r="B32" i="13" a="1"/>
  <c r="F59" i="13"/>
  <c r="H59" i="13"/>
  <c r="G59" i="13"/>
  <c r="E59" i="13"/>
  <c r="K59" i="13"/>
  <c r="I59" i="13"/>
  <c r="F33" i="13"/>
  <c r="I33" i="13"/>
  <c r="G33" i="13"/>
  <c r="E33" i="13"/>
  <c r="H33" i="13" s="1"/>
  <c r="K33" i="13"/>
  <c r="F35" i="13"/>
  <c r="I35" i="13"/>
  <c r="G35" i="13"/>
  <c r="E35" i="13"/>
  <c r="H35" i="13" s="1"/>
  <c r="K35" i="13"/>
  <c r="F42" i="13"/>
  <c r="K42" i="13"/>
  <c r="G42" i="13"/>
  <c r="I42" i="13"/>
  <c r="H42" i="13"/>
  <c r="E42" i="13"/>
  <c r="C53" i="13" a="1"/>
  <c r="B53" i="13" a="1"/>
  <c r="D53" i="13" a="1"/>
  <c r="D30" i="13" a="1"/>
  <c r="C30" i="13" a="1"/>
  <c r="B30" i="13" a="1"/>
  <c r="F60" i="13"/>
  <c r="E60" i="13"/>
  <c r="K60" i="13"/>
  <c r="I60" i="13"/>
  <c r="H60" i="13"/>
  <c r="G60" i="13"/>
  <c r="F44" i="13"/>
  <c r="E44" i="13"/>
  <c r="K44" i="13"/>
  <c r="I44" i="13"/>
  <c r="H44" i="13"/>
  <c r="G44" i="13"/>
  <c r="F54" i="13"/>
  <c r="K54" i="13"/>
  <c r="I54" i="13"/>
  <c r="G54" i="13"/>
  <c r="H54" i="13"/>
  <c r="E54" i="13"/>
  <c r="D38" i="13" a="1"/>
  <c r="C38" i="13" a="1"/>
  <c r="B38" i="13" a="1"/>
  <c r="C49" i="13" a="1"/>
  <c r="B49" i="13" a="1"/>
  <c r="D49" i="13" a="1"/>
  <c r="F55" i="13"/>
  <c r="H55" i="13"/>
  <c r="G55" i="13"/>
  <c r="E55" i="13"/>
  <c r="K55" i="13"/>
  <c r="I55" i="13"/>
  <c r="F31" i="13"/>
  <c r="I31" i="13"/>
  <c r="G31" i="13"/>
  <c r="E31" i="13"/>
  <c r="H31" i="13" s="1"/>
  <c r="K31" i="13"/>
  <c r="B58" i="12" a="1"/>
  <c r="C58" i="12" a="1"/>
  <c r="D58" i="12" a="1"/>
  <c r="B61" i="12" a="1"/>
  <c r="D61" i="12" a="1"/>
  <c r="C61" i="12" a="1"/>
  <c r="B54" i="12" a="1"/>
  <c r="D54" i="12" a="1"/>
  <c r="C54" i="12" a="1"/>
  <c r="B38" i="12" a="1"/>
  <c r="D38" i="12" a="1"/>
  <c r="C38" i="12" a="1"/>
  <c r="B57" i="12" a="1"/>
  <c r="D57" i="12" a="1"/>
  <c r="C57" i="12" a="1"/>
  <c r="B52" i="12" a="1"/>
  <c r="D52" i="12" a="1"/>
  <c r="C52" i="12" a="1"/>
  <c r="B36" i="12" a="1"/>
  <c r="D36" i="12" a="1"/>
  <c r="C36" i="12" a="1"/>
  <c r="B63" i="12" a="1"/>
  <c r="D63" i="12" a="1"/>
  <c r="C63" i="12" a="1"/>
  <c r="B50" i="12" a="1"/>
  <c r="D50" i="12" a="1"/>
  <c r="C50" i="12" a="1"/>
  <c r="B32" i="12" a="1"/>
  <c r="D32" i="12" a="1"/>
  <c r="C32" i="12" a="1"/>
  <c r="B59" i="12" a="1"/>
  <c r="D59" i="12" a="1"/>
  <c r="C59" i="12" a="1"/>
  <c r="D35" i="12" a="1"/>
  <c r="C35" i="12" a="1"/>
  <c r="B35" i="12" a="1"/>
  <c r="D41" i="12" a="1"/>
  <c r="C41" i="12" a="1"/>
  <c r="B41" i="12" a="1"/>
  <c r="D55" i="12" a="1"/>
  <c r="C55" i="12" a="1"/>
  <c r="B55" i="12" a="1"/>
  <c r="D51" i="12" a="1"/>
  <c r="C51" i="12" a="1"/>
  <c r="B51" i="12" a="1"/>
  <c r="B48" i="12" a="1"/>
  <c r="D48" i="12" a="1"/>
  <c r="C48" i="12" a="1"/>
  <c r="D49" i="12" a="1"/>
  <c r="C49" i="12" a="1"/>
  <c r="B49" i="12" a="1"/>
  <c r="D33" i="12" a="1"/>
  <c r="C33" i="12" a="1"/>
  <c r="B33" i="12" a="1"/>
  <c r="B30" i="12" a="1"/>
  <c r="D30" i="12" a="1"/>
  <c r="C30" i="12" a="1"/>
  <c r="B46" i="12" a="1"/>
  <c r="D46" i="12" a="1"/>
  <c r="C46" i="12" a="1"/>
  <c r="D37" i="12" a="1"/>
  <c r="C37" i="12" a="1"/>
  <c r="B37" i="12" a="1"/>
  <c r="D47" i="12" a="1"/>
  <c r="C47" i="12" a="1"/>
  <c r="B47" i="12" a="1"/>
  <c r="D31" i="12" a="1"/>
  <c r="C31" i="12" a="1"/>
  <c r="B31" i="12" a="1"/>
  <c r="B64" i="12" a="1"/>
  <c r="D64" i="12" a="1"/>
  <c r="C64" i="12" a="1"/>
  <c r="B44" i="12" a="1"/>
  <c r="D44" i="12" a="1"/>
  <c r="C44" i="12" a="1"/>
  <c r="D53" i="12" a="1"/>
  <c r="C53" i="12" a="1"/>
  <c r="B53" i="12" a="1"/>
  <c r="B66" i="12" a="1"/>
  <c r="C66" i="12" a="1"/>
  <c r="D66" i="12" a="1"/>
  <c r="D45" i="12" a="1"/>
  <c r="C45" i="12" a="1"/>
  <c r="B45" i="12" a="1"/>
  <c r="D29" i="12" a="1"/>
  <c r="C29" i="12" a="1"/>
  <c r="B29" i="12" a="1"/>
  <c r="B67" i="12" a="1"/>
  <c r="D67" i="12" a="1"/>
  <c r="C67" i="12" a="1"/>
  <c r="B60" i="12" a="1"/>
  <c r="D60" i="12" a="1"/>
  <c r="C60" i="12" a="1"/>
  <c r="B42" i="12" a="1"/>
  <c r="D42" i="12" a="1"/>
  <c r="C42" i="12" a="1"/>
  <c r="D39" i="12" a="1"/>
  <c r="C39" i="12" a="1"/>
  <c r="B39" i="12" a="1"/>
  <c r="B62" i="12" a="1"/>
  <c r="C62" i="12" a="1"/>
  <c r="D62" i="12" a="1"/>
  <c r="D43" i="12" a="1"/>
  <c r="C43" i="12" a="1"/>
  <c r="B43" i="12" a="1"/>
  <c r="B68" i="12" a="1"/>
  <c r="D68" i="12" a="1"/>
  <c r="C68" i="12" a="1"/>
  <c r="B65" i="12" a="1"/>
  <c r="D65" i="12" a="1"/>
  <c r="C65" i="12" a="1"/>
  <c r="B56" i="12" a="1"/>
  <c r="D56" i="12" a="1"/>
  <c r="C56" i="12" a="1"/>
  <c r="B40" i="12" a="1"/>
  <c r="D40" i="12" a="1"/>
  <c r="C40" i="12" a="1"/>
  <c r="E47" i="11"/>
  <c r="B67" i="11" a="1"/>
  <c r="C67" i="11" a="1"/>
  <c r="D67" i="11" a="1"/>
  <c r="F39" i="11"/>
  <c r="E39" i="11"/>
  <c r="H39" i="11" s="1"/>
  <c r="K39" i="11"/>
  <c r="I39" i="11"/>
  <c r="G39" i="11"/>
  <c r="F31" i="11"/>
  <c r="E31" i="11"/>
  <c r="H31" i="11" s="1"/>
  <c r="K31" i="11"/>
  <c r="I31" i="11"/>
  <c r="G31" i="11"/>
  <c r="B63" i="11" a="1"/>
  <c r="C63" i="11" a="1"/>
  <c r="D63" i="11" a="1"/>
  <c r="D51" i="11" a="1"/>
  <c r="C51" i="11" a="1"/>
  <c r="B51" i="11" a="1"/>
  <c r="B65" i="11" a="1"/>
  <c r="D65" i="11" a="1"/>
  <c r="C65" i="11" a="1"/>
  <c r="F37" i="11"/>
  <c r="E37" i="11"/>
  <c r="H37" i="11" s="1"/>
  <c r="K37" i="11"/>
  <c r="I37" i="11"/>
  <c r="G37" i="11"/>
  <c r="F29" i="11"/>
  <c r="E29" i="11"/>
  <c r="H29" i="11" s="1"/>
  <c r="K29" i="11"/>
  <c r="I29" i="11"/>
  <c r="G29" i="11"/>
  <c r="B59" i="11" a="1"/>
  <c r="C59" i="11" a="1"/>
  <c r="D59" i="11" a="1"/>
  <c r="B61" i="11" a="1"/>
  <c r="D61" i="11" a="1"/>
  <c r="C61" i="11" a="1"/>
  <c r="F43" i="11"/>
  <c r="E43" i="11"/>
  <c r="K43" i="11"/>
  <c r="I43" i="11"/>
  <c r="H43" i="11"/>
  <c r="G43" i="11"/>
  <c r="F35" i="11"/>
  <c r="E35" i="11"/>
  <c r="H35" i="11" s="1"/>
  <c r="K35" i="11"/>
  <c r="I35" i="11"/>
  <c r="G35" i="11"/>
  <c r="L66" i="11"/>
  <c r="J66" i="11"/>
  <c r="D49" i="11" a="1"/>
  <c r="C49" i="11" a="1"/>
  <c r="B49" i="11" a="1"/>
  <c r="F41" i="11"/>
  <c r="E41" i="11"/>
  <c r="K41" i="11"/>
  <c r="I41" i="11"/>
  <c r="H41" i="11"/>
  <c r="G41" i="11"/>
  <c r="F33" i="11"/>
  <c r="E33" i="11"/>
  <c r="H33" i="11" s="1"/>
  <c r="K33" i="11"/>
  <c r="I33" i="11"/>
  <c r="G33" i="11"/>
  <c r="M31" i="6"/>
  <c r="K18" i="9"/>
  <c r="C6" i="5"/>
  <c r="A6" i="5"/>
  <c r="R6" i="5" s="1"/>
  <c r="B6" i="5"/>
  <c r="K12" i="9"/>
  <c r="AC20" i="5"/>
  <c r="AC7" i="5"/>
  <c r="AC9" i="5"/>
  <c r="AC12" i="6"/>
  <c r="AC11" i="6"/>
  <c r="F10" i="10"/>
  <c r="D19" i="10"/>
  <c r="G19" i="10" s="1"/>
  <c r="AC8" i="6"/>
  <c r="AC13" i="6"/>
  <c r="AC21" i="6"/>
  <c r="AC6" i="6"/>
  <c r="AC23" i="6"/>
  <c r="AC28" i="6"/>
  <c r="AC7" i="6"/>
  <c r="AC9" i="6"/>
  <c r="AC17" i="6"/>
  <c r="AC29" i="6"/>
  <c r="AC10" i="6"/>
  <c r="AC27" i="6"/>
  <c r="AC20" i="6"/>
  <c r="AC25" i="6"/>
  <c r="AC27" i="5"/>
  <c r="AC26" i="5"/>
  <c r="AC11" i="5"/>
  <c r="R33" i="5"/>
  <c r="D11" i="10"/>
  <c r="G11" i="10" s="1"/>
  <c r="D12" i="10"/>
  <c r="G12" i="10" s="1"/>
  <c r="H10" i="10"/>
  <c r="D18" i="10"/>
  <c r="G18" i="10" s="1"/>
  <c r="H20" i="10"/>
  <c r="C38" i="10" a="1"/>
  <c r="D14" i="10"/>
  <c r="G14" i="10" s="1"/>
  <c r="H16" i="10"/>
  <c r="T36" i="6"/>
  <c r="I31" i="6"/>
  <c r="AC18" i="5"/>
  <c r="T33" i="5"/>
  <c r="Q31" i="6"/>
  <c r="AC12" i="5"/>
  <c r="I6" i="10"/>
  <c r="D50" i="10" a="1"/>
  <c r="D24" i="10"/>
  <c r="G24" i="10" s="1"/>
  <c r="D6" i="5"/>
  <c r="R31" i="6"/>
  <c r="K7" i="7"/>
  <c r="AC14" i="5"/>
  <c r="AC19" i="5"/>
  <c r="A19" i="5" s="1"/>
  <c r="AC30" i="5"/>
  <c r="A30" i="5" s="1"/>
  <c r="AC24" i="6"/>
  <c r="H23" i="10"/>
  <c r="K13" i="9"/>
  <c r="D13" i="10"/>
  <c r="G13" i="10" s="1"/>
  <c r="H25" i="10"/>
  <c r="AC19" i="6"/>
  <c r="M36" i="6"/>
  <c r="R38" i="6"/>
  <c r="R32" i="6"/>
  <c r="R39" i="6"/>
  <c r="AC8" i="5"/>
  <c r="I32" i="5"/>
  <c r="S31" i="6"/>
  <c r="AC28" i="5"/>
  <c r="C28" i="5" s="1"/>
  <c r="AC16" i="5"/>
  <c r="AC29" i="5"/>
  <c r="A29" i="5" s="1"/>
  <c r="R37" i="5"/>
  <c r="AC13" i="5"/>
  <c r="H15" i="10"/>
  <c r="H18" i="10"/>
  <c r="D54" i="10" a="1"/>
  <c r="AC26" i="6"/>
  <c r="AC24" i="5"/>
  <c r="T37" i="5"/>
  <c r="O33" i="5"/>
  <c r="F31" i="6"/>
  <c r="Q36" i="6"/>
  <c r="Q32" i="6"/>
  <c r="Q39" i="6"/>
  <c r="S32" i="5"/>
  <c r="S32" i="6"/>
  <c r="S37" i="5"/>
  <c r="S39" i="5"/>
  <c r="S38" i="6"/>
  <c r="S37" i="6"/>
  <c r="S39" i="6"/>
  <c r="S40" i="5"/>
  <c r="K14" i="9"/>
  <c r="AC22" i="5"/>
  <c r="B22" i="5" s="1"/>
  <c r="AC10" i="5"/>
  <c r="A10" i="5" s="1"/>
  <c r="Q37" i="5"/>
  <c r="L31" i="6"/>
  <c r="AC21" i="5"/>
  <c r="C21" i="5" s="1"/>
  <c r="J6" i="10"/>
  <c r="C6" i="10"/>
  <c r="F6" i="10" s="1"/>
  <c r="D10" i="10"/>
  <c r="G10" i="10" s="1"/>
  <c r="D62" i="10" a="1"/>
  <c r="AC22" i="6"/>
  <c r="AC18" i="6"/>
  <c r="L36" i="6"/>
  <c r="D31" i="6"/>
  <c r="AC15" i="5"/>
  <c r="C15" i="5" s="1"/>
  <c r="AC17" i="5"/>
  <c r="AC25" i="5"/>
  <c r="A25" i="5" s="1"/>
  <c r="H17" i="10"/>
  <c r="AC15" i="6"/>
  <c r="AC16" i="6"/>
  <c r="AC14" i="6"/>
  <c r="B55" i="10" a="1"/>
  <c r="C55" i="10" a="1"/>
  <c r="D55" i="10" a="1"/>
  <c r="B56" i="10" a="1"/>
  <c r="C56" i="10" a="1"/>
  <c r="D56" i="10" a="1"/>
  <c r="B53" i="10" a="1"/>
  <c r="C53" i="10" a="1"/>
  <c r="D53" i="10" a="1"/>
  <c r="B34" i="10" a="1"/>
  <c r="C34" i="10" a="1"/>
  <c r="D34" i="10" a="1"/>
  <c r="B59" i="10" a="1"/>
  <c r="C59" i="10" a="1"/>
  <c r="D59" i="10" a="1"/>
  <c r="G54" i="10"/>
  <c r="H54" i="10"/>
  <c r="I54" i="10"/>
  <c r="F54" i="10"/>
  <c r="K54" i="10"/>
  <c r="E54" i="10"/>
  <c r="B60" i="10" a="1"/>
  <c r="C60" i="10" a="1"/>
  <c r="D60" i="10" a="1"/>
  <c r="B57" i="10" a="1"/>
  <c r="C57" i="10" a="1"/>
  <c r="D57" i="10" a="1"/>
  <c r="B33" i="10" a="1"/>
  <c r="C33" i="10" a="1"/>
  <c r="D33" i="10" a="1"/>
  <c r="B63" i="10" a="1"/>
  <c r="C63" i="10" a="1"/>
  <c r="D63" i="10" a="1"/>
  <c r="G62" i="10"/>
  <c r="H62" i="10"/>
  <c r="I62" i="10"/>
  <c r="F62" i="10"/>
  <c r="K62" i="10"/>
  <c r="E62" i="10"/>
  <c r="B32" i="10" a="1"/>
  <c r="C32" i="10" a="1"/>
  <c r="D32" i="10" a="1"/>
  <c r="B35" i="10" a="1"/>
  <c r="C35" i="10" a="1"/>
  <c r="D35" i="10" a="1"/>
  <c r="B67" i="10" a="1"/>
  <c r="C67" i="10" a="1"/>
  <c r="D67" i="10" a="1"/>
  <c r="B52" i="10" a="1"/>
  <c r="C52" i="10" a="1"/>
  <c r="D52" i="10" a="1"/>
  <c r="B36" i="10" a="1"/>
  <c r="C36" i="10" a="1"/>
  <c r="D36" i="10" a="1"/>
  <c r="B65" i="10" a="1"/>
  <c r="C65" i="10" a="1"/>
  <c r="D65" i="10" a="1"/>
  <c r="B31" i="10" a="1"/>
  <c r="C31" i="10" a="1"/>
  <c r="D31" i="10" a="1"/>
  <c r="B39" i="10" a="1"/>
  <c r="C39" i="10" a="1"/>
  <c r="D39" i="10" a="1"/>
  <c r="G38" i="10"/>
  <c r="I38" i="10"/>
  <c r="F38" i="10"/>
  <c r="K38" i="10"/>
  <c r="E38" i="10"/>
  <c r="H38" i="10" s="1"/>
  <c r="B68" i="10" a="1"/>
  <c r="C68" i="10" a="1"/>
  <c r="D68" i="10" a="1"/>
  <c r="B40" i="10" a="1"/>
  <c r="C40" i="10" a="1"/>
  <c r="D40" i="10" a="1"/>
  <c r="B37" i="10" a="1"/>
  <c r="C37" i="10" a="1"/>
  <c r="D37" i="10" a="1"/>
  <c r="B29" i="10" a="1"/>
  <c r="C29" i="10" a="1"/>
  <c r="D29" i="10" a="1"/>
  <c r="B30" i="10" a="1"/>
  <c r="C30" i="10" a="1"/>
  <c r="D30" i="10" a="1"/>
  <c r="B43" i="10" a="1"/>
  <c r="C43" i="10" a="1"/>
  <c r="D43" i="10" a="1"/>
  <c r="B64" i="10" a="1"/>
  <c r="C64" i="10" a="1"/>
  <c r="D64" i="10" a="1"/>
  <c r="B44" i="10" a="1"/>
  <c r="C44" i="10" a="1"/>
  <c r="D44" i="10" a="1"/>
  <c r="B41" i="10" a="1"/>
  <c r="C41" i="10" a="1"/>
  <c r="D41" i="10" a="1"/>
  <c r="B42" i="10" a="1"/>
  <c r="C42" i="10" a="1"/>
  <c r="D42" i="10" a="1"/>
  <c r="B47" i="10" a="1"/>
  <c r="C47" i="10" a="1"/>
  <c r="D47" i="10" a="1"/>
  <c r="G50" i="10"/>
  <c r="H50" i="10"/>
  <c r="I50" i="10"/>
  <c r="F50" i="10"/>
  <c r="K50" i="10"/>
  <c r="E50" i="10"/>
  <c r="G66" i="10"/>
  <c r="H66" i="10"/>
  <c r="I66" i="10"/>
  <c r="F66" i="10"/>
  <c r="K66" i="10"/>
  <c r="E66" i="10"/>
  <c r="B49" i="10" a="1"/>
  <c r="C49" i="10" a="1"/>
  <c r="D49" i="10" a="1"/>
  <c r="B61" i="10" a="1"/>
  <c r="C61" i="10" a="1"/>
  <c r="D61" i="10" a="1"/>
  <c r="B48" i="10" a="1"/>
  <c r="C48" i="10" a="1"/>
  <c r="D48" i="10" a="1"/>
  <c r="B45" i="10" a="1"/>
  <c r="C45" i="10" a="1"/>
  <c r="D45" i="10" a="1"/>
  <c r="B46" i="10" a="1"/>
  <c r="C46" i="10" a="1"/>
  <c r="D46" i="10" a="1"/>
  <c r="B51" i="10" a="1"/>
  <c r="C51" i="10" a="1"/>
  <c r="D51" i="10" a="1"/>
  <c r="G58" i="10"/>
  <c r="H58" i="10"/>
  <c r="I58" i="10"/>
  <c r="F58" i="10"/>
  <c r="K58" i="10"/>
  <c r="E58" i="10"/>
  <c r="H31" i="6"/>
  <c r="G31" i="6"/>
  <c r="D32" i="5"/>
  <c r="K11" i="9"/>
  <c r="K17" i="7"/>
  <c r="K8" i="7"/>
  <c r="K24" i="7"/>
  <c r="K16" i="7"/>
  <c r="K27" i="7"/>
  <c r="I27" i="7"/>
  <c r="K15" i="7"/>
  <c r="K26" i="7"/>
  <c r="K18" i="7"/>
  <c r="J6" i="3"/>
  <c r="M24" i="7"/>
  <c r="L7" i="7"/>
  <c r="C25" i="7"/>
  <c r="N17" i="7"/>
  <c r="I35" i="7"/>
  <c r="H34" i="7"/>
  <c r="R18" i="7"/>
  <c r="E17" i="7"/>
  <c r="J24" i="7"/>
  <c r="I16" i="7"/>
  <c r="H9" i="7"/>
  <c r="I25" i="7"/>
  <c r="P15" i="7"/>
  <c r="I34" i="7"/>
  <c r="L18" i="7"/>
  <c r="J27" i="7"/>
  <c r="L26" i="7"/>
  <c r="L15" i="7"/>
  <c r="H18" i="7"/>
  <c r="N25" i="7"/>
  <c r="J17" i="7"/>
  <c r="G33" i="7"/>
  <c r="E7" i="7"/>
  <c r="M17" i="7"/>
  <c r="H33" i="7"/>
  <c r="N15" i="7"/>
  <c r="J7" i="7"/>
  <c r="J8" i="3"/>
  <c r="P24" i="7"/>
  <c r="N7" i="7"/>
  <c r="N26" i="7"/>
  <c r="J8" i="7"/>
  <c r="H35" i="7"/>
  <c r="J16" i="7"/>
  <c r="L27" i="7"/>
  <c r="O7" i="7"/>
  <c r="N24" i="7"/>
  <c r="J26" i="7"/>
  <c r="J25" i="7"/>
  <c r="J18" i="7"/>
  <c r="N27" i="7"/>
  <c r="M16" i="7"/>
  <c r="G15" i="7"/>
  <c r="E24" i="7"/>
  <c r="D7" i="7"/>
  <c r="D16" i="7"/>
  <c r="G7" i="7"/>
  <c r="C15" i="7"/>
  <c r="H16" i="7"/>
  <c r="R25" i="7"/>
  <c r="P25" i="7"/>
  <c r="F7" i="7"/>
  <c r="I7" i="7"/>
  <c r="E26" i="7"/>
  <c r="C16" i="7"/>
  <c r="D8" i="7"/>
  <c r="E16" i="7"/>
  <c r="P17" i="7"/>
  <c r="R15" i="7"/>
  <c r="D24" i="7"/>
  <c r="Q17" i="7"/>
  <c r="I36" i="7"/>
  <c r="S8" i="7"/>
  <c r="D17" i="7"/>
  <c r="H8" i="7"/>
  <c r="G8" i="7"/>
  <c r="H15" i="7"/>
  <c r="I8" i="7"/>
  <c r="H7" i="7"/>
  <c r="R8" i="7"/>
  <c r="E27" i="7"/>
  <c r="F27" i="7"/>
  <c r="J35" i="7"/>
  <c r="D15" i="7"/>
  <c r="P7" i="7"/>
  <c r="O25" i="7"/>
  <c r="M7" i="7"/>
  <c r="P26" i="7"/>
  <c r="H26" i="7"/>
  <c r="G26" i="7"/>
  <c r="C24" i="7"/>
  <c r="F18" i="7"/>
  <c r="E25" i="7"/>
  <c r="D25" i="7"/>
  <c r="G35" i="7"/>
  <c r="C18" i="7"/>
  <c r="G16" i="7"/>
  <c r="I24" i="7"/>
  <c r="G34" i="7"/>
  <c r="O27" i="7"/>
  <c r="P8" i="7"/>
  <c r="C8" i="7"/>
  <c r="D27" i="7"/>
  <c r="F25" i="7"/>
  <c r="E18" i="7"/>
  <c r="I15" i="7"/>
  <c r="O36" i="7"/>
  <c r="O18" i="7"/>
  <c r="M15" i="7"/>
  <c r="G17" i="7"/>
  <c r="O26" i="7"/>
  <c r="M27" i="7"/>
  <c r="H27" i="7"/>
  <c r="G24" i="7"/>
  <c r="C26" i="7"/>
  <c r="I33" i="7"/>
  <c r="P18" i="7"/>
  <c r="D26" i="7"/>
  <c r="O33" i="7"/>
  <c r="O16" i="7"/>
  <c r="F17" i="7"/>
  <c r="H25" i="7"/>
  <c r="G36" i="7"/>
  <c r="G18" i="7"/>
  <c r="N16" i="7"/>
  <c r="E8" i="7"/>
  <c r="N18" i="7"/>
  <c r="G27" i="7"/>
  <c r="C27" i="7"/>
  <c r="J15" i="7"/>
  <c r="F15" i="7"/>
  <c r="F16" i="7"/>
  <c r="F8" i="7"/>
  <c r="C17" i="7"/>
  <c r="H17" i="7"/>
  <c r="G25" i="7"/>
  <c r="C9" i="7"/>
  <c r="E15" i="7"/>
  <c r="H24" i="7"/>
  <c r="I26" i="7"/>
  <c r="O15" i="7"/>
  <c r="D18" i="7"/>
  <c r="I18" i="7"/>
  <c r="N8" i="7"/>
  <c r="I17" i="7"/>
  <c r="K35" i="7"/>
  <c r="L35" i="7" s="1"/>
  <c r="F36" i="7"/>
  <c r="R7" i="7"/>
  <c r="F34" i="7"/>
  <c r="M34" i="7"/>
  <c r="M36" i="7"/>
  <c r="R16" i="7"/>
  <c r="Q18" i="7"/>
  <c r="Q15" i="7"/>
  <c r="M26" i="7"/>
  <c r="O8" i="7"/>
  <c r="R24" i="7"/>
  <c r="P16" i="7"/>
  <c r="P9" i="7"/>
  <c r="O24" i="7"/>
  <c r="M8" i="7"/>
  <c r="L25" i="7"/>
  <c r="P27" i="7"/>
  <c r="S18" i="7"/>
  <c r="Q16" i="7"/>
  <c r="L8" i="7"/>
  <c r="O34" i="7"/>
  <c r="M18" i="7"/>
  <c r="L24" i="7"/>
  <c r="F24" i="7"/>
  <c r="S26" i="7"/>
  <c r="K34" i="7"/>
  <c r="L34" i="7" s="1"/>
  <c r="O17" i="7"/>
  <c r="M25" i="7"/>
  <c r="L16" i="7"/>
  <c r="F26" i="7"/>
  <c r="R27" i="7"/>
  <c r="R26" i="7"/>
  <c r="N36" i="7"/>
  <c r="L17" i="7"/>
  <c r="R10" i="7"/>
  <c r="I23" i="9"/>
  <c r="H6" i="7"/>
  <c r="C6" i="7"/>
  <c r="I22" i="9"/>
  <c r="H10" i="7"/>
  <c r="I14" i="9"/>
  <c r="S24" i="7"/>
  <c r="S25" i="7"/>
  <c r="O35" i="7"/>
  <c r="R6" i="7"/>
  <c r="M33" i="7"/>
  <c r="M35" i="7"/>
  <c r="N35" i="7"/>
  <c r="N34" i="7"/>
  <c r="Q7" i="7"/>
  <c r="R17" i="7"/>
  <c r="S27" i="7"/>
  <c r="N33" i="7"/>
  <c r="L29" i="9"/>
  <c r="M30" i="9"/>
  <c r="H29" i="9"/>
  <c r="D29" i="9"/>
  <c r="J7" i="3"/>
  <c r="L30" i="9"/>
  <c r="D30" i="9"/>
  <c r="M29" i="9"/>
  <c r="K30" i="9"/>
  <c r="H30" i="9"/>
  <c r="I9" i="9"/>
  <c r="L626" i="4"/>
  <c r="M626" i="4"/>
  <c r="K24" i="9"/>
  <c r="J24" i="9"/>
  <c r="L605" i="4"/>
  <c r="M605" i="4"/>
  <c r="L611" i="4"/>
  <c r="M611" i="4"/>
  <c r="P365" i="4"/>
  <c r="L9" i="7" s="1"/>
  <c r="Q6" i="7"/>
  <c r="L6" i="7"/>
  <c r="L25" i="9"/>
  <c r="S15" i="7"/>
  <c r="P285" i="4"/>
  <c r="J9" i="7" s="1"/>
  <c r="S7" i="7"/>
  <c r="S17" i="7"/>
  <c r="L635" i="4"/>
  <c r="M635" i="4"/>
  <c r="I24" i="9"/>
  <c r="Q10" i="7"/>
  <c r="P485" i="4"/>
  <c r="O9" i="7" s="1"/>
  <c r="Q25" i="7"/>
  <c r="C10" i="7"/>
  <c r="Q27" i="7"/>
  <c r="P6" i="7"/>
  <c r="N25" i="9"/>
  <c r="F35" i="7"/>
  <c r="K9" i="9"/>
  <c r="L619" i="4"/>
  <c r="M619" i="4"/>
  <c r="P405" i="4"/>
  <c r="H20" i="13" s="1"/>
  <c r="P85" i="4"/>
  <c r="E10" i="7" s="1"/>
  <c r="J36" i="7"/>
  <c r="L603" i="4"/>
  <c r="M603" i="4"/>
  <c r="K23" i="9"/>
  <c r="J23" i="9"/>
  <c r="M565" i="4"/>
  <c r="L565" i="4"/>
  <c r="I9" i="3"/>
  <c r="Q8" i="7"/>
  <c r="P10" i="7"/>
  <c r="M25" i="9"/>
  <c r="P165" i="4"/>
  <c r="G9" i="7" s="1"/>
  <c r="P125" i="4"/>
  <c r="F10" i="7" s="1"/>
  <c r="J34" i="7"/>
  <c r="L595" i="4"/>
  <c r="M595" i="4"/>
  <c r="H9" i="3"/>
  <c r="J5" i="3"/>
  <c r="P325" i="4"/>
  <c r="H18" i="13" s="1"/>
  <c r="Q9" i="7"/>
  <c r="D25" i="9"/>
  <c r="S16" i="7"/>
  <c r="F33" i="7"/>
  <c r="G15" i="8"/>
  <c r="L586" i="4"/>
  <c r="M586" i="4"/>
  <c r="L574" i="4"/>
  <c r="M574" i="4"/>
  <c r="R9" i="7"/>
  <c r="P445" i="4"/>
  <c r="Q24" i="7"/>
  <c r="C7" i="7"/>
  <c r="J33" i="7"/>
  <c r="G5" i="8"/>
  <c r="L579" i="4"/>
  <c r="M579" i="4"/>
  <c r="K22" i="9"/>
  <c r="J22" i="9"/>
  <c r="M525" i="4"/>
  <c r="L525" i="4"/>
  <c r="Q26" i="7"/>
  <c r="J9" i="9"/>
  <c r="P245" i="4"/>
  <c r="H16" i="13" s="1"/>
  <c r="P45" i="4"/>
  <c r="D9" i="7" s="1"/>
  <c r="I6" i="5" l="1"/>
  <c r="S6" i="5"/>
  <c r="Q6" i="5"/>
  <c r="C20" i="5"/>
  <c r="B20" i="5"/>
  <c r="A20" i="5"/>
  <c r="C7" i="5"/>
  <c r="B7" i="5"/>
  <c r="A9" i="5"/>
  <c r="C9" i="5"/>
  <c r="B26" i="5"/>
  <c r="A26" i="5"/>
  <c r="C26" i="5"/>
  <c r="C11" i="5"/>
  <c r="A11" i="5"/>
  <c r="B11" i="5"/>
  <c r="C18" i="5"/>
  <c r="A18" i="5"/>
  <c r="B18" i="5"/>
  <c r="B12" i="5"/>
  <c r="A12" i="5"/>
  <c r="A14" i="5"/>
  <c r="B14" i="5"/>
  <c r="A8" i="5"/>
  <c r="B8" i="5"/>
  <c r="C16" i="5"/>
  <c r="B16" i="5"/>
  <c r="A16" i="5"/>
  <c r="B13" i="5"/>
  <c r="C13" i="5"/>
  <c r="A17" i="5"/>
  <c r="C17" i="5"/>
  <c r="I38" i="11"/>
  <c r="J38" i="11" s="1"/>
  <c r="E38" i="11"/>
  <c r="H38" i="11" s="1"/>
  <c r="G38" i="11"/>
  <c r="G42" i="11"/>
  <c r="K42" i="11"/>
  <c r="F64" i="11"/>
  <c r="G64" i="11"/>
  <c r="K64" i="11"/>
  <c r="I64" i="11"/>
  <c r="H64" i="11"/>
  <c r="E64" i="11"/>
  <c r="G52" i="11"/>
  <c r="I52" i="11"/>
  <c r="H52" i="11"/>
  <c r="E52" i="11"/>
  <c r="F52" i="11"/>
  <c r="K52" i="11"/>
  <c r="F48" i="11"/>
  <c r="K48" i="11"/>
  <c r="E48" i="11"/>
  <c r="G48" i="11"/>
  <c r="H48" i="11"/>
  <c r="I48" i="11"/>
  <c r="K60" i="11"/>
  <c r="G60" i="11"/>
  <c r="F60" i="11"/>
  <c r="I60" i="11"/>
  <c r="H60" i="11"/>
  <c r="E60" i="11"/>
  <c r="K46" i="11"/>
  <c r="F46" i="11"/>
  <c r="I46" i="11"/>
  <c r="E46" i="11"/>
  <c r="H46" i="11"/>
  <c r="G68" i="11"/>
  <c r="E68" i="11"/>
  <c r="H68" i="11"/>
  <c r="I68" i="11"/>
  <c r="K68" i="11"/>
  <c r="F68" i="11"/>
  <c r="F38" i="11"/>
  <c r="K38" i="11"/>
  <c r="F50" i="11"/>
  <c r="I50" i="11"/>
  <c r="H50" i="11"/>
  <c r="G50" i="11"/>
  <c r="K50" i="11"/>
  <c r="E50" i="11"/>
  <c r="K30" i="11"/>
  <c r="E30" i="11"/>
  <c r="H30" i="11" s="1"/>
  <c r="G30" i="11"/>
  <c r="F30" i="11"/>
  <c r="H42" i="11"/>
  <c r="I42" i="11"/>
  <c r="F42" i="11"/>
  <c r="E42" i="11"/>
  <c r="E32" i="11"/>
  <c r="H32" i="11" s="1"/>
  <c r="G32" i="11"/>
  <c r="K32" i="11"/>
  <c r="F32" i="11"/>
  <c r="N9" i="7"/>
  <c r="H21" i="13"/>
  <c r="K10" i="9"/>
  <c r="T31" i="6"/>
  <c r="I30" i="9"/>
  <c r="J30" i="9" s="1"/>
  <c r="K19" i="9"/>
  <c r="N31" i="6"/>
  <c r="B28" i="5"/>
  <c r="A28" i="5"/>
  <c r="C14" i="5"/>
  <c r="C10" i="5"/>
  <c r="J47" i="11"/>
  <c r="J58" i="11"/>
  <c r="H14" i="13"/>
  <c r="H17" i="13"/>
  <c r="A13" i="5"/>
  <c r="I32" i="11"/>
  <c r="J32" i="11" s="1"/>
  <c r="C12" i="5"/>
  <c r="G6" i="10"/>
  <c r="H6" i="10" s="1"/>
  <c r="H11" i="13"/>
  <c r="C22" i="5"/>
  <c r="I29" i="13"/>
  <c r="J29" i="13" s="1"/>
  <c r="C19" i="5"/>
  <c r="A22" i="5"/>
  <c r="H13" i="13"/>
  <c r="H12" i="13"/>
  <c r="H22" i="13"/>
  <c r="C25" i="5"/>
  <c r="B19" i="5"/>
  <c r="A7" i="5"/>
  <c r="H19" i="13"/>
  <c r="B25" i="5"/>
  <c r="E31" i="6"/>
  <c r="G6" i="13"/>
  <c r="H6" i="13" s="1"/>
  <c r="F56" i="11"/>
  <c r="G56" i="11"/>
  <c r="K56" i="11"/>
  <c r="I56" i="11"/>
  <c r="H56" i="11"/>
  <c r="E56" i="11"/>
  <c r="C30" i="5"/>
  <c r="B10" i="5"/>
  <c r="F54" i="11"/>
  <c r="G54" i="11"/>
  <c r="E54" i="11"/>
  <c r="K54" i="11"/>
  <c r="I54" i="11"/>
  <c r="H54" i="11"/>
  <c r="H11" i="10"/>
  <c r="B30" i="5"/>
  <c r="F53" i="11"/>
  <c r="G53" i="11"/>
  <c r="I53" i="11"/>
  <c r="K53" i="11"/>
  <c r="E53" i="11"/>
  <c r="H53" i="11"/>
  <c r="E62" i="11"/>
  <c r="K62" i="11"/>
  <c r="I62" i="11"/>
  <c r="H62" i="11"/>
  <c r="F62" i="11"/>
  <c r="G62" i="11"/>
  <c r="B23" i="5"/>
  <c r="C29" i="5"/>
  <c r="A23" i="5"/>
  <c r="F55" i="11"/>
  <c r="G55" i="11"/>
  <c r="K55" i="11"/>
  <c r="I55" i="11"/>
  <c r="H55" i="11"/>
  <c r="E55" i="11"/>
  <c r="I36" i="11"/>
  <c r="J36" i="11" s="1"/>
  <c r="B29" i="5"/>
  <c r="B17" i="5"/>
  <c r="B9" i="5"/>
  <c r="F44" i="11"/>
  <c r="I44" i="11"/>
  <c r="H44" i="11"/>
  <c r="G44" i="11"/>
  <c r="E44" i="11"/>
  <c r="K44" i="11"/>
  <c r="K57" i="11"/>
  <c r="H57" i="11"/>
  <c r="I57" i="11"/>
  <c r="F57" i="11"/>
  <c r="E57" i="11"/>
  <c r="G57" i="11"/>
  <c r="K45" i="11"/>
  <c r="I45" i="11"/>
  <c r="H45" i="11"/>
  <c r="G45" i="11"/>
  <c r="F45" i="11"/>
  <c r="E45" i="11"/>
  <c r="F38" i="13"/>
  <c r="K38" i="13"/>
  <c r="I38" i="13"/>
  <c r="G38" i="13"/>
  <c r="E38" i="13"/>
  <c r="H38" i="13" s="1"/>
  <c r="L56" i="13"/>
  <c r="J56" i="13"/>
  <c r="L64" i="13"/>
  <c r="J64" i="13"/>
  <c r="J33" i="13"/>
  <c r="F32" i="13"/>
  <c r="K32" i="13"/>
  <c r="I32" i="13"/>
  <c r="G32" i="13"/>
  <c r="E32" i="13"/>
  <c r="H32" i="13" s="1"/>
  <c r="L51" i="13"/>
  <c r="J51" i="13"/>
  <c r="L40" i="13"/>
  <c r="J40" i="13"/>
  <c r="L60" i="13"/>
  <c r="J60" i="13"/>
  <c r="F53" i="13"/>
  <c r="I53" i="13"/>
  <c r="K53" i="13"/>
  <c r="H53" i="13"/>
  <c r="G53" i="13"/>
  <c r="E53" i="13"/>
  <c r="L44" i="13"/>
  <c r="J44" i="13"/>
  <c r="L48" i="13"/>
  <c r="J48" i="13"/>
  <c r="F66" i="13"/>
  <c r="K66" i="13"/>
  <c r="I66" i="13"/>
  <c r="H66" i="13"/>
  <c r="G66" i="13"/>
  <c r="E66" i="13"/>
  <c r="F67" i="13"/>
  <c r="E67" i="13"/>
  <c r="K67" i="13"/>
  <c r="I67" i="13"/>
  <c r="H67" i="13"/>
  <c r="G67" i="13"/>
  <c r="F34" i="13"/>
  <c r="K34" i="13"/>
  <c r="I34" i="13"/>
  <c r="G34" i="13"/>
  <c r="E34" i="13"/>
  <c r="H34" i="13" s="1"/>
  <c r="F41" i="13"/>
  <c r="I41" i="13"/>
  <c r="K41" i="13"/>
  <c r="H41" i="13"/>
  <c r="G41" i="13"/>
  <c r="E41" i="13"/>
  <c r="F36" i="13"/>
  <c r="K36" i="13"/>
  <c r="I36" i="13"/>
  <c r="G36" i="13"/>
  <c r="E36" i="13"/>
  <c r="H36" i="13" s="1"/>
  <c r="J35" i="13"/>
  <c r="L59" i="13"/>
  <c r="J59" i="13"/>
  <c r="F61" i="13"/>
  <c r="K61" i="13"/>
  <c r="I61" i="13"/>
  <c r="H61" i="13"/>
  <c r="G61" i="13"/>
  <c r="E61" i="13"/>
  <c r="L47" i="13"/>
  <c r="J47" i="13"/>
  <c r="F49" i="13"/>
  <c r="K49" i="13"/>
  <c r="I49" i="13"/>
  <c r="H49" i="13"/>
  <c r="G49" i="13"/>
  <c r="E49" i="13"/>
  <c r="L54" i="13"/>
  <c r="J54" i="13"/>
  <c r="F68" i="13"/>
  <c r="E68" i="13"/>
  <c r="K68" i="13"/>
  <c r="I68" i="13"/>
  <c r="H68" i="13"/>
  <c r="G68" i="13"/>
  <c r="F65" i="13"/>
  <c r="K65" i="13"/>
  <c r="I65" i="13"/>
  <c r="H65" i="13"/>
  <c r="G65" i="13"/>
  <c r="E65" i="13"/>
  <c r="L43" i="13"/>
  <c r="J43" i="13"/>
  <c r="L52" i="13"/>
  <c r="J52" i="13"/>
  <c r="F45" i="13"/>
  <c r="I45" i="13"/>
  <c r="K45" i="13"/>
  <c r="H45" i="13"/>
  <c r="G45" i="13"/>
  <c r="E45" i="13"/>
  <c r="J31" i="13"/>
  <c r="F30" i="13"/>
  <c r="K30" i="13"/>
  <c r="I30" i="13"/>
  <c r="G30" i="13"/>
  <c r="E30" i="13"/>
  <c r="H30" i="13" s="1"/>
  <c r="L42" i="13"/>
  <c r="J42" i="13"/>
  <c r="L46" i="13"/>
  <c r="J46" i="13"/>
  <c r="L55" i="13"/>
  <c r="J55" i="13"/>
  <c r="F57" i="13"/>
  <c r="I57" i="13"/>
  <c r="L37" i="13" s="1"/>
  <c r="K57" i="13"/>
  <c r="H57" i="13"/>
  <c r="G57" i="13"/>
  <c r="E57" i="13"/>
  <c r="L50" i="13"/>
  <c r="J50" i="13"/>
  <c r="L63" i="13"/>
  <c r="J63" i="13"/>
  <c r="J37" i="13"/>
  <c r="F42" i="12"/>
  <c r="I42" i="12"/>
  <c r="H42" i="12"/>
  <c r="G42" i="12"/>
  <c r="E42" i="12"/>
  <c r="K42" i="12"/>
  <c r="F53" i="12"/>
  <c r="K53" i="12"/>
  <c r="I53" i="12"/>
  <c r="H53" i="12"/>
  <c r="G53" i="12"/>
  <c r="E53" i="12"/>
  <c r="F64" i="12"/>
  <c r="G64" i="12"/>
  <c r="I64" i="12"/>
  <c r="H64" i="12"/>
  <c r="E64" i="12"/>
  <c r="K64" i="12"/>
  <c r="F33" i="12"/>
  <c r="K33" i="12"/>
  <c r="I33" i="12"/>
  <c r="G33" i="12"/>
  <c r="E33" i="12"/>
  <c r="H33" i="12" s="1"/>
  <c r="F48" i="12"/>
  <c r="I48" i="12"/>
  <c r="H48" i="12"/>
  <c r="G48" i="12"/>
  <c r="E48" i="12"/>
  <c r="K48" i="12"/>
  <c r="F52" i="12"/>
  <c r="I52" i="12"/>
  <c r="H52" i="12"/>
  <c r="G52" i="12"/>
  <c r="E52" i="12"/>
  <c r="K52" i="12"/>
  <c r="F31" i="12"/>
  <c r="K31" i="12"/>
  <c r="I31" i="12"/>
  <c r="G31" i="12"/>
  <c r="E31" i="12"/>
  <c r="H31" i="12" s="1"/>
  <c r="F51" i="12"/>
  <c r="K51" i="12"/>
  <c r="I51" i="12"/>
  <c r="H51" i="12"/>
  <c r="G51" i="12"/>
  <c r="E51" i="12"/>
  <c r="F59" i="12"/>
  <c r="G59" i="12"/>
  <c r="K59" i="12"/>
  <c r="I59" i="12"/>
  <c r="H59" i="12"/>
  <c r="E59" i="12"/>
  <c r="F54" i="12"/>
  <c r="I54" i="12"/>
  <c r="H54" i="12"/>
  <c r="G54" i="12"/>
  <c r="E54" i="12"/>
  <c r="K54" i="12"/>
  <c r="F63" i="12"/>
  <c r="G63" i="12"/>
  <c r="K63" i="12"/>
  <c r="I63" i="12"/>
  <c r="H63" i="12"/>
  <c r="E63" i="12"/>
  <c r="F57" i="12"/>
  <c r="G57" i="12"/>
  <c r="E57" i="12"/>
  <c r="K57" i="12"/>
  <c r="I57" i="12"/>
  <c r="H57" i="12"/>
  <c r="F62" i="12"/>
  <c r="G62" i="12"/>
  <c r="K62" i="12"/>
  <c r="I62" i="12"/>
  <c r="H62" i="12"/>
  <c r="E62" i="12"/>
  <c r="F49" i="12"/>
  <c r="K49" i="12"/>
  <c r="I49" i="12"/>
  <c r="H49" i="12"/>
  <c r="G49" i="12"/>
  <c r="E49" i="12"/>
  <c r="F68" i="12"/>
  <c r="E68" i="12"/>
  <c r="G68" i="12"/>
  <c r="K68" i="12"/>
  <c r="I68" i="12"/>
  <c r="H68" i="12"/>
  <c r="F47" i="12"/>
  <c r="K47" i="12"/>
  <c r="I47" i="12"/>
  <c r="H47" i="12"/>
  <c r="G47" i="12"/>
  <c r="E47" i="12"/>
  <c r="F46" i="12"/>
  <c r="I46" i="12"/>
  <c r="H46" i="12"/>
  <c r="G46" i="12"/>
  <c r="E46" i="12"/>
  <c r="K46" i="12"/>
  <c r="F55" i="12"/>
  <c r="K55" i="12"/>
  <c r="I55" i="12"/>
  <c r="H55" i="12"/>
  <c r="G55" i="12"/>
  <c r="E55" i="12"/>
  <c r="F35" i="12"/>
  <c r="K35" i="12"/>
  <c r="I35" i="12"/>
  <c r="G35" i="12"/>
  <c r="E35" i="12"/>
  <c r="H35" i="12" s="1"/>
  <c r="F32" i="12"/>
  <c r="I32" i="12"/>
  <c r="G32" i="12"/>
  <c r="E32" i="12"/>
  <c r="H32" i="12" s="1"/>
  <c r="K32" i="12"/>
  <c r="F61" i="12"/>
  <c r="G61" i="12"/>
  <c r="E61" i="12"/>
  <c r="K61" i="12"/>
  <c r="I61" i="12"/>
  <c r="H61" i="12"/>
  <c r="F45" i="12"/>
  <c r="K45" i="12"/>
  <c r="I45" i="12"/>
  <c r="H45" i="12"/>
  <c r="G45" i="12"/>
  <c r="E45" i="12"/>
  <c r="F40" i="12"/>
  <c r="I40" i="12"/>
  <c r="G40" i="12"/>
  <c r="E40" i="12"/>
  <c r="H40" i="12" s="1"/>
  <c r="K40" i="12"/>
  <c r="F43" i="12"/>
  <c r="K43" i="12"/>
  <c r="I43" i="12"/>
  <c r="H43" i="12"/>
  <c r="G43" i="12"/>
  <c r="E43" i="12"/>
  <c r="F44" i="12"/>
  <c r="I44" i="12"/>
  <c r="H44" i="12"/>
  <c r="G44" i="12"/>
  <c r="E44" i="12"/>
  <c r="K44" i="12"/>
  <c r="F36" i="12"/>
  <c r="I36" i="12"/>
  <c r="G36" i="12"/>
  <c r="E36" i="12"/>
  <c r="H36" i="12" s="1"/>
  <c r="K36" i="12"/>
  <c r="F60" i="12"/>
  <c r="G60" i="12"/>
  <c r="I60" i="12"/>
  <c r="H60" i="12"/>
  <c r="E60" i="12"/>
  <c r="K60" i="12"/>
  <c r="F56" i="12"/>
  <c r="I56" i="12"/>
  <c r="H56" i="12"/>
  <c r="G56" i="12"/>
  <c r="E56" i="12"/>
  <c r="K56" i="12"/>
  <c r="F67" i="12"/>
  <c r="G67" i="12"/>
  <c r="K67" i="12"/>
  <c r="I67" i="12"/>
  <c r="H67" i="12"/>
  <c r="E67" i="12"/>
  <c r="F38" i="12"/>
  <c r="I38" i="12"/>
  <c r="G38" i="12"/>
  <c r="E38" i="12"/>
  <c r="H38" i="12" s="1"/>
  <c r="K38" i="12"/>
  <c r="F65" i="12"/>
  <c r="G65" i="12"/>
  <c r="E65" i="12"/>
  <c r="K65" i="12"/>
  <c r="I65" i="12"/>
  <c r="H65" i="12"/>
  <c r="F39" i="12"/>
  <c r="K39" i="12"/>
  <c r="I39" i="12"/>
  <c r="G39" i="12"/>
  <c r="E39" i="12"/>
  <c r="H39" i="12" s="1"/>
  <c r="F29" i="12"/>
  <c r="K29" i="12"/>
  <c r="I29" i="12"/>
  <c r="G29" i="12"/>
  <c r="E29" i="12"/>
  <c r="H29" i="12" s="1"/>
  <c r="F66" i="12"/>
  <c r="G66" i="12"/>
  <c r="K66" i="12"/>
  <c r="I66" i="12"/>
  <c r="H66" i="12"/>
  <c r="E66" i="12"/>
  <c r="F37" i="12"/>
  <c r="K37" i="12"/>
  <c r="I37" i="12"/>
  <c r="G37" i="12"/>
  <c r="E37" i="12"/>
  <c r="H37" i="12" s="1"/>
  <c r="F30" i="12"/>
  <c r="I30" i="12"/>
  <c r="G30" i="12"/>
  <c r="E30" i="12"/>
  <c r="H30" i="12" s="1"/>
  <c r="K30" i="12"/>
  <c r="F41" i="12"/>
  <c r="K41" i="12"/>
  <c r="I41" i="12"/>
  <c r="H41" i="12"/>
  <c r="G41" i="12"/>
  <c r="E41" i="12"/>
  <c r="F50" i="12"/>
  <c r="I50" i="12"/>
  <c r="H50" i="12"/>
  <c r="G50" i="12"/>
  <c r="E50" i="12"/>
  <c r="K50" i="12"/>
  <c r="F58" i="12"/>
  <c r="G58" i="12"/>
  <c r="K58" i="12"/>
  <c r="I58" i="12"/>
  <c r="H58" i="12"/>
  <c r="E58" i="12"/>
  <c r="L43" i="11"/>
  <c r="J43" i="11"/>
  <c r="J29" i="11"/>
  <c r="F59" i="11"/>
  <c r="G59" i="11"/>
  <c r="K59" i="11"/>
  <c r="I59" i="11"/>
  <c r="H59" i="11"/>
  <c r="E59" i="11"/>
  <c r="F63" i="11"/>
  <c r="G63" i="11"/>
  <c r="K63" i="11"/>
  <c r="I63" i="11"/>
  <c r="H63" i="11"/>
  <c r="E63" i="11"/>
  <c r="F67" i="11"/>
  <c r="G67" i="11"/>
  <c r="K67" i="11"/>
  <c r="I67" i="11"/>
  <c r="H67" i="11"/>
  <c r="E67" i="11"/>
  <c r="F65" i="11"/>
  <c r="G65" i="11"/>
  <c r="I65" i="11"/>
  <c r="H65" i="11"/>
  <c r="E65" i="11"/>
  <c r="K65" i="11"/>
  <c r="J33" i="11"/>
  <c r="F49" i="11"/>
  <c r="E49" i="11"/>
  <c r="K49" i="11"/>
  <c r="I49" i="11"/>
  <c r="H49" i="11"/>
  <c r="G49" i="11"/>
  <c r="F51" i="11"/>
  <c r="E51" i="11"/>
  <c r="K51" i="11"/>
  <c r="I51" i="11"/>
  <c r="H51" i="11"/>
  <c r="G51" i="11"/>
  <c r="J39" i="11"/>
  <c r="J35" i="11"/>
  <c r="F61" i="11"/>
  <c r="G61" i="11"/>
  <c r="I61" i="11"/>
  <c r="H61" i="11"/>
  <c r="E61" i="11"/>
  <c r="K61" i="11"/>
  <c r="J37" i="11"/>
  <c r="L41" i="11"/>
  <c r="J41" i="11"/>
  <c r="J31" i="11"/>
  <c r="A24" i="5"/>
  <c r="C24" i="5"/>
  <c r="B24" i="5"/>
  <c r="C27" i="6"/>
  <c r="A27" i="6"/>
  <c r="B27" i="6"/>
  <c r="B6" i="6"/>
  <c r="C6" i="6"/>
  <c r="A6" i="6"/>
  <c r="A12" i="6"/>
  <c r="B12" i="6"/>
  <c r="C12" i="6"/>
  <c r="C18" i="6"/>
  <c r="B18" i="6"/>
  <c r="A18" i="6"/>
  <c r="A26" i="6"/>
  <c r="B26" i="6"/>
  <c r="C26" i="6"/>
  <c r="C10" i="6"/>
  <c r="B10" i="6"/>
  <c r="A10" i="6"/>
  <c r="B21" i="6"/>
  <c r="A21" i="6"/>
  <c r="C21" i="6"/>
  <c r="B15" i="5"/>
  <c r="A14" i="6"/>
  <c r="B14" i="6"/>
  <c r="C14" i="6"/>
  <c r="A22" i="6"/>
  <c r="B22" i="6"/>
  <c r="C22" i="6"/>
  <c r="B29" i="6"/>
  <c r="A29" i="6"/>
  <c r="C29" i="6"/>
  <c r="A13" i="6"/>
  <c r="B13" i="6"/>
  <c r="C13" i="6"/>
  <c r="A15" i="5"/>
  <c r="A16" i="6"/>
  <c r="C16" i="6"/>
  <c r="B16" i="6"/>
  <c r="A24" i="6"/>
  <c r="C24" i="6"/>
  <c r="B24" i="6"/>
  <c r="C17" i="6"/>
  <c r="A17" i="6"/>
  <c r="B17" i="6"/>
  <c r="A8" i="6"/>
  <c r="C8" i="6"/>
  <c r="B8" i="6"/>
  <c r="Y6" i="5"/>
  <c r="Z6" i="5"/>
  <c r="V6" i="5"/>
  <c r="W6" i="5"/>
  <c r="AA6" i="5"/>
  <c r="X6" i="5"/>
  <c r="AB6" i="5"/>
  <c r="B15" i="6"/>
  <c r="A15" i="6"/>
  <c r="C15" i="6"/>
  <c r="C9" i="6"/>
  <c r="A9" i="6"/>
  <c r="B9" i="6"/>
  <c r="B21" i="5"/>
  <c r="A19" i="6"/>
  <c r="B19" i="6"/>
  <c r="C19" i="6"/>
  <c r="A27" i="5"/>
  <c r="C27" i="5"/>
  <c r="B27" i="5"/>
  <c r="A7" i="6"/>
  <c r="C7" i="6"/>
  <c r="B7" i="6"/>
  <c r="T32" i="5"/>
  <c r="C8" i="5"/>
  <c r="A21" i="5"/>
  <c r="C25" i="6"/>
  <c r="B25" i="6"/>
  <c r="A25" i="6"/>
  <c r="C28" i="6"/>
  <c r="A28" i="6"/>
  <c r="B28" i="6"/>
  <c r="A20" i="6"/>
  <c r="C20" i="6"/>
  <c r="B20" i="6"/>
  <c r="B23" i="6"/>
  <c r="A23" i="6"/>
  <c r="C23" i="6"/>
  <c r="A11" i="6"/>
  <c r="C11" i="6"/>
  <c r="B11" i="6"/>
  <c r="G64" i="10"/>
  <c r="H64" i="10"/>
  <c r="I64" i="10"/>
  <c r="F64" i="10"/>
  <c r="E64" i="10"/>
  <c r="K64" i="10"/>
  <c r="G32" i="10"/>
  <c r="I32" i="10"/>
  <c r="E32" i="10"/>
  <c r="H32" i="10" s="1"/>
  <c r="F32" i="10"/>
  <c r="K32" i="10"/>
  <c r="J66" i="10"/>
  <c r="L66" i="10"/>
  <c r="G65" i="10"/>
  <c r="H65" i="10"/>
  <c r="I65" i="10"/>
  <c r="K65" i="10"/>
  <c r="E65" i="10"/>
  <c r="F65" i="10"/>
  <c r="G63" i="10"/>
  <c r="H63" i="10"/>
  <c r="I63" i="10"/>
  <c r="E63" i="10"/>
  <c r="K63" i="10"/>
  <c r="F63" i="10"/>
  <c r="G53" i="10"/>
  <c r="H53" i="10"/>
  <c r="I53" i="10"/>
  <c r="K53" i="10"/>
  <c r="E53" i="10"/>
  <c r="F53" i="10"/>
  <c r="J58" i="10"/>
  <c r="L58" i="10"/>
  <c r="G46" i="10"/>
  <c r="H46" i="10"/>
  <c r="I46" i="10"/>
  <c r="F46" i="10"/>
  <c r="K46" i="10"/>
  <c r="E46" i="10"/>
  <c r="G29" i="10"/>
  <c r="I29" i="10"/>
  <c r="K29" i="10"/>
  <c r="E29" i="10"/>
  <c r="H29" i="10" s="1"/>
  <c r="F29" i="10"/>
  <c r="G61" i="10"/>
  <c r="H61" i="10"/>
  <c r="I61" i="10"/>
  <c r="K61" i="10"/>
  <c r="E61" i="10"/>
  <c r="F61" i="10"/>
  <c r="G41" i="10"/>
  <c r="H41" i="10"/>
  <c r="I41" i="10"/>
  <c r="K41" i="10"/>
  <c r="E41" i="10"/>
  <c r="F41" i="10"/>
  <c r="G68" i="10"/>
  <c r="H68" i="10"/>
  <c r="I68" i="10"/>
  <c r="F68" i="10"/>
  <c r="E68" i="10"/>
  <c r="K68" i="10"/>
  <c r="G67" i="10"/>
  <c r="H67" i="10"/>
  <c r="I67" i="10"/>
  <c r="K67" i="10"/>
  <c r="E67" i="10"/>
  <c r="F67" i="10"/>
  <c r="G60" i="10"/>
  <c r="H60" i="10"/>
  <c r="I60" i="10"/>
  <c r="E60" i="10"/>
  <c r="F60" i="10"/>
  <c r="K60" i="10"/>
  <c r="G39" i="10"/>
  <c r="H39" i="10"/>
  <c r="I39" i="10"/>
  <c r="E39" i="10"/>
  <c r="F39" i="10"/>
  <c r="K39" i="10"/>
  <c r="G59" i="10"/>
  <c r="H59" i="10"/>
  <c r="I59" i="10"/>
  <c r="E59" i="10"/>
  <c r="K59" i="10"/>
  <c r="F59" i="10"/>
  <c r="G36" i="10"/>
  <c r="I36" i="10"/>
  <c r="E36" i="10"/>
  <c r="H36" i="10" s="1"/>
  <c r="F36" i="10"/>
  <c r="K36" i="10"/>
  <c r="G33" i="10"/>
  <c r="I33" i="10"/>
  <c r="E33" i="10"/>
  <c r="H33" i="10" s="1"/>
  <c r="F33" i="10"/>
  <c r="K33" i="10"/>
  <c r="G49" i="10"/>
  <c r="H49" i="10"/>
  <c r="I49" i="10"/>
  <c r="K49" i="10"/>
  <c r="E49" i="10"/>
  <c r="F49" i="10"/>
  <c r="G44" i="10"/>
  <c r="H44" i="10"/>
  <c r="I44" i="10"/>
  <c r="E44" i="10"/>
  <c r="F44" i="10"/>
  <c r="K44" i="10"/>
  <c r="G35" i="10"/>
  <c r="I35" i="10"/>
  <c r="E35" i="10"/>
  <c r="H35" i="10" s="1"/>
  <c r="F35" i="10"/>
  <c r="K35" i="10"/>
  <c r="G45" i="10"/>
  <c r="H45" i="10"/>
  <c r="I45" i="10"/>
  <c r="K45" i="10"/>
  <c r="E45" i="10"/>
  <c r="F45" i="10"/>
  <c r="G47" i="10"/>
  <c r="H47" i="10"/>
  <c r="I47" i="10"/>
  <c r="E47" i="10"/>
  <c r="F47" i="10"/>
  <c r="K47" i="10"/>
  <c r="G37" i="10"/>
  <c r="I37" i="10"/>
  <c r="K37" i="10"/>
  <c r="E37" i="10"/>
  <c r="H37" i="10" s="1"/>
  <c r="F37" i="10"/>
  <c r="G51" i="10"/>
  <c r="H51" i="10"/>
  <c r="I51" i="10"/>
  <c r="K51" i="10"/>
  <c r="E51" i="10"/>
  <c r="F51" i="10"/>
  <c r="G30" i="10"/>
  <c r="I30" i="10"/>
  <c r="E30" i="10"/>
  <c r="H30" i="10" s="1"/>
  <c r="F30" i="10"/>
  <c r="K30" i="10"/>
  <c r="J38" i="10"/>
  <c r="G31" i="10"/>
  <c r="I31" i="10"/>
  <c r="E31" i="10"/>
  <c r="H31" i="10" s="1"/>
  <c r="F31" i="10"/>
  <c r="K31" i="10"/>
  <c r="J54" i="10"/>
  <c r="L54" i="10"/>
  <c r="G34" i="10"/>
  <c r="I34" i="10"/>
  <c r="E34" i="10"/>
  <c r="H34" i="10" s="1"/>
  <c r="F34" i="10"/>
  <c r="K34" i="10"/>
  <c r="G43" i="10"/>
  <c r="H43" i="10"/>
  <c r="I43" i="10"/>
  <c r="E43" i="10"/>
  <c r="F43" i="10"/>
  <c r="K43" i="10"/>
  <c r="J62" i="10"/>
  <c r="L62" i="10"/>
  <c r="G56" i="10"/>
  <c r="H56" i="10"/>
  <c r="I56" i="10"/>
  <c r="F56" i="10"/>
  <c r="E56" i="10"/>
  <c r="K56" i="10"/>
  <c r="G48" i="10"/>
  <c r="H48" i="10"/>
  <c r="I48" i="10"/>
  <c r="E48" i="10"/>
  <c r="F48" i="10"/>
  <c r="K48" i="10"/>
  <c r="J50" i="10"/>
  <c r="L50" i="10"/>
  <c r="G42" i="10"/>
  <c r="H42" i="10"/>
  <c r="I42" i="10"/>
  <c r="F42" i="10"/>
  <c r="K42" i="10"/>
  <c r="E42" i="10"/>
  <c r="G40" i="10"/>
  <c r="H40" i="10"/>
  <c r="I40" i="10"/>
  <c r="E40" i="10"/>
  <c r="F40" i="10"/>
  <c r="K40" i="10"/>
  <c r="G52" i="10"/>
  <c r="H52" i="10"/>
  <c r="I52" i="10"/>
  <c r="F52" i="10"/>
  <c r="E52" i="10"/>
  <c r="K52" i="10"/>
  <c r="G57" i="10"/>
  <c r="H57" i="10"/>
  <c r="I57" i="10"/>
  <c r="K57" i="10"/>
  <c r="E57" i="10"/>
  <c r="F57" i="10"/>
  <c r="G55" i="10"/>
  <c r="H55" i="10"/>
  <c r="I55" i="10"/>
  <c r="K55" i="10"/>
  <c r="E55" i="10"/>
  <c r="F55" i="10"/>
  <c r="I15" i="9"/>
  <c r="J6" i="5"/>
  <c r="J32" i="5"/>
  <c r="D30" i="5"/>
  <c r="L30" i="5"/>
  <c r="T30" i="5"/>
  <c r="U30" i="5" s="1"/>
  <c r="AB30" i="5"/>
  <c r="G30" i="5"/>
  <c r="P30" i="5"/>
  <c r="Y30" i="5"/>
  <c r="H30" i="5"/>
  <c r="Q30" i="5"/>
  <c r="Z30" i="5"/>
  <c r="I30" i="5"/>
  <c r="R30" i="5"/>
  <c r="AA30" i="5"/>
  <c r="J30" i="5"/>
  <c r="S30" i="5"/>
  <c r="F30" i="5"/>
  <c r="O30" i="5"/>
  <c r="X30" i="5"/>
  <c r="N30" i="5"/>
  <c r="V30" i="5"/>
  <c r="W30" i="5"/>
  <c r="E30" i="5"/>
  <c r="K30" i="5"/>
  <c r="M30" i="5"/>
  <c r="J25" i="5"/>
  <c r="R25" i="5"/>
  <c r="Z25" i="5"/>
  <c r="F25" i="5"/>
  <c r="O25" i="5"/>
  <c r="X25" i="5"/>
  <c r="I25" i="5"/>
  <c r="T25" i="5"/>
  <c r="U25" i="5" s="1"/>
  <c r="K25" i="5"/>
  <c r="L25" i="5"/>
  <c r="V25" i="5"/>
  <c r="M25" i="5"/>
  <c r="W25" i="5"/>
  <c r="H25" i="5"/>
  <c r="S25" i="5"/>
  <c r="AA25" i="5"/>
  <c r="D25" i="5"/>
  <c r="AB25" i="5"/>
  <c r="E25" i="5"/>
  <c r="G25" i="5"/>
  <c r="N25" i="5"/>
  <c r="P25" i="5"/>
  <c r="Q25" i="5"/>
  <c r="Y25" i="5"/>
  <c r="H19" i="5"/>
  <c r="P19" i="5"/>
  <c r="X19" i="5"/>
  <c r="F19" i="5"/>
  <c r="O19" i="5"/>
  <c r="Y19" i="5"/>
  <c r="E19" i="5"/>
  <c r="Q19" i="5"/>
  <c r="AA19" i="5"/>
  <c r="K19" i="5"/>
  <c r="G19" i="5"/>
  <c r="R19" i="5"/>
  <c r="AB19" i="5"/>
  <c r="I19" i="5"/>
  <c r="S19" i="5"/>
  <c r="J19" i="5"/>
  <c r="T19" i="5"/>
  <c r="U19" i="5" s="1"/>
  <c r="D19" i="5"/>
  <c r="N19" i="5"/>
  <c r="Z19" i="5"/>
  <c r="L19" i="5"/>
  <c r="M19" i="5"/>
  <c r="V19" i="5"/>
  <c r="W19" i="5"/>
  <c r="E26" i="5"/>
  <c r="M26" i="5"/>
  <c r="D26" i="5"/>
  <c r="N26" i="5"/>
  <c r="W26" i="5"/>
  <c r="K26" i="5"/>
  <c r="V26" i="5"/>
  <c r="L26" i="5"/>
  <c r="X26" i="5"/>
  <c r="O26" i="5"/>
  <c r="Y26" i="5"/>
  <c r="F26" i="5"/>
  <c r="P26" i="5"/>
  <c r="Z26" i="5"/>
  <c r="J26" i="5"/>
  <c r="T26" i="5"/>
  <c r="U26" i="5" s="1"/>
  <c r="AA26" i="5"/>
  <c r="AB26" i="5"/>
  <c r="G26" i="5"/>
  <c r="H26" i="5"/>
  <c r="I26" i="5"/>
  <c r="Q26" i="5"/>
  <c r="R26" i="5"/>
  <c r="S26" i="5"/>
  <c r="G15" i="5"/>
  <c r="O15" i="5"/>
  <c r="W15" i="5"/>
  <c r="L15" i="5"/>
  <c r="I15" i="5"/>
  <c r="R15" i="5"/>
  <c r="AA15" i="5"/>
  <c r="E15" i="5"/>
  <c r="Q15" i="5"/>
  <c r="N15" i="5"/>
  <c r="AB15" i="5"/>
  <c r="H15" i="5"/>
  <c r="V15" i="5"/>
  <c r="P15" i="5"/>
  <c r="D15" i="5"/>
  <c r="S15" i="5"/>
  <c r="F15" i="5"/>
  <c r="T15" i="5"/>
  <c r="U15" i="5" s="1"/>
  <c r="M15" i="5"/>
  <c r="Z15" i="5"/>
  <c r="X15" i="5"/>
  <c r="Y15" i="5"/>
  <c r="J15" i="5"/>
  <c r="K15" i="5"/>
  <c r="H10" i="5"/>
  <c r="P10" i="5"/>
  <c r="X10" i="5"/>
  <c r="K10" i="5"/>
  <c r="T10" i="5"/>
  <c r="U10" i="5" s="1"/>
  <c r="G10" i="5"/>
  <c r="Q10" i="5"/>
  <c r="Z10" i="5"/>
  <c r="D10" i="5"/>
  <c r="O10" i="5"/>
  <c r="AB10" i="5"/>
  <c r="E10" i="5"/>
  <c r="R10" i="5"/>
  <c r="L10" i="5"/>
  <c r="AA10" i="5"/>
  <c r="F10" i="5"/>
  <c r="V10" i="5"/>
  <c r="I10" i="5"/>
  <c r="W10" i="5"/>
  <c r="J10" i="5"/>
  <c r="Y10" i="5"/>
  <c r="S10" i="5"/>
  <c r="M10" i="5"/>
  <c r="N10" i="5"/>
  <c r="I12" i="9"/>
  <c r="G32" i="5"/>
  <c r="G6" i="5"/>
  <c r="F32" i="5"/>
  <c r="F6" i="5"/>
  <c r="F29" i="5"/>
  <c r="I29" i="5"/>
  <c r="Q29" i="5"/>
  <c r="Y29" i="5"/>
  <c r="H29" i="5"/>
  <c r="R29" i="5"/>
  <c r="AA29" i="5"/>
  <c r="J29" i="5"/>
  <c r="S29" i="5"/>
  <c r="AB29" i="5"/>
  <c r="K29" i="5"/>
  <c r="T29" i="5"/>
  <c r="U29" i="5" s="1"/>
  <c r="L29" i="5"/>
  <c r="G29" i="5"/>
  <c r="P29" i="5"/>
  <c r="Z29" i="5"/>
  <c r="V29" i="5"/>
  <c r="W29" i="5"/>
  <c r="X29" i="5"/>
  <c r="D29" i="5"/>
  <c r="E29" i="5"/>
  <c r="M29" i="5"/>
  <c r="N29" i="5"/>
  <c r="O29" i="5"/>
  <c r="E9" i="5"/>
  <c r="M9" i="5"/>
  <c r="L9" i="5"/>
  <c r="V9" i="5"/>
  <c r="I9" i="5"/>
  <c r="R9" i="5"/>
  <c r="AA9" i="5"/>
  <c r="H9" i="5"/>
  <c r="T9" i="5"/>
  <c r="U9" i="5" s="1"/>
  <c r="J9" i="5"/>
  <c r="W9" i="5"/>
  <c r="P9" i="5"/>
  <c r="G9" i="5"/>
  <c r="Y9" i="5"/>
  <c r="Q9" i="5"/>
  <c r="D9" i="5"/>
  <c r="S9" i="5"/>
  <c r="F9" i="5"/>
  <c r="X9" i="5"/>
  <c r="O9" i="5"/>
  <c r="K9" i="5"/>
  <c r="N9" i="5"/>
  <c r="Z9" i="5"/>
  <c r="AB9" i="5"/>
  <c r="E32" i="5"/>
  <c r="E6" i="5"/>
  <c r="K36" i="7"/>
  <c r="L36" i="7" s="1"/>
  <c r="E9" i="7"/>
  <c r="I9" i="7"/>
  <c r="K28" i="5"/>
  <c r="S28" i="5"/>
  <c r="AA28" i="5"/>
  <c r="J28" i="5"/>
  <c r="T28" i="5"/>
  <c r="U28" i="5" s="1"/>
  <c r="F28" i="5"/>
  <c r="P28" i="5"/>
  <c r="Z28" i="5"/>
  <c r="G28" i="5"/>
  <c r="Q28" i="5"/>
  <c r="AB28" i="5"/>
  <c r="H28" i="5"/>
  <c r="R28" i="5"/>
  <c r="I28" i="5"/>
  <c r="E28" i="5"/>
  <c r="O28" i="5"/>
  <c r="Y28" i="5"/>
  <c r="W28" i="5"/>
  <c r="X28" i="5"/>
  <c r="D28" i="5"/>
  <c r="L28" i="5"/>
  <c r="M28" i="5"/>
  <c r="N28" i="5"/>
  <c r="V28" i="5"/>
  <c r="D23" i="5"/>
  <c r="L23" i="5"/>
  <c r="T23" i="5"/>
  <c r="U23" i="5" s="1"/>
  <c r="AB23" i="5"/>
  <c r="I23" i="5"/>
  <c r="R23" i="5"/>
  <c r="AA23" i="5"/>
  <c r="E23" i="5"/>
  <c r="O23" i="5"/>
  <c r="Y23" i="5"/>
  <c r="F23" i="5"/>
  <c r="P23" i="5"/>
  <c r="Z23" i="5"/>
  <c r="G23" i="5"/>
  <c r="Q23" i="5"/>
  <c r="H23" i="5"/>
  <c r="S23" i="5"/>
  <c r="N23" i="5"/>
  <c r="X23" i="5"/>
  <c r="J23" i="5"/>
  <c r="K23" i="5"/>
  <c r="M23" i="5"/>
  <c r="V23" i="5"/>
  <c r="W23" i="5"/>
  <c r="H18" i="5"/>
  <c r="G18" i="5"/>
  <c r="P18" i="5"/>
  <c r="X18" i="5"/>
  <c r="D18" i="5"/>
  <c r="M18" i="5"/>
  <c r="O18" i="5"/>
  <c r="Z18" i="5"/>
  <c r="K18" i="5"/>
  <c r="W18" i="5"/>
  <c r="E18" i="5"/>
  <c r="R18" i="5"/>
  <c r="L18" i="5"/>
  <c r="Y18" i="5"/>
  <c r="N18" i="5"/>
  <c r="AA18" i="5"/>
  <c r="Q18" i="5"/>
  <c r="AB18" i="5"/>
  <c r="J18" i="5"/>
  <c r="V18" i="5"/>
  <c r="F18" i="5"/>
  <c r="I18" i="5"/>
  <c r="S18" i="5"/>
  <c r="T18" i="5"/>
  <c r="U18" i="5" s="1"/>
  <c r="I13" i="5"/>
  <c r="Q13" i="5"/>
  <c r="Y13" i="5"/>
  <c r="F13" i="5"/>
  <c r="O13" i="5"/>
  <c r="X13" i="5"/>
  <c r="L13" i="5"/>
  <c r="N13" i="5"/>
  <c r="AA13" i="5"/>
  <c r="D13" i="5"/>
  <c r="P13" i="5"/>
  <c r="AB13" i="5"/>
  <c r="M13" i="5"/>
  <c r="G13" i="5"/>
  <c r="V13" i="5"/>
  <c r="R13" i="5"/>
  <c r="S13" i="5"/>
  <c r="E13" i="5"/>
  <c r="T13" i="5"/>
  <c r="U13" i="5" s="1"/>
  <c r="K13" i="5"/>
  <c r="W13" i="5"/>
  <c r="Z13" i="5"/>
  <c r="H13" i="5"/>
  <c r="J13" i="5"/>
  <c r="N6" i="5"/>
  <c r="N32" i="5"/>
  <c r="F9" i="7"/>
  <c r="M9" i="7"/>
  <c r="L32" i="5"/>
  <c r="L6" i="5"/>
  <c r="H32" i="5"/>
  <c r="H6" i="5"/>
  <c r="I18" i="9"/>
  <c r="M32" i="5"/>
  <c r="M6" i="5"/>
  <c r="S9" i="7"/>
  <c r="J16" i="9"/>
  <c r="K32" i="5"/>
  <c r="K6" i="5"/>
  <c r="I20" i="9"/>
  <c r="O32" i="5"/>
  <c r="O6" i="5"/>
  <c r="J18" i="9"/>
  <c r="P32" i="5"/>
  <c r="P6" i="5"/>
  <c r="N10" i="7"/>
  <c r="K20" i="5"/>
  <c r="S20" i="5"/>
  <c r="AA20" i="5"/>
  <c r="E20" i="5"/>
  <c r="N20" i="5"/>
  <c r="W20" i="5"/>
  <c r="H20" i="5"/>
  <c r="R20" i="5"/>
  <c r="X20" i="5"/>
  <c r="I20" i="5"/>
  <c r="T20" i="5"/>
  <c r="U20" i="5" s="1"/>
  <c r="J20" i="5"/>
  <c r="L20" i="5"/>
  <c r="V20" i="5"/>
  <c r="G20" i="5"/>
  <c r="Q20" i="5"/>
  <c r="AB20" i="5"/>
  <c r="M20" i="5"/>
  <c r="Y20" i="5"/>
  <c r="Z20" i="5"/>
  <c r="D20" i="5"/>
  <c r="F20" i="5"/>
  <c r="O20" i="5"/>
  <c r="P20" i="5"/>
  <c r="F12" i="5"/>
  <c r="N12" i="5"/>
  <c r="V12" i="5"/>
  <c r="H12" i="5"/>
  <c r="Q12" i="5"/>
  <c r="Z12" i="5"/>
  <c r="D12" i="5"/>
  <c r="M12" i="5"/>
  <c r="W12" i="5"/>
  <c r="G12" i="5"/>
  <c r="S12" i="5"/>
  <c r="I12" i="5"/>
  <c r="T12" i="5"/>
  <c r="U12" i="5" s="1"/>
  <c r="K12" i="5"/>
  <c r="AA12" i="5"/>
  <c r="R12" i="5"/>
  <c r="L12" i="5"/>
  <c r="AB12" i="5"/>
  <c r="O12" i="5"/>
  <c r="P12" i="5"/>
  <c r="J12" i="5"/>
  <c r="Y12" i="5"/>
  <c r="E12" i="5"/>
  <c r="X12" i="5"/>
  <c r="K9" i="7"/>
  <c r="T6" i="5"/>
  <c r="U6" i="5" s="1"/>
  <c r="I22" i="5"/>
  <c r="Q22" i="5"/>
  <c r="Y22" i="5"/>
  <c r="K22" i="5"/>
  <c r="T22" i="5"/>
  <c r="U22" i="5" s="1"/>
  <c r="M22" i="5"/>
  <c r="W22" i="5"/>
  <c r="D22" i="5"/>
  <c r="N22" i="5"/>
  <c r="X22" i="5"/>
  <c r="E22" i="5"/>
  <c r="O22" i="5"/>
  <c r="Z22" i="5"/>
  <c r="F22" i="5"/>
  <c r="P22" i="5"/>
  <c r="AA22" i="5"/>
  <c r="L22" i="5"/>
  <c r="V22" i="5"/>
  <c r="G22" i="5"/>
  <c r="H22" i="5"/>
  <c r="J22" i="5"/>
  <c r="R22" i="5"/>
  <c r="S22" i="5"/>
  <c r="AB22" i="5"/>
  <c r="J9" i="3"/>
  <c r="I10" i="7"/>
  <c r="I13" i="9"/>
  <c r="J25" i="9"/>
  <c r="N6" i="7"/>
  <c r="J17" i="9"/>
  <c r="I17" i="9"/>
  <c r="I6" i="7"/>
  <c r="L10" i="7"/>
  <c r="L18" i="8"/>
  <c r="C18" i="8" s="1"/>
  <c r="L8" i="8"/>
  <c r="J8" i="8" s="1"/>
  <c r="L17" i="8"/>
  <c r="J17" i="8" s="1"/>
  <c r="L20" i="8"/>
  <c r="E20" i="8" s="1"/>
  <c r="L10" i="8"/>
  <c r="L21" i="8"/>
  <c r="L11" i="8"/>
  <c r="L9" i="8"/>
  <c r="E9" i="8" s="1"/>
  <c r="L19" i="8"/>
  <c r="O6" i="7"/>
  <c r="J21" i="9"/>
  <c r="J6" i="7"/>
  <c r="J10" i="9"/>
  <c r="D6" i="7"/>
  <c r="K33" i="7"/>
  <c r="L33" i="7" s="1"/>
  <c r="I29" i="9"/>
  <c r="J29" i="9" s="1"/>
  <c r="K6" i="7"/>
  <c r="I11" i="9"/>
  <c r="O10" i="7"/>
  <c r="J10" i="7"/>
  <c r="E6" i="7"/>
  <c r="G6" i="7"/>
  <c r="J13" i="9"/>
  <c r="S6" i="7"/>
  <c r="D10" i="7"/>
  <c r="J11" i="9"/>
  <c r="J19" i="9"/>
  <c r="S10" i="7"/>
  <c r="I21" i="9"/>
  <c r="I16" i="9"/>
  <c r="M6" i="7"/>
  <c r="I10" i="9"/>
  <c r="K10" i="7"/>
  <c r="M10" i="7"/>
  <c r="L7" i="8"/>
  <c r="D7" i="8" s="1"/>
  <c r="G10" i="7"/>
  <c r="H5" i="9"/>
  <c r="J15" i="9"/>
  <c r="J20" i="9"/>
  <c r="F6" i="7"/>
  <c r="J12" i="9"/>
  <c r="I19" i="9"/>
  <c r="K11" i="5" l="1"/>
  <c r="O11" i="5"/>
  <c r="F11" i="5"/>
  <c r="AB11" i="5"/>
  <c r="R11" i="5"/>
  <c r="I11" i="5"/>
  <c r="AA11" i="5"/>
  <c r="S11" i="5"/>
  <c r="D14" i="5"/>
  <c r="I14" i="5"/>
  <c r="V14" i="5"/>
  <c r="P14" i="5"/>
  <c r="H14" i="5"/>
  <c r="X14" i="5"/>
  <c r="Q14" i="5"/>
  <c r="F14" i="5"/>
  <c r="R14" i="5"/>
  <c r="G14" i="5"/>
  <c r="O14" i="5"/>
  <c r="AA14" i="5"/>
  <c r="K14" i="5"/>
  <c r="M14" i="5"/>
  <c r="Y14" i="5"/>
  <c r="Z14" i="5"/>
  <c r="S14" i="5"/>
  <c r="J14" i="5"/>
  <c r="W14" i="5"/>
  <c r="N14" i="5"/>
  <c r="E14" i="5"/>
  <c r="AB14" i="5"/>
  <c r="T14" i="5"/>
  <c r="U14" i="5" s="1"/>
  <c r="L14" i="5"/>
  <c r="X8" i="5"/>
  <c r="V8" i="5"/>
  <c r="H8" i="5"/>
  <c r="G8" i="5"/>
  <c r="F8" i="5"/>
  <c r="AB8" i="5"/>
  <c r="I8" i="5"/>
  <c r="S8" i="5"/>
  <c r="D8" i="5"/>
  <c r="Q8" i="5"/>
  <c r="P8" i="5"/>
  <c r="L8" i="5"/>
  <c r="AA8" i="5"/>
  <c r="O8" i="5"/>
  <c r="Y8" i="5"/>
  <c r="M8" i="5"/>
  <c r="T8" i="5"/>
  <c r="U8" i="5" s="1"/>
  <c r="K8" i="5"/>
  <c r="W8" i="5"/>
  <c r="N8" i="5"/>
  <c r="E8" i="5"/>
  <c r="Z8" i="5"/>
  <c r="R8" i="5"/>
  <c r="J8" i="5"/>
  <c r="J16" i="5"/>
  <c r="R16" i="5"/>
  <c r="Z16" i="5"/>
  <c r="K16" i="5"/>
  <c r="T16" i="5"/>
  <c r="U16" i="5" s="1"/>
  <c r="G16" i="5"/>
  <c r="P16" i="5"/>
  <c r="Y16" i="5"/>
  <c r="M16" i="5"/>
  <c r="X16" i="5"/>
  <c r="N16" i="5"/>
  <c r="AB16" i="5"/>
  <c r="F16" i="5"/>
  <c r="O16" i="5"/>
  <c r="D16" i="5"/>
  <c r="Q16" i="5"/>
  <c r="E16" i="5"/>
  <c r="S16" i="5"/>
  <c r="L16" i="5"/>
  <c r="AA16" i="5"/>
  <c r="H16" i="5"/>
  <c r="I16" i="5"/>
  <c r="V16" i="5"/>
  <c r="W16" i="5"/>
  <c r="D17" i="5"/>
  <c r="E17" i="5"/>
  <c r="W17" i="5"/>
  <c r="V17" i="5"/>
  <c r="J17" i="5"/>
  <c r="Y17" i="5"/>
  <c r="K17" i="5"/>
  <c r="Q17" i="5"/>
  <c r="P17" i="5"/>
  <c r="AB17" i="5"/>
  <c r="N17" i="5"/>
  <c r="S17" i="5"/>
  <c r="Z17" i="5"/>
  <c r="L17" i="5"/>
  <c r="T17" i="5"/>
  <c r="U17" i="5" s="1"/>
  <c r="H17" i="5"/>
  <c r="X17" i="5"/>
  <c r="O17" i="5"/>
  <c r="F17" i="5"/>
  <c r="AA17" i="5"/>
  <c r="R17" i="5"/>
  <c r="I17" i="5"/>
  <c r="M17" i="5"/>
  <c r="G17" i="5"/>
  <c r="F21" i="5"/>
  <c r="N21" i="5"/>
  <c r="V21" i="5"/>
  <c r="L21" i="5"/>
  <c r="J21" i="5"/>
  <c r="T21" i="5"/>
  <c r="U21" i="5" s="1"/>
  <c r="P21" i="5"/>
  <c r="K21" i="5"/>
  <c r="X11" i="5"/>
  <c r="L11" i="5"/>
  <c r="W11" i="5"/>
  <c r="M11" i="5"/>
  <c r="Y11" i="5"/>
  <c r="G11" i="5"/>
  <c r="V11" i="5"/>
  <c r="P11" i="5"/>
  <c r="H11" i="5"/>
  <c r="Z11" i="5"/>
  <c r="J11" i="5"/>
  <c r="N11" i="5"/>
  <c r="E11" i="5"/>
  <c r="Q11" i="5"/>
  <c r="T11" i="5"/>
  <c r="U11" i="5" s="1"/>
  <c r="D11" i="5"/>
  <c r="T7" i="5"/>
  <c r="U7" i="5" s="1"/>
  <c r="R7" i="5"/>
  <c r="Q7" i="5"/>
  <c r="V7" i="5"/>
  <c r="M7" i="5"/>
  <c r="AB7" i="5"/>
  <c r="J7" i="5"/>
  <c r="AA7" i="5"/>
  <c r="I7" i="5"/>
  <c r="N7" i="5"/>
  <c r="Z7" i="5"/>
  <c r="D7" i="5"/>
  <c r="X7" i="5"/>
  <c r="K7" i="5"/>
  <c r="S7" i="5"/>
  <c r="H7" i="5"/>
  <c r="G7" i="5"/>
  <c r="O7" i="5"/>
  <c r="W7" i="5"/>
  <c r="F7" i="5"/>
  <c r="P7" i="5"/>
  <c r="Y7" i="5"/>
  <c r="L7" i="5"/>
  <c r="E7" i="5"/>
  <c r="M21" i="5"/>
  <c r="AA21" i="5"/>
  <c r="Z21" i="5"/>
  <c r="R21" i="5"/>
  <c r="W21" i="5"/>
  <c r="H21" i="5"/>
  <c r="G21" i="5"/>
  <c r="AB21" i="5"/>
  <c r="E21" i="5"/>
  <c r="S21" i="5"/>
  <c r="I21" i="5"/>
  <c r="Y21" i="5"/>
  <c r="O21" i="5"/>
  <c r="D21" i="5"/>
  <c r="X21" i="5"/>
  <c r="Q21" i="5"/>
  <c r="J64" i="11"/>
  <c r="L64" i="11"/>
  <c r="J52" i="11"/>
  <c r="L52" i="11"/>
  <c r="J48" i="11"/>
  <c r="L48" i="11"/>
  <c r="J60" i="11"/>
  <c r="L60" i="11"/>
  <c r="J46" i="11"/>
  <c r="L46" i="11"/>
  <c r="J68" i="11"/>
  <c r="L68" i="11"/>
  <c r="J50" i="11"/>
  <c r="L50" i="11"/>
  <c r="J42" i="11"/>
  <c r="L42" i="11"/>
  <c r="L38" i="10"/>
  <c r="L37" i="11"/>
  <c r="L35" i="11"/>
  <c r="L38" i="11"/>
  <c r="L33" i="11"/>
  <c r="L39" i="11"/>
  <c r="L40" i="11"/>
  <c r="L31" i="11"/>
  <c r="L45" i="11"/>
  <c r="J45" i="11"/>
  <c r="L32" i="11"/>
  <c r="J54" i="11"/>
  <c r="L54" i="11"/>
  <c r="L56" i="11"/>
  <c r="J56" i="11"/>
  <c r="L44" i="11"/>
  <c r="J44" i="11"/>
  <c r="L55" i="11"/>
  <c r="J55" i="11"/>
  <c r="J53" i="11"/>
  <c r="L53" i="11"/>
  <c r="L57" i="11"/>
  <c r="J57" i="11"/>
  <c r="L62" i="11"/>
  <c r="J62" i="11"/>
  <c r="L33" i="13"/>
  <c r="L45" i="13"/>
  <c r="J45" i="13"/>
  <c r="L32" i="13"/>
  <c r="J32" i="13"/>
  <c r="L41" i="13"/>
  <c r="J41" i="13"/>
  <c r="L36" i="13"/>
  <c r="J36" i="13"/>
  <c r="L67" i="13"/>
  <c r="J67" i="13"/>
  <c r="L65" i="13"/>
  <c r="J65" i="13"/>
  <c r="L31" i="13"/>
  <c r="L57" i="13"/>
  <c r="J57" i="13"/>
  <c r="L35" i="13"/>
  <c r="L38" i="13"/>
  <c r="J38" i="13"/>
  <c r="L68" i="13"/>
  <c r="J68" i="13"/>
  <c r="L53" i="13"/>
  <c r="J53" i="13"/>
  <c r="L66" i="13"/>
  <c r="J66" i="13"/>
  <c r="L30" i="13"/>
  <c r="J30" i="13"/>
  <c r="L49" i="13"/>
  <c r="J49" i="13"/>
  <c r="L61" i="13"/>
  <c r="J61" i="13"/>
  <c r="L29" i="13"/>
  <c r="L34" i="13"/>
  <c r="J34" i="13"/>
  <c r="L63" i="12"/>
  <c r="J63" i="12"/>
  <c r="L54" i="12"/>
  <c r="J54" i="12"/>
  <c r="L31" i="12"/>
  <c r="J31" i="12"/>
  <c r="L52" i="12"/>
  <c r="J52" i="12"/>
  <c r="L37" i="12"/>
  <c r="J37" i="12"/>
  <c r="L60" i="12"/>
  <c r="J60" i="12"/>
  <c r="L35" i="12"/>
  <c r="J35" i="12"/>
  <c r="L57" i="12"/>
  <c r="J57" i="12"/>
  <c r="L64" i="12"/>
  <c r="J64" i="12"/>
  <c r="L58" i="12"/>
  <c r="J58" i="12"/>
  <c r="L50" i="12"/>
  <c r="J50" i="12"/>
  <c r="L40" i="12"/>
  <c r="J40" i="12"/>
  <c r="L33" i="12"/>
  <c r="J33" i="12"/>
  <c r="L32" i="12"/>
  <c r="J32" i="12"/>
  <c r="L62" i="12"/>
  <c r="J62" i="12"/>
  <c r="L59" i="12"/>
  <c r="J59" i="12"/>
  <c r="L36" i="12"/>
  <c r="J36" i="12"/>
  <c r="L39" i="12"/>
  <c r="J39" i="12"/>
  <c r="L43" i="12"/>
  <c r="J43" i="12"/>
  <c r="L61" i="12"/>
  <c r="J61" i="12"/>
  <c r="L47" i="12"/>
  <c r="J47" i="12"/>
  <c r="L51" i="12"/>
  <c r="J51" i="12"/>
  <c r="L29" i="12"/>
  <c r="J29" i="12"/>
  <c r="L34" i="12"/>
  <c r="L38" i="12"/>
  <c r="J38" i="12"/>
  <c r="L30" i="12"/>
  <c r="J30" i="12"/>
  <c r="L67" i="12"/>
  <c r="J67" i="12"/>
  <c r="L56" i="12"/>
  <c r="J56" i="12"/>
  <c r="L44" i="12"/>
  <c r="J44" i="12"/>
  <c r="L46" i="12"/>
  <c r="J46" i="12"/>
  <c r="L48" i="12"/>
  <c r="J48" i="12"/>
  <c r="L42" i="12"/>
  <c r="J42" i="12"/>
  <c r="L41" i="12"/>
  <c r="J41" i="12"/>
  <c r="L66" i="12"/>
  <c r="J66" i="12"/>
  <c r="L65" i="12"/>
  <c r="J65" i="12"/>
  <c r="L45" i="12"/>
  <c r="J45" i="12"/>
  <c r="L55" i="12"/>
  <c r="J55" i="12"/>
  <c r="L68" i="12"/>
  <c r="J68" i="12"/>
  <c r="L49" i="12"/>
  <c r="J49" i="12"/>
  <c r="L53" i="12"/>
  <c r="J53" i="12"/>
  <c r="L29" i="11"/>
  <c r="L63" i="11"/>
  <c r="J63" i="11"/>
  <c r="L30" i="11"/>
  <c r="L34" i="11"/>
  <c r="L67" i="11"/>
  <c r="J67" i="11"/>
  <c r="L61" i="11"/>
  <c r="J61" i="11"/>
  <c r="L51" i="11"/>
  <c r="J51" i="11"/>
  <c r="L65" i="11"/>
  <c r="J65" i="11"/>
  <c r="L49" i="11"/>
  <c r="J49" i="11"/>
  <c r="L59" i="11"/>
  <c r="J59" i="11"/>
  <c r="L36" i="11"/>
  <c r="M26" i="6"/>
  <c r="K26" i="6"/>
  <c r="L26" i="6"/>
  <c r="Y26" i="6"/>
  <c r="V26" i="6"/>
  <c r="Q26" i="6"/>
  <c r="T26" i="6"/>
  <c r="U26" i="6" s="1"/>
  <c r="G26" i="6"/>
  <c r="AA26" i="6"/>
  <c r="W26" i="6"/>
  <c r="O26" i="6"/>
  <c r="H26" i="6"/>
  <c r="R26" i="6"/>
  <c r="D26" i="6"/>
  <c r="AB26" i="6"/>
  <c r="P26" i="6"/>
  <c r="I26" i="6"/>
  <c r="X26" i="6"/>
  <c r="F26" i="6"/>
  <c r="Z26" i="6"/>
  <c r="S26" i="6"/>
  <c r="N26" i="6"/>
  <c r="E26" i="6"/>
  <c r="J26" i="6"/>
  <c r="P27" i="5"/>
  <c r="Z27" i="5"/>
  <c r="W27" i="5"/>
  <c r="X27" i="5"/>
  <c r="F27" i="5"/>
  <c r="V27" i="5"/>
  <c r="L27" i="5"/>
  <c r="Q27" i="5"/>
  <c r="I27" i="5"/>
  <c r="D27" i="5"/>
  <c r="AA27" i="5"/>
  <c r="J27" i="5"/>
  <c r="N27" i="5"/>
  <c r="G27" i="5"/>
  <c r="K27" i="5"/>
  <c r="Y27" i="5"/>
  <c r="R27" i="5"/>
  <c r="S27" i="5"/>
  <c r="E27" i="5"/>
  <c r="AB27" i="5"/>
  <c r="T27" i="5"/>
  <c r="U27" i="5" s="1"/>
  <c r="H27" i="5"/>
  <c r="O27" i="5"/>
  <c r="M27" i="5"/>
  <c r="G21" i="6"/>
  <c r="Y21" i="6"/>
  <c r="V21" i="6"/>
  <c r="O21" i="6"/>
  <c r="D21" i="6"/>
  <c r="J21" i="6"/>
  <c r="W21" i="6"/>
  <c r="L21" i="6"/>
  <c r="Z21" i="6"/>
  <c r="H21" i="6"/>
  <c r="T21" i="6"/>
  <c r="U21" i="6" s="1"/>
  <c r="K21" i="6"/>
  <c r="P21" i="6"/>
  <c r="AB21" i="6"/>
  <c r="AA21" i="6"/>
  <c r="X21" i="6"/>
  <c r="S21" i="6"/>
  <c r="R21" i="6"/>
  <c r="I21" i="6"/>
  <c r="E21" i="6"/>
  <c r="M21" i="6"/>
  <c r="Q21" i="6"/>
  <c r="F21" i="6"/>
  <c r="N21" i="6"/>
  <c r="N18" i="6"/>
  <c r="K18" i="6"/>
  <c r="D18" i="6"/>
  <c r="V18" i="6"/>
  <c r="S18" i="6"/>
  <c r="T18" i="6"/>
  <c r="U18" i="6" s="1"/>
  <c r="G18" i="6"/>
  <c r="AA18" i="6"/>
  <c r="E18" i="6"/>
  <c r="O18" i="6"/>
  <c r="L18" i="6"/>
  <c r="I18" i="6"/>
  <c r="W18" i="6"/>
  <c r="AB18" i="6"/>
  <c r="J18" i="6"/>
  <c r="H18" i="6"/>
  <c r="M18" i="6"/>
  <c r="Y18" i="6"/>
  <c r="P18" i="6"/>
  <c r="Q18" i="6"/>
  <c r="Z18" i="6"/>
  <c r="F18" i="6"/>
  <c r="X18" i="6"/>
  <c r="R18" i="6"/>
  <c r="L20" i="6"/>
  <c r="Q20" i="6"/>
  <c r="J20" i="6"/>
  <c r="AB20" i="6"/>
  <c r="Y20" i="6"/>
  <c r="Z20" i="6"/>
  <c r="O20" i="6"/>
  <c r="E20" i="6"/>
  <c r="R20" i="6"/>
  <c r="AA20" i="6"/>
  <c r="M20" i="6"/>
  <c r="S20" i="6"/>
  <c r="F20" i="6"/>
  <c r="G20" i="6"/>
  <c r="P20" i="6"/>
  <c r="N20" i="6"/>
  <c r="W20" i="6"/>
  <c r="V20" i="6"/>
  <c r="H20" i="6"/>
  <c r="K20" i="6"/>
  <c r="I20" i="6"/>
  <c r="X20" i="6"/>
  <c r="T20" i="6"/>
  <c r="U20" i="6" s="1"/>
  <c r="D20" i="6"/>
  <c r="X15" i="6"/>
  <c r="V15" i="6"/>
  <c r="AB15" i="6"/>
  <c r="Y15" i="6"/>
  <c r="Q15" i="6"/>
  <c r="H15" i="6"/>
  <c r="G15" i="6"/>
  <c r="L15" i="6"/>
  <c r="I15" i="6"/>
  <c r="W15" i="6"/>
  <c r="O15" i="6"/>
  <c r="P15" i="6"/>
  <c r="E15" i="6"/>
  <c r="J15" i="6"/>
  <c r="M15" i="6"/>
  <c r="R15" i="6"/>
  <c r="AA15" i="6"/>
  <c r="F15" i="6"/>
  <c r="Z15" i="6"/>
  <c r="K15" i="6"/>
  <c r="N15" i="6"/>
  <c r="D15" i="6"/>
  <c r="T15" i="6"/>
  <c r="U15" i="6" s="1"/>
  <c r="S15" i="6"/>
  <c r="Y13" i="6"/>
  <c r="AA13" i="6"/>
  <c r="O13" i="6"/>
  <c r="L13" i="6"/>
  <c r="K13" i="6"/>
  <c r="Z13" i="6"/>
  <c r="E13" i="6"/>
  <c r="M13" i="6"/>
  <c r="W13" i="6"/>
  <c r="AB13" i="6"/>
  <c r="J13" i="6"/>
  <c r="H13" i="6"/>
  <c r="S13" i="6"/>
  <c r="P13" i="6"/>
  <c r="V13" i="6"/>
  <c r="X13" i="6"/>
  <c r="F13" i="6"/>
  <c r="I13" i="6"/>
  <c r="N13" i="6"/>
  <c r="Q13" i="6"/>
  <c r="G13" i="6"/>
  <c r="T13" i="6"/>
  <c r="U13" i="6" s="1"/>
  <c r="R13" i="6"/>
  <c r="D13" i="6"/>
  <c r="F24" i="6"/>
  <c r="AB24" i="6"/>
  <c r="G24" i="6"/>
  <c r="O24" i="6"/>
  <c r="W24" i="6"/>
  <c r="D24" i="6"/>
  <c r="L24" i="6"/>
  <c r="S24" i="6"/>
  <c r="T24" i="6"/>
  <c r="U24" i="6" s="1"/>
  <c r="V24" i="6"/>
  <c r="I24" i="6"/>
  <c r="N24" i="6"/>
  <c r="AA24" i="6"/>
  <c r="Q24" i="6"/>
  <c r="K24" i="6"/>
  <c r="Y24" i="6"/>
  <c r="J24" i="6"/>
  <c r="R24" i="6"/>
  <c r="H24" i="6"/>
  <c r="Z24" i="6"/>
  <c r="P24" i="6"/>
  <c r="E24" i="6"/>
  <c r="X24" i="6"/>
  <c r="M24" i="6"/>
  <c r="E22" i="6"/>
  <c r="P22" i="6"/>
  <c r="Q22" i="6"/>
  <c r="R22" i="6"/>
  <c r="AB22" i="6"/>
  <c r="I22" i="6"/>
  <c r="Z22" i="6"/>
  <c r="G22" i="6"/>
  <c r="Y22" i="6"/>
  <c r="W22" i="6"/>
  <c r="K22" i="6"/>
  <c r="O22" i="6"/>
  <c r="M22" i="6"/>
  <c r="S22" i="6"/>
  <c r="N22" i="6"/>
  <c r="AA22" i="6"/>
  <c r="F22" i="6"/>
  <c r="D22" i="6"/>
  <c r="V22" i="6"/>
  <c r="L22" i="6"/>
  <c r="H22" i="6"/>
  <c r="J22" i="6"/>
  <c r="T22" i="6"/>
  <c r="U22" i="6" s="1"/>
  <c r="X22" i="6"/>
  <c r="V10" i="6"/>
  <c r="S10" i="6"/>
  <c r="T10" i="6"/>
  <c r="U10" i="6" s="1"/>
  <c r="G10" i="6"/>
  <c r="AA10" i="6"/>
  <c r="E10" i="6"/>
  <c r="O10" i="6"/>
  <c r="L10" i="6"/>
  <c r="I10" i="6"/>
  <c r="W10" i="6"/>
  <c r="AB10" i="6"/>
  <c r="Y10" i="6"/>
  <c r="H10" i="6"/>
  <c r="M10" i="6"/>
  <c r="J10" i="6"/>
  <c r="P10" i="6"/>
  <c r="Q10" i="6"/>
  <c r="Z10" i="6"/>
  <c r="F10" i="6"/>
  <c r="X10" i="6"/>
  <c r="R10" i="6"/>
  <c r="N10" i="6"/>
  <c r="K10" i="6"/>
  <c r="D10" i="6"/>
  <c r="Z27" i="6"/>
  <c r="N27" i="6"/>
  <c r="L27" i="6"/>
  <c r="G27" i="6"/>
  <c r="O27" i="6"/>
  <c r="E27" i="6"/>
  <c r="S27" i="6"/>
  <c r="P27" i="6"/>
  <c r="AA27" i="6"/>
  <c r="I27" i="6"/>
  <c r="H27" i="6"/>
  <c r="V27" i="6"/>
  <c r="Q27" i="6"/>
  <c r="T27" i="6"/>
  <c r="U27" i="6" s="1"/>
  <c r="D27" i="6"/>
  <c r="Y27" i="6"/>
  <c r="K27" i="6"/>
  <c r="X27" i="6"/>
  <c r="J27" i="6"/>
  <c r="M27" i="6"/>
  <c r="F27" i="6"/>
  <c r="R27" i="6"/>
  <c r="W27" i="6"/>
  <c r="AB27" i="6"/>
  <c r="Q11" i="6"/>
  <c r="F11" i="6"/>
  <c r="G11" i="6"/>
  <c r="Y11" i="6"/>
  <c r="N11" i="6"/>
  <c r="W11" i="6"/>
  <c r="J11" i="6"/>
  <c r="V11" i="6"/>
  <c r="H11" i="6"/>
  <c r="R11" i="6"/>
  <c r="O11" i="6"/>
  <c r="X11" i="6"/>
  <c r="Z11" i="6"/>
  <c r="P11" i="6"/>
  <c r="L11" i="6"/>
  <c r="K11" i="6"/>
  <c r="D11" i="6"/>
  <c r="AB11" i="6"/>
  <c r="S11" i="6"/>
  <c r="T11" i="6"/>
  <c r="U11" i="6" s="1"/>
  <c r="M11" i="6"/>
  <c r="I11" i="6"/>
  <c r="AA11" i="6"/>
  <c r="E11" i="6"/>
  <c r="N28" i="6"/>
  <c r="Q28" i="6"/>
  <c r="F28" i="6"/>
  <c r="R28" i="6"/>
  <c r="H28" i="6"/>
  <c r="W28" i="6"/>
  <c r="G28" i="6"/>
  <c r="AA28" i="6"/>
  <c r="I28" i="6"/>
  <c r="K28" i="6"/>
  <c r="O28" i="6"/>
  <c r="P28" i="6"/>
  <c r="S28" i="6"/>
  <c r="Y28" i="6"/>
  <c r="Z28" i="6"/>
  <c r="J28" i="6"/>
  <c r="X28" i="6"/>
  <c r="D28" i="6"/>
  <c r="V28" i="6"/>
  <c r="L28" i="6"/>
  <c r="T28" i="6"/>
  <c r="U28" i="6" s="1"/>
  <c r="AB28" i="6"/>
  <c r="E28" i="6"/>
  <c r="M28" i="6"/>
  <c r="I19" i="6"/>
  <c r="AA19" i="6"/>
  <c r="E19" i="6"/>
  <c r="Q19" i="6"/>
  <c r="F19" i="6"/>
  <c r="G19" i="6"/>
  <c r="Y19" i="6"/>
  <c r="N19" i="6"/>
  <c r="W19" i="6"/>
  <c r="J19" i="6"/>
  <c r="V19" i="6"/>
  <c r="H19" i="6"/>
  <c r="R19" i="6"/>
  <c r="O19" i="6"/>
  <c r="L19" i="6"/>
  <c r="Z19" i="6"/>
  <c r="P19" i="6"/>
  <c r="M19" i="6"/>
  <c r="K19" i="6"/>
  <c r="D19" i="6"/>
  <c r="X19" i="6"/>
  <c r="S19" i="6"/>
  <c r="T19" i="6"/>
  <c r="U19" i="6" s="1"/>
  <c r="AB19" i="6"/>
  <c r="R29" i="6"/>
  <c r="V29" i="6"/>
  <c r="X29" i="6"/>
  <c r="Y29" i="6"/>
  <c r="E29" i="6"/>
  <c r="Z29" i="6"/>
  <c r="H29" i="6"/>
  <c r="I29" i="6"/>
  <c r="J29" i="6"/>
  <c r="P29" i="6"/>
  <c r="Q29" i="6"/>
  <c r="T29" i="6"/>
  <c r="U29" i="6" s="1"/>
  <c r="AB29" i="6"/>
  <c r="M29" i="6"/>
  <c r="D29" i="6"/>
  <c r="G29" i="6"/>
  <c r="K29" i="6"/>
  <c r="F29" i="6"/>
  <c r="N29" i="6"/>
  <c r="S29" i="6"/>
  <c r="O29" i="6"/>
  <c r="AA29" i="6"/>
  <c r="W29" i="6"/>
  <c r="L29" i="6"/>
  <c r="V8" i="6"/>
  <c r="W8" i="6"/>
  <c r="O8" i="6"/>
  <c r="J8" i="6"/>
  <c r="AA8" i="6"/>
  <c r="R8" i="6"/>
  <c r="K8" i="6"/>
  <c r="M8" i="6"/>
  <c r="H8" i="6"/>
  <c r="Z8" i="6"/>
  <c r="P8" i="6"/>
  <c r="X8" i="6"/>
  <c r="N8" i="6"/>
  <c r="AB8" i="6"/>
  <c r="I8" i="6"/>
  <c r="L8" i="6"/>
  <c r="Q8" i="6"/>
  <c r="S8" i="6"/>
  <c r="Y8" i="6"/>
  <c r="F8" i="6"/>
  <c r="G8" i="6"/>
  <c r="T8" i="6"/>
  <c r="U8" i="6" s="1"/>
  <c r="D8" i="6"/>
  <c r="E8" i="6"/>
  <c r="P23" i="6"/>
  <c r="Q23" i="6"/>
  <c r="T23" i="6"/>
  <c r="U23" i="6" s="1"/>
  <c r="X23" i="6"/>
  <c r="D23" i="6"/>
  <c r="H23" i="6"/>
  <c r="S23" i="6"/>
  <c r="W23" i="6"/>
  <c r="E23" i="6"/>
  <c r="J23" i="6"/>
  <c r="AB23" i="6"/>
  <c r="Z23" i="6"/>
  <c r="K23" i="6"/>
  <c r="M23" i="6"/>
  <c r="R23" i="6"/>
  <c r="L23" i="6"/>
  <c r="AA23" i="6"/>
  <c r="Y23" i="6"/>
  <c r="F23" i="6"/>
  <c r="I23" i="6"/>
  <c r="N23" i="6"/>
  <c r="V23" i="6"/>
  <c r="G23" i="6"/>
  <c r="O23" i="6"/>
  <c r="P25" i="6"/>
  <c r="Q25" i="6"/>
  <c r="R25" i="6"/>
  <c r="Z25" i="6"/>
  <c r="F25" i="6"/>
  <c r="G25" i="6"/>
  <c r="H25" i="6"/>
  <c r="O25" i="6"/>
  <c r="V25" i="6"/>
  <c r="S25" i="6"/>
  <c r="X25" i="6"/>
  <c r="AA25" i="6"/>
  <c r="J25" i="6"/>
  <c r="Y25" i="6"/>
  <c r="D25" i="6"/>
  <c r="L25" i="6"/>
  <c r="T25" i="6"/>
  <c r="U25" i="6" s="1"/>
  <c r="N25" i="6"/>
  <c r="AB25" i="6"/>
  <c r="E25" i="6"/>
  <c r="W25" i="6"/>
  <c r="K25" i="6"/>
  <c r="M25" i="6"/>
  <c r="I25" i="6"/>
  <c r="Q7" i="6"/>
  <c r="R7" i="6"/>
  <c r="W7" i="6"/>
  <c r="I7" i="6"/>
  <c r="X7" i="6"/>
  <c r="Z7" i="6"/>
  <c r="M7" i="6"/>
  <c r="H7" i="6"/>
  <c r="AA7" i="6"/>
  <c r="K7" i="6"/>
  <c r="L7" i="6"/>
  <c r="V7" i="6"/>
  <c r="AB7" i="6"/>
  <c r="F7" i="6"/>
  <c r="G7" i="6"/>
  <c r="P7" i="6"/>
  <c r="N7" i="6"/>
  <c r="J7" i="6"/>
  <c r="O7" i="6"/>
  <c r="Y7" i="6"/>
  <c r="E7" i="6"/>
  <c r="S7" i="6"/>
  <c r="D7" i="6"/>
  <c r="T7" i="6"/>
  <c r="U7" i="6" s="1"/>
  <c r="V16" i="6"/>
  <c r="W16" i="6"/>
  <c r="AB16" i="6"/>
  <c r="O16" i="6"/>
  <c r="Q16" i="6"/>
  <c r="S16" i="6"/>
  <c r="Y16" i="6"/>
  <c r="J16" i="6"/>
  <c r="R16" i="6"/>
  <c r="L16" i="6"/>
  <c r="Z16" i="6"/>
  <c r="P16" i="6"/>
  <c r="E16" i="6"/>
  <c r="X16" i="6"/>
  <c r="M16" i="6"/>
  <c r="AA16" i="6"/>
  <c r="I16" i="6"/>
  <c r="N16" i="6"/>
  <c r="K16" i="6"/>
  <c r="T16" i="6"/>
  <c r="U16" i="6" s="1"/>
  <c r="D16" i="6"/>
  <c r="G16" i="6"/>
  <c r="H16" i="6"/>
  <c r="F16" i="6"/>
  <c r="R14" i="6"/>
  <c r="G14" i="6"/>
  <c r="M14" i="6"/>
  <c r="H14" i="6"/>
  <c r="Z14" i="6"/>
  <c r="O14" i="6"/>
  <c r="I14" i="6"/>
  <c r="K14" i="6"/>
  <c r="W14" i="6"/>
  <c r="Y14" i="6"/>
  <c r="V14" i="6"/>
  <c r="S14" i="6"/>
  <c r="AA14" i="6"/>
  <c r="D14" i="6"/>
  <c r="P14" i="6"/>
  <c r="L14" i="6"/>
  <c r="Q14" i="6"/>
  <c r="J14" i="6"/>
  <c r="AB14" i="6"/>
  <c r="N14" i="6"/>
  <c r="X14" i="6"/>
  <c r="T14" i="6"/>
  <c r="U14" i="6" s="1"/>
  <c r="E14" i="6"/>
  <c r="F14" i="6"/>
  <c r="F12" i="6"/>
  <c r="N12" i="6"/>
  <c r="L12" i="6"/>
  <c r="X12" i="6"/>
  <c r="V12" i="6"/>
  <c r="Z12" i="6"/>
  <c r="S12" i="6"/>
  <c r="I12" i="6"/>
  <c r="J12" i="6"/>
  <c r="T12" i="6"/>
  <c r="U12" i="6" s="1"/>
  <c r="Q12" i="6"/>
  <c r="AA12" i="6"/>
  <c r="H12" i="6"/>
  <c r="P12" i="6"/>
  <c r="AB12" i="6"/>
  <c r="Y12" i="6"/>
  <c r="K12" i="6"/>
  <c r="R12" i="6"/>
  <c r="E12" i="6"/>
  <c r="O12" i="6"/>
  <c r="W12" i="6"/>
  <c r="M12" i="6"/>
  <c r="G12" i="6"/>
  <c r="D12" i="6"/>
  <c r="W9" i="6"/>
  <c r="V9" i="6"/>
  <c r="Y9" i="6"/>
  <c r="D9" i="6"/>
  <c r="L9" i="6"/>
  <c r="O9" i="6"/>
  <c r="Q9" i="6"/>
  <c r="AB9" i="6"/>
  <c r="E9" i="6"/>
  <c r="N9" i="6"/>
  <c r="M9" i="6"/>
  <c r="R9" i="6"/>
  <c r="K9" i="6"/>
  <c r="P9" i="6"/>
  <c r="I9" i="6"/>
  <c r="S9" i="6"/>
  <c r="X9" i="6"/>
  <c r="Z9" i="6"/>
  <c r="AA9" i="6"/>
  <c r="J9" i="6"/>
  <c r="T9" i="6"/>
  <c r="U9" i="6" s="1"/>
  <c r="F9" i="6"/>
  <c r="H9" i="6"/>
  <c r="G9" i="6"/>
  <c r="V17" i="6"/>
  <c r="W17" i="6"/>
  <c r="Y17" i="6"/>
  <c r="R17" i="6"/>
  <c r="AB17" i="6"/>
  <c r="E17" i="6"/>
  <c r="S17" i="6"/>
  <c r="I17" i="6"/>
  <c r="Q17" i="6"/>
  <c r="K17" i="6"/>
  <c r="M17" i="6"/>
  <c r="H17" i="6"/>
  <c r="AA17" i="6"/>
  <c r="P17" i="6"/>
  <c r="O17" i="6"/>
  <c r="N17" i="6"/>
  <c r="Z17" i="6"/>
  <c r="D17" i="6"/>
  <c r="X17" i="6"/>
  <c r="J17" i="6"/>
  <c r="L17" i="6"/>
  <c r="T17" i="6"/>
  <c r="U17" i="6" s="1"/>
  <c r="G17" i="6"/>
  <c r="F17" i="6"/>
  <c r="O6" i="6"/>
  <c r="J6" i="6"/>
  <c r="E6" i="6"/>
  <c r="W6" i="6"/>
  <c r="R6" i="6"/>
  <c r="Z6" i="6"/>
  <c r="H6" i="6"/>
  <c r="D6" i="6"/>
  <c r="F6" i="6"/>
  <c r="P6" i="6"/>
  <c r="L6" i="6"/>
  <c r="AA6" i="6"/>
  <c r="X6" i="6"/>
  <c r="T6" i="6"/>
  <c r="U6" i="6" s="1"/>
  <c r="K6" i="6"/>
  <c r="I6" i="6"/>
  <c r="AB6" i="6"/>
  <c r="M6" i="6"/>
  <c r="Q6" i="6"/>
  <c r="S6" i="6"/>
  <c r="N6" i="6"/>
  <c r="G6" i="6"/>
  <c r="Y6" i="6"/>
  <c r="V6" i="6"/>
  <c r="X24" i="5"/>
  <c r="M24" i="5"/>
  <c r="N24" i="5"/>
  <c r="V24" i="5"/>
  <c r="H24" i="5"/>
  <c r="J24" i="5"/>
  <c r="Q24" i="5"/>
  <c r="K24" i="5"/>
  <c r="Z24" i="5"/>
  <c r="E24" i="5"/>
  <c r="F24" i="5"/>
  <c r="P24" i="5"/>
  <c r="Y24" i="5"/>
  <c r="R24" i="5"/>
  <c r="AA24" i="5"/>
  <c r="G24" i="5"/>
  <c r="AB24" i="5"/>
  <c r="L24" i="5"/>
  <c r="O24" i="5"/>
  <c r="I24" i="5"/>
  <c r="W24" i="5"/>
  <c r="S24" i="5"/>
  <c r="D24" i="5"/>
  <c r="T24" i="5"/>
  <c r="U24" i="5" s="1"/>
  <c r="J33" i="10"/>
  <c r="L33" i="10"/>
  <c r="J60" i="10"/>
  <c r="L60" i="10"/>
  <c r="L61" i="10"/>
  <c r="J61" i="10"/>
  <c r="L57" i="10"/>
  <c r="J57" i="10"/>
  <c r="J56" i="10"/>
  <c r="L56" i="10"/>
  <c r="J43" i="10"/>
  <c r="L43" i="10"/>
  <c r="J47" i="10"/>
  <c r="L47" i="10"/>
  <c r="L49" i="10"/>
  <c r="J49" i="10"/>
  <c r="J39" i="10"/>
  <c r="L39" i="10"/>
  <c r="L41" i="10"/>
  <c r="J41" i="10"/>
  <c r="J63" i="10"/>
  <c r="L63" i="10"/>
  <c r="J30" i="10"/>
  <c r="L30" i="10"/>
  <c r="L45" i="10"/>
  <c r="J45" i="10"/>
  <c r="L65" i="10"/>
  <c r="J65" i="10"/>
  <c r="J31" i="10"/>
  <c r="L31" i="10"/>
  <c r="J55" i="10"/>
  <c r="L55" i="10"/>
  <c r="J42" i="10"/>
  <c r="L42" i="10"/>
  <c r="J48" i="10"/>
  <c r="L48" i="10"/>
  <c r="L37" i="10"/>
  <c r="J37" i="10"/>
  <c r="J44" i="10"/>
  <c r="L44" i="10"/>
  <c r="J59" i="10"/>
  <c r="L59" i="10"/>
  <c r="J68" i="10"/>
  <c r="L68" i="10"/>
  <c r="J46" i="10"/>
  <c r="L46" i="10"/>
  <c r="L53" i="10"/>
  <c r="J53" i="10"/>
  <c r="J35" i="10"/>
  <c r="L35" i="10"/>
  <c r="J36" i="10"/>
  <c r="L36" i="10"/>
  <c r="J67" i="10"/>
  <c r="L67" i="10"/>
  <c r="L29" i="10"/>
  <c r="J29" i="10"/>
  <c r="J64" i="10"/>
  <c r="L64" i="10"/>
  <c r="J40" i="10"/>
  <c r="L40" i="10"/>
  <c r="J51" i="10"/>
  <c r="L51" i="10"/>
  <c r="J52" i="10"/>
  <c r="L52" i="10"/>
  <c r="J34" i="10"/>
  <c r="L34" i="10"/>
  <c r="J32" i="10"/>
  <c r="L32" i="10"/>
  <c r="H18" i="8"/>
  <c r="D18" i="8"/>
  <c r="J18" i="8"/>
  <c r="F18" i="8"/>
  <c r="G18" i="8" s="1"/>
  <c r="I18" i="8"/>
  <c r="E18" i="8"/>
  <c r="H20" i="8"/>
  <c r="D8" i="8"/>
  <c r="F20" i="8"/>
  <c r="G20" i="8" s="1"/>
  <c r="C20" i="8"/>
  <c r="C17" i="8"/>
  <c r="H17" i="8"/>
  <c r="E8" i="8"/>
  <c r="J20" i="8"/>
  <c r="I17" i="8"/>
  <c r="H8" i="8"/>
  <c r="I20" i="8"/>
  <c r="E17" i="8"/>
  <c r="I8" i="8"/>
  <c r="F17" i="8"/>
  <c r="G17" i="8" s="1"/>
  <c r="C8" i="8"/>
  <c r="D20" i="8"/>
  <c r="D17" i="8"/>
  <c r="F8" i="8"/>
  <c r="G8" i="8" s="1"/>
  <c r="E7" i="8"/>
  <c r="I7" i="8"/>
  <c r="H7" i="8"/>
  <c r="J7" i="8"/>
  <c r="C7" i="8"/>
  <c r="F7" i="8"/>
  <c r="G7" i="8" s="1"/>
  <c r="I11" i="8"/>
  <c r="J11" i="8"/>
  <c r="H11" i="8"/>
  <c r="D11" i="8"/>
  <c r="C11" i="8"/>
  <c r="F11" i="8"/>
  <c r="G11" i="8" s="1"/>
  <c r="E11" i="8"/>
  <c r="I25" i="9"/>
  <c r="I5" i="9"/>
  <c r="D19" i="8"/>
  <c r="H19" i="8"/>
  <c r="F19" i="8"/>
  <c r="G19" i="8" s="1"/>
  <c r="I19" i="8"/>
  <c r="J19" i="8"/>
  <c r="E19" i="8"/>
  <c r="C19" i="8"/>
  <c r="J21" i="8"/>
  <c r="H21" i="8"/>
  <c r="F21" i="8"/>
  <c r="G21" i="8" s="1"/>
  <c r="I21" i="8"/>
  <c r="E21" i="8"/>
  <c r="D21" i="8"/>
  <c r="C21" i="8"/>
  <c r="C9" i="8"/>
  <c r="I9" i="8"/>
  <c r="H9" i="8"/>
  <c r="J9" i="8"/>
  <c r="D9" i="8"/>
  <c r="F9" i="8"/>
  <c r="G9" i="8" s="1"/>
  <c r="J10" i="8"/>
  <c r="I10" i="8"/>
  <c r="H10" i="8"/>
  <c r="F10" i="8"/>
  <c r="G10" i="8" s="1"/>
  <c r="E10" i="8"/>
  <c r="D10" i="8"/>
  <c r="C1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<sst xmlns="http://schemas.openxmlformats.org/spreadsheetml/2006/main" count="506" uniqueCount="158">
  <si>
    <t>الإعدادات</t>
  </si>
  <si>
    <t>عدّل الخلايا الصفراء فقط</t>
  </si>
  <si>
    <t>اسم البرنامج</t>
  </si>
  <si>
    <t>تعاهد</t>
  </si>
  <si>
    <t>تاريخ أول جلسة (اختياري)</t>
  </si>
  <si>
    <t>عدد الأسابيع</t>
  </si>
  <si>
    <t>المقرأة</t>
  </si>
  <si>
    <t>الاسم</t>
  </si>
  <si>
    <t>المقرأة 1</t>
  </si>
  <si>
    <t>المقرأة الأولى</t>
  </si>
  <si>
    <t>المقرأة 2</t>
  </si>
  <si>
    <t>المقرأة الثانية</t>
  </si>
  <si>
    <t>الحلقة</t>
  </si>
  <si>
    <t>الحلقة 1</t>
  </si>
  <si>
    <t xml:space="preserve">ابي بن مالك </t>
  </si>
  <si>
    <t>الحلقة 2</t>
  </si>
  <si>
    <t xml:space="preserve">ابن رجب </t>
  </si>
  <si>
    <t>الحلقة 3</t>
  </si>
  <si>
    <t xml:space="preserve">حسان بن ثابت </t>
  </si>
  <si>
    <t>الحلقة 4</t>
  </si>
  <si>
    <t xml:space="preserve">عبدالرحمن بن النعمان </t>
  </si>
  <si>
    <t>برنامج تعاهد — ملف المتابعة الأسبوعية</t>
  </si>
  <si>
    <t>مقرأتان × ٢٠ طالبًا · ٤ حلقات · ١٦ أسبوعًا</t>
  </si>
  <si>
    <t>١. الإعدادات</t>
  </si>
  <si>
    <t>اكتب اسم البرنامج وأسماء المقرأتين والحلقات الأربع، وتاريخ أول جلسة (اختياري) ليظهر تاريخ كل أسبوع.</t>
  </si>
  <si>
    <t>٢. الطلاب</t>
  </si>
  <si>
    <t>اكتب أسماء الطلاب الأربعين، واختر لكل طالب مقرأته وحلقته من القائمة المنسدلة. التوزيع المبدئي: أول ٢٠ طالبًا في المقرأة الأولى والبقية في الثانية، و٥ طلاب من كل حلقة في كل مقرأة.</t>
  </si>
  <si>
    <t>٣. الإدخال (أسبوعيًا)</t>
  </si>
  <si>
    <t>صفوف كل أسبوع متتالية (٤٠ صفًا). استخدم سهم التصفية على عمود «الأسبوع» لعرض أسبوع واحد. عبّئ الخلايا الصفراء فقط: التحضير (حاضر / متأخر / غائب / معتذر)، تقييم الإنجاز من ١٠٠، أوجه الحفظ، أوجه العرض، الأوجه المقروءة.</t>
  </si>
  <si>
    <t>٤. التقارير</t>
  </si>
  <si>
    <t>تُحدَّث تلقائيًا: تقرير كل مقرأة (إنجاز كل طالب في كل أسبوع)، تقرير الحلقات، أفضل ٥ طلاب (اختر الأسبوع في الخلية الصفراء)، وتقرير البرنامج الكامل.</t>
  </si>
  <si>
    <t>طريقة الحساب</t>
  </si>
  <si>
    <t>حاضر / متأخر</t>
  </si>
  <si>
    <t>يُحتسبان حضورًا، ويدخل تقييمهما وأوجههما في التقارير. يظهر عدد المتأخرين منفصلًا.</t>
  </si>
  <si>
    <t>غائب</t>
  </si>
  <si>
    <t>تُحتسب نسبة إنجازه صفرًا وتدخل في متوسط المقرأة والحلقة والبرنامج.</t>
  </si>
  <si>
    <t>معتذر</t>
  </si>
  <si>
    <t>إذا كُتب له تقييم: تُحتسب نسبة إنجازه حسب تقييمه وتدخل في الإجمالي. وإذا لم يُكتب له تقييم: تُحتسب صفرًا. لا يُعدّ حاضرًا في نسبة الحضور، ويظهر عدد المعتذرين منفصلًا عن الغائبين.</t>
  </si>
  <si>
    <t>نسبة الإنجاز</t>
  </si>
  <si>
    <t>مجموع تقييمات الحاضرين والمتأخرين والمعتذرين + صفر لكل غائب ولكل معتذر بلا تقييم، مقسومًا على عددهم، ثم ÷ ١٠٠. الحاضر الذي لم يُكتب له تقييم لا يدخل في المتوسط.</t>
  </si>
  <si>
    <t>نسبة الحضور</t>
  </si>
  <si>
    <t>(الحاضرون + المتأخرون) ÷ كل من سُجّل تحضيره في الأسبوع (حاضر، متأخر، غائب، معتذر). الطالب الذي تُرك تحضيره فارغًا لا يُحتسب.</t>
  </si>
  <si>
    <t>الأوجه</t>
  </si>
  <si>
    <t>تُجمع أوجه الحفظ والعرض والقراءة للحاضرين والمتأخرين. تقبل أنصاف الأوجه (مثل 1.5).</t>
  </si>
  <si>
    <t>التقدير</t>
  </si>
  <si>
    <t>ممتاز ٩٠٪ فأكثر · جيد جدًا ٨٠٪ · جيد ٧٠٪ · مقبول ٦٠٪ · يحتاج متابعة أقل من ٦٠٪.</t>
  </si>
  <si>
    <t>أفضل ٥</t>
  </si>
  <si>
    <t>من الحاضرين والمتأخرين، الترتيب بتقييم الإنجاز، وعند التساوي بأوجه الحفظ ثم أوجه العرض.</t>
  </si>
  <si>
    <t>في تقرير المقرأة</t>
  </si>
  <si>
    <t>«غ» غائب (يُحسب صفرًا) · «ع» معتذر بلا تقييم (يُحسب صفرًا) · المعتذر الذي له تقييم تظهر نسبته · الخانة الفارغة = لم يُدخل تقييم.</t>
  </si>
  <si>
    <t>مفتاح الألوان</t>
  </si>
  <si>
    <t>خلية صفراء</t>
  </si>
  <si>
    <t>خلية إدخال: اكتب فيها</t>
  </si>
  <si>
    <t>خلية رمادية / بيضاء</t>
  </si>
  <si>
    <t>تُحسب تلقائيًا بالمعادلات: لا تكتب فيها</t>
  </si>
  <si>
    <t>مثال لصف إدخال (للتوضيح فقط، لا يدخل في الحساب)</t>
  </si>
  <si>
    <t>الأسبوع</t>
  </si>
  <si>
    <t>رقم الطالب</t>
  </si>
  <si>
    <t>اسم الطالب</t>
  </si>
  <si>
    <t>التحضير</t>
  </si>
  <si>
    <t>تقييم الإنجاز /100</t>
  </si>
  <si>
    <t>أوجه الحفظ</t>
  </si>
  <si>
    <t>أوجه العرض</t>
  </si>
  <si>
    <t>الأوجه المقروءة</t>
  </si>
  <si>
    <t>الحلقة الأولى</t>
  </si>
  <si>
    <t>عبدالله محمد</t>
  </si>
  <si>
    <t>متأخر</t>
  </si>
  <si>
    <t>الطلاب وتوزيعهم</t>
  </si>
  <si>
    <t>مفتاح (تلقائي)</t>
  </si>
  <si>
    <t>المجموع</t>
  </si>
  <si>
    <t>غسان اليحيى</t>
  </si>
  <si>
    <t xml:space="preserve">صالح الشريف </t>
  </si>
  <si>
    <t xml:space="preserve">فهد المشيقح </t>
  </si>
  <si>
    <t>عبدالله الحفير</t>
  </si>
  <si>
    <t>زياد الدخيل الله</t>
  </si>
  <si>
    <t xml:space="preserve">عاصم الضبيعي </t>
  </si>
  <si>
    <t>محمد السعوي</t>
  </si>
  <si>
    <t>هشام المخلف</t>
  </si>
  <si>
    <t xml:space="preserve">اسامة السعدون </t>
  </si>
  <si>
    <t xml:space="preserve">محمد الثنيان </t>
  </si>
  <si>
    <t xml:space="preserve">كنان الجريفاني </t>
  </si>
  <si>
    <t xml:space="preserve">عبدالمجيد الربعي </t>
  </si>
  <si>
    <t xml:space="preserve">عبدالله التويجري </t>
  </si>
  <si>
    <t xml:space="preserve">حسام التويجري </t>
  </si>
  <si>
    <t xml:space="preserve">عبدالرحمن البريدي </t>
  </si>
  <si>
    <t>عبدالرحمن بازرعة</t>
  </si>
  <si>
    <t xml:space="preserve">عبدالله الضحيان </t>
  </si>
  <si>
    <t xml:space="preserve">فيصل الدخيل </t>
  </si>
  <si>
    <t xml:space="preserve">سليمان المحيميد </t>
  </si>
  <si>
    <t xml:space="preserve">اصيل التويجري </t>
  </si>
  <si>
    <t xml:space="preserve">جواد الرفيعي </t>
  </si>
  <si>
    <t xml:space="preserve">سفيان السبيعي </t>
  </si>
  <si>
    <t xml:space="preserve">عمار الفضل </t>
  </si>
  <si>
    <t xml:space="preserve">مروان المهوس </t>
  </si>
  <si>
    <t>جهاد الجدعان</t>
  </si>
  <si>
    <t>صلاح مسعد</t>
  </si>
  <si>
    <t>سالم بانوير</t>
  </si>
  <si>
    <t xml:space="preserve">عبدالعزيز الصقعبي </t>
  </si>
  <si>
    <t xml:space="preserve">عبدالله المجيدل </t>
  </si>
  <si>
    <t>فواز الشدوخي</t>
  </si>
  <si>
    <t>محمد الطامي</t>
  </si>
  <si>
    <t xml:space="preserve">مهند الغماس </t>
  </si>
  <si>
    <t>يوسف الحربي</t>
  </si>
  <si>
    <t xml:space="preserve">عدي الفريح </t>
  </si>
  <si>
    <t xml:space="preserve">عبدالله الفايزي </t>
  </si>
  <si>
    <t xml:space="preserve">عزام الحسن </t>
  </si>
  <si>
    <t xml:space="preserve">أسامة السعوي </t>
  </si>
  <si>
    <t xml:space="preserve">عاصم الضالع </t>
  </si>
  <si>
    <t>الإدخال الأسبوعي</t>
  </si>
  <si>
    <t>تقييم الإنجاز (من 100)</t>
  </si>
  <si>
    <t>ترتيب م1</t>
  </si>
  <si>
    <t>ترتيب م2</t>
  </si>
  <si>
    <t>حضر</t>
  </si>
  <si>
    <t>إنجاز محتسب</t>
  </si>
  <si>
    <t>يُحتسب</t>
  </si>
  <si>
    <t>حاضر</t>
  </si>
  <si>
    <t>المقرأة:</t>
  </si>
  <si>
    <t>م</t>
  </si>
  <si>
    <t>متوسط الإنجاز</t>
  </si>
  <si>
    <t>الحضور</t>
  </si>
  <si>
    <t>منها تأخر</t>
  </si>
  <si>
    <t>الغياب</t>
  </si>
  <si>
    <t>الاعتذار</t>
  </si>
  <si>
    <t>التراكمي</t>
  </si>
  <si>
    <t>نسبة إنجاز المقرأة</t>
  </si>
  <si>
    <t>عدد الحضور</t>
  </si>
  <si>
    <t>منهم متأخرون</t>
  </si>
  <si>
    <t>عدد الغائبين</t>
  </si>
  <si>
    <t>عدد المعتذرين</t>
  </si>
  <si>
    <t>أفضل 5 طلاب في كل مقرأة</t>
  </si>
  <si>
    <t>اختر رقم الأسبوع في الخلية الصفراء</t>
  </si>
  <si>
    <t>الأسبوع:</t>
  </si>
  <si>
    <t>متوسط المقرأة هذا الأسبوع:</t>
  </si>
  <si>
    <t>الترتيب</t>
  </si>
  <si>
    <t>من الحاضرين والمتأخرين · الترتيب بتقييم الإنجاز، وعند التساوي بأوجه الحفظ ثم العرض.</t>
  </si>
  <si>
    <t>تقرير الحلقات — نسبة الإنجاز أسبوعيًا</t>
  </si>
  <si>
    <t>تجمع كل حلقة طلابها من المقرأتين · الغائب والمعتذر يُحسبان صفرًا</t>
  </si>
  <si>
    <t>البرنامج</t>
  </si>
  <si>
    <t>عدد الحضور (حاضر + متأخر)</t>
  </si>
  <si>
    <t>ملخص الحلقات (تراكمي)</t>
  </si>
  <si>
    <t>عدد الطلاب</t>
  </si>
  <si>
    <t>في المقرأة 1</t>
  </si>
  <si>
    <t>في المقرأة 2</t>
  </si>
  <si>
    <t>مرات الحضور</t>
  </si>
  <si>
    <t>يُحدَّث تلقائيًا من صفحة الإدخال · الحضور = حاضر + متأخر · الغائب والمعتذر يُحسبان صفرًا في الإنجاز</t>
  </si>
  <si>
    <t>إجمالي الحضور</t>
  </si>
  <si>
    <t>إجمالي نسبة الإنجاز</t>
  </si>
  <si>
    <t>إجمالي أوجه الحفظ</t>
  </si>
  <si>
    <t>إجمالي أوجه العرض</t>
  </si>
  <si>
    <t>إجمالي الأوجه المقروءة</t>
  </si>
  <si>
    <t>التقرير الأسبوعي</t>
  </si>
  <si>
    <t>التاريخ</t>
  </si>
  <si>
    <t>الإجمالي</t>
  </si>
  <si>
    <t>حسب المقرأة (تراكمي)</t>
  </si>
  <si>
    <t>تُحدَّث تلقائيًا من صفحة الإدخال · الحضور = حاضر + متأخر · الغائب والمعتذر بلا تقييم يُحسبان صفرًا في الإنجاز</t>
  </si>
  <si>
    <t>الحلقة:</t>
  </si>
  <si>
    <t>طلاب الحلقة</t>
  </si>
  <si>
    <t>صف (تلقائي)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</si>
</sst>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&quot;أسبوع &quot;0"/>
    <numFmt numFmtId="166" formatCode="[=0]\-;General"/>
    <numFmt numFmtId="167" formatCode="[$-2000401]0"/>
  </numFmts>
  <fonts count="29">
    <font>
      <sz val="11"/>
      <color theme="1"/>
      <name val="Calibri"/>
      <family val="2"/>
      <charset val="1"/>
    </font>
    <font>
      <sz val="10"/>
      <color rgb="FF13201E"/>
      <name val="Arial"/>
      <family val="2"/>
    </font>
    <font>
      <b/>
      <sz val="12"/>
      <color rgb="FF008000"/>
      <name val="Tahoma"/>
      <family val="2"/>
    </font>
    <font>
      <sz val="11"/>
      <color theme="1"/>
      <name val="Tahoma"/>
      <family val="2"/>
    </font>
    <font>
      <b/>
      <sz val="10"/>
      <color rgb="FFFFFFFF"/>
      <name val="Tahoma"/>
      <family val="2"/>
    </font>
    <font>
      <b/>
      <sz val="10"/>
      <color rgb="FFFFFFFF"/>
      <name val="Tahoma"/>
      <family val="2"/>
      <charset val="178"/>
    </font>
    <font>
      <sz val="10"/>
      <color theme="1"/>
      <name val="Tahoma"/>
      <family val="2"/>
      <charset val="178"/>
    </font>
    <font>
      <sz val="10"/>
      <color theme="1"/>
      <name val="Calibri"/>
      <family val="2"/>
      <charset val="178"/>
    </font>
    <font>
      <b/>
      <sz val="18"/>
      <color rgb="FF1E402F"/>
      <name val="Tahoma"/>
      <family val="2"/>
    </font>
    <font>
      <sz val="10"/>
      <color rgb="FF576454"/>
      <name val="Tahoma"/>
      <family val="2"/>
    </font>
    <font>
      <b/>
      <sz val="10"/>
      <color rgb="FF12261B"/>
      <name val="Tahoma"/>
      <family val="2"/>
    </font>
    <font>
      <sz val="10"/>
      <color rgb="FF12261B"/>
      <name val="Tahoma"/>
      <family val="2"/>
    </font>
    <font>
      <b/>
      <sz val="11"/>
      <color rgb="FF1E402F"/>
      <name val="Tahoma"/>
      <family val="2"/>
    </font>
    <font>
      <sz val="11"/>
      <color rgb="FF12261B"/>
      <name val="Tahoma"/>
      <family val="2"/>
    </font>
    <font>
      <b/>
      <sz val="12"/>
      <color rgb="FF1E402F"/>
      <name val="Tahoma"/>
      <family val="2"/>
    </font>
    <font>
      <sz val="10"/>
      <color rgb="FF8D9988"/>
      <name val="Tahoma"/>
      <family val="2"/>
    </font>
    <font>
      <sz val="8"/>
      <color rgb="FF8D9988"/>
      <name val="Tahoma"/>
      <family val="2"/>
    </font>
    <font>
      <b/>
      <sz val="11"/>
      <color rgb="FF12261B"/>
      <name val="Tahoma"/>
      <family val="2"/>
    </font>
    <font>
      <b/>
      <sz val="9"/>
      <color rgb="FF12261B"/>
      <name val="Tahoma"/>
      <family val="2"/>
    </font>
    <font>
      <sz val="9"/>
      <color rgb="FF12261B"/>
      <name val="Tahoma"/>
      <family val="2"/>
    </font>
    <font>
      <b/>
      <sz val="9"/>
      <color rgb="FF937D50"/>
      <name val="Tahoma"/>
      <family val="2"/>
    </font>
    <font>
      <sz val="9"/>
      <color rgb="FF576454"/>
      <name val="Tahoma"/>
      <family val="2"/>
    </font>
    <font>
      <b/>
      <sz val="12"/>
      <color rgb="FF12261B"/>
      <name val="Tahoma"/>
      <family val="2"/>
    </font>
    <font>
      <b/>
      <sz val="14"/>
      <color rgb="FF1E402F"/>
      <name val="Tahoma"/>
      <family val="2"/>
    </font>
    <font>
      <b/>
      <sz val="10"/>
      <color rgb="FF937D50"/>
      <name val="Tahoma"/>
      <family val="2"/>
    </font>
    <font>
      <i/>
      <sz val="9"/>
      <color rgb="FF576454"/>
      <name val="Tahoma"/>
      <family val="2"/>
    </font>
    <font>
      <b/>
      <sz val="9"/>
      <color rgb="FF1E402F"/>
      <name val="Tahoma"/>
      <family val="2"/>
    </font>
    <font>
      <b/>
      <sz val="15"/>
      <color rgb="FF1E402F"/>
      <name val="Tahoma"/>
      <family val="2"/>
    </font>
    <font>
      <b/>
      <sz val="8"/>
      <color rgb="FF8D998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4F3"/>
      </patternFill>
    </fill>
    <fill>
      <patternFill patternType="solid">
        <fgColor rgb="FFF4F1EC"/>
        <bgColor indexed="64"/>
      </patternFill>
    </fill>
    <fill>
      <patternFill patternType="solid">
        <fgColor rgb="FFF6EEDC"/>
        <bgColor indexed="64"/>
      </patternFill>
    </fill>
    <fill>
      <patternFill patternType="solid">
        <fgColor rgb="FF1E402F"/>
        <bgColor indexed="64"/>
      </patternFill>
    </fill>
    <fill>
      <patternFill patternType="solid">
        <fgColor rgb="FFE3E9DF"/>
        <bgColor indexed="64"/>
      </patternFill>
    </fill>
    <fill>
      <patternFill patternType="solid">
        <fgColor rgb="FFF7F2EE"/>
        <bgColor indexed="64"/>
      </patternFill>
    </fill>
    <fill>
      <patternFill patternType="solid">
        <fgColor rgb="FFEEDFC0"/>
        <bgColor indexed="64"/>
      </patternFill>
    </fill>
    <fill>
      <patternFill patternType="solid">
        <fgColor rgb="FFF3E0D4"/>
        <bgColor indexed="64"/>
      </patternFill>
    </fill>
    <fill>
      <patternFill patternType="solid">
        <fgColor rgb="FFD6D2C4"/>
        <bgColor indexed="64"/>
      </patternFill>
    </fill>
  </fills>
  <borders count="13">
    <border>
      <left/>
      <right/>
      <top/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  <diagonal/>
    </border>
    <border>
      <left style="thin">
        <color rgb="FFD9D3C7"/>
      </left>
      <right/>
      <top style="thin">
        <color rgb="FFD9D3C7"/>
      </top>
      <bottom style="thin">
        <color rgb="FFD9D3C7"/>
      </bottom>
      <diagonal/>
    </border>
    <border>
      <left style="thin">
        <color rgb="FFD9D3C7"/>
      </left>
      <right style="thin">
        <color rgb="FFD9D3C7"/>
      </right>
      <top style="thin">
        <color rgb="FFD9D3C7"/>
      </top>
      <bottom/>
      <diagonal/>
    </border>
    <border>
      <left style="thin">
        <color rgb="FFD9D3C7"/>
      </left>
      <right/>
      <top style="thin">
        <color rgb="FFD9D3C7"/>
      </top>
      <bottom/>
      <diagonal/>
    </border>
    <border>
      <left/>
      <right/>
      <top style="thin">
        <color rgb="FFD9D3C7"/>
      </top>
      <bottom/>
      <diagonal/>
    </border>
    <border>
      <left style="thin">
        <color rgb="FFD9D3C7"/>
      </left>
      <right/>
      <top/>
      <bottom/>
      <diagonal/>
    </border>
    <border>
      <left/>
      <right style="thin">
        <color rgb="FFD9D3C7"/>
      </right>
      <top style="thin">
        <color rgb="FFD9D3C7"/>
      </top>
      <bottom/>
      <diagonal/>
    </border>
    <border>
      <left style="thin">
        <color rgb="FFD9D3C7"/>
      </left>
      <right/>
      <top/>
      <bottom style="thin">
        <color rgb="FFD9D3C7"/>
      </bottom>
      <diagonal/>
    </border>
    <border>
      <left style="thin">
        <color rgb="FFD9D3C7"/>
      </left>
      <right style="thin">
        <color rgb="FFD9D3C7"/>
      </right>
      <top/>
      <bottom/>
      <diagonal/>
    </border>
    <border>
      <left style="thin">
        <color rgb="FFD9D3C7"/>
      </left>
      <right/>
      <top style="medium">
        <color rgb="FFCBA662"/>
      </top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medium">
        <color rgb="FFCBA662"/>
      </bottom>
      <diagonal/>
    </border>
    <border>
      <left style="thin">
        <color rgb="FFD9D3C7"/>
      </left>
      <right/>
      <top style="thin">
        <color rgb="FFD9D3C7"/>
      </top>
      <bottom style="medium">
        <color rgb="FFCBA662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1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/>
    </xf>
    <xf numFmtId="0" fontId="11" fillId="4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right" vertical="center"/>
    </xf>
    <xf numFmtId="164" fontId="11" fillId="4" borderId="3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right" vertical="top" wrapText="1"/>
    </xf>
    <xf numFmtId="0" fontId="14" fillId="0" borderId="0" xfId="0" applyFont="1"/>
    <xf numFmtId="0" fontId="10" fillId="0" borderId="0" xfId="0" applyFont="1"/>
    <xf numFmtId="0" fontId="11" fillId="0" borderId="0" xfId="0" applyFont="1" applyAlignment="1">
      <alignment horizontal="right" vertical="center" wrapText="1"/>
    </xf>
    <xf numFmtId="0" fontId="11" fillId="0" borderId="0" xfId="0" applyFont="1"/>
    <xf numFmtId="0" fontId="11" fillId="0" borderId="6" xfId="0" applyFont="1" applyBorder="1"/>
    <xf numFmtId="0" fontId="10" fillId="6" borderId="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right" vertical="center"/>
    </xf>
    <xf numFmtId="0" fontId="11" fillId="4" borderId="7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11" fillId="4" borderId="2" xfId="0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right" vertical="center"/>
    </xf>
    <xf numFmtId="0" fontId="11" fillId="4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6" fillId="0" borderId="0" xfId="0" applyFont="1"/>
    <xf numFmtId="165" fontId="11" fillId="7" borderId="10" xfId="0" applyNumberFormat="1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right" vertical="center"/>
    </xf>
    <xf numFmtId="0" fontId="11" fillId="4" borderId="10" xfId="0" applyFont="1" applyFill="1" applyBorder="1" applyAlignment="1">
      <alignment horizontal="center" vertical="center" wrapText="1"/>
    </xf>
    <xf numFmtId="165" fontId="11" fillId="7" borderId="4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right" vertical="center"/>
    </xf>
    <xf numFmtId="167" fontId="11" fillId="4" borderId="4" xfId="0" applyNumberFormat="1" applyFont="1" applyFill="1" applyBorder="1" applyAlignment="1">
      <alignment horizontal="center" vertical="center" wrapText="1"/>
    </xf>
    <xf numFmtId="165" fontId="11" fillId="2" borderId="10" xfId="0" applyNumberFormat="1" applyFont="1" applyFill="1" applyBorder="1" applyAlignment="1">
      <alignment horizontal="center" vertical="center" wrapText="1"/>
    </xf>
    <xf numFmtId="165" fontId="11" fillId="2" borderId="2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165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right" vertical="center"/>
    </xf>
    <xf numFmtId="0" fontId="9" fillId="0" borderId="0" xfId="0" applyFont="1"/>
    <xf numFmtId="0" fontId="17" fillId="0" borderId="0" xfId="0" applyFont="1"/>
    <xf numFmtId="165" fontId="4" fillId="5" borderId="4" xfId="0" applyNumberFormat="1" applyFont="1" applyFill="1" applyBorder="1" applyAlignment="1">
      <alignment horizontal="center" vertical="center" wrapText="1"/>
    </xf>
    <xf numFmtId="9" fontId="11" fillId="0" borderId="2" xfId="0" applyNumberFormat="1" applyFont="1" applyBorder="1" applyAlignment="1">
      <alignment horizontal="center" vertical="center" wrapText="1"/>
    </xf>
    <xf numFmtId="9" fontId="10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6" fontId="11" fillId="0" borderId="2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right" vertical="center"/>
    </xf>
    <xf numFmtId="0" fontId="19" fillId="0" borderId="4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right" vertical="center"/>
    </xf>
    <xf numFmtId="0" fontId="20" fillId="0" borderId="5" xfId="0" applyFont="1" applyBorder="1"/>
    <xf numFmtId="9" fontId="10" fillId="6" borderId="4" xfId="0" applyNumberFormat="1" applyFont="1" applyFill="1" applyBorder="1" applyAlignment="1">
      <alignment horizontal="center" vertical="center" wrapText="1"/>
    </xf>
    <xf numFmtId="9" fontId="10" fillId="8" borderId="4" xfId="0" applyNumberFormat="1" applyFont="1" applyFill="1" applyBorder="1" applyAlignment="1">
      <alignment horizontal="center" vertical="center" wrapText="1"/>
    </xf>
    <xf numFmtId="1" fontId="10" fillId="6" borderId="4" xfId="0" applyNumberFormat="1" applyFont="1" applyFill="1" applyBorder="1" applyAlignment="1">
      <alignment horizontal="center" vertical="center" wrapText="1"/>
    </xf>
    <xf numFmtId="1" fontId="10" fillId="8" borderId="4" xfId="0" applyNumberFormat="1" applyFont="1" applyFill="1" applyBorder="1" applyAlignment="1">
      <alignment horizontal="center" vertical="center" wrapText="1"/>
    </xf>
    <xf numFmtId="166" fontId="10" fillId="6" borderId="2" xfId="0" applyNumberFormat="1" applyFont="1" applyFill="1" applyBorder="1" applyAlignment="1">
      <alignment horizontal="center" vertical="center" wrapText="1"/>
    </xf>
    <xf numFmtId="166" fontId="10" fillId="8" borderId="2" xfId="0" applyNumberFormat="1" applyFont="1" applyFill="1" applyBorder="1" applyAlignment="1">
      <alignment horizontal="center" vertical="center" wrapText="1"/>
    </xf>
    <xf numFmtId="166" fontId="10" fillId="6" borderId="4" xfId="0" applyNumberFormat="1" applyFont="1" applyFill="1" applyBorder="1" applyAlignment="1">
      <alignment horizontal="center" vertical="center" wrapText="1"/>
    </xf>
    <xf numFmtId="166" fontId="10" fillId="8" borderId="4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7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5" fillId="5" borderId="4" xfId="0" applyFont="1" applyFill="1" applyBorder="1" applyAlignment="1">
      <alignment horizontal="center" vertical="center" wrapText="1"/>
    </xf>
    <xf numFmtId="165" fontId="5" fillId="5" borderId="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0" fontId="23" fillId="0" borderId="0" xfId="0" applyFont="1"/>
    <xf numFmtId="9" fontId="12" fillId="0" borderId="0" xfId="0" applyNumberFormat="1" applyFont="1"/>
    <xf numFmtId="0" fontId="10" fillId="8" borderId="4" xfId="0" applyFont="1" applyFill="1" applyBorder="1" applyAlignment="1">
      <alignment horizontal="right" vertical="center"/>
    </xf>
    <xf numFmtId="0" fontId="11" fillId="8" borderId="4" xfId="0" applyFont="1" applyFill="1" applyBorder="1" applyAlignment="1">
      <alignment horizontal="center" vertical="center" wrapText="1"/>
    </xf>
    <xf numFmtId="166" fontId="11" fillId="8" borderId="4" xfId="0" applyNumberFormat="1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5" xfId="0" applyFont="1" applyBorder="1"/>
    <xf numFmtId="0" fontId="21" fillId="0" borderId="0" xfId="0" applyFont="1" applyAlignment="1">
      <alignment horizontal="right" vertical="center"/>
    </xf>
    <xf numFmtId="0" fontId="26" fillId="0" borderId="0" xfId="0" applyFont="1"/>
    <xf numFmtId="0" fontId="18" fillId="3" borderId="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9" fontId="10" fillId="8" borderId="3" xfId="0" applyNumberFormat="1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9" fontId="10" fillId="6" borderId="3" xfId="0" applyNumberFormat="1" applyFont="1" applyFill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1" fontId="10" fillId="8" borderId="3" xfId="0" applyNumberFormat="1" applyFont="1" applyFill="1" applyBorder="1" applyAlignment="1">
      <alignment horizontal="center" vertical="center" wrapText="1"/>
    </xf>
    <xf numFmtId="1" fontId="10" fillId="6" borderId="3" xfId="0" applyNumberFormat="1" applyFont="1" applyFill="1" applyBorder="1" applyAlignment="1">
      <alignment horizontal="center" vertical="center" wrapText="1"/>
    </xf>
    <xf numFmtId="3" fontId="27" fillId="6" borderId="4" xfId="0" applyNumberFormat="1" applyFont="1" applyFill="1" applyBorder="1" applyAlignment="1">
      <alignment horizontal="center" vertical="center" wrapText="1"/>
    </xf>
    <xf numFmtId="9" fontId="27" fillId="6" borderId="4" xfId="0" applyNumberFormat="1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center" vertical="center" wrapText="1"/>
    </xf>
    <xf numFmtId="166" fontId="27" fillId="6" borderId="4" xfId="0" applyNumberFormat="1" applyFont="1" applyFill="1" applyBorder="1" applyAlignment="1">
      <alignment horizontal="center" vertical="center" wrapText="1"/>
    </xf>
    <xf numFmtId="165" fontId="10" fillId="3" borderId="4" xfId="0" applyNumberFormat="1" applyFont="1" applyFill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166" fontId="11" fillId="0" borderId="3" xfId="0" applyNumberFormat="1" applyFont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166" fontId="10" fillId="6" borderId="3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11" fillId="0" borderId="5" xfId="0" applyFont="1" applyBorder="1"/>
    <xf numFmtId="166" fontId="11" fillId="0" borderId="2" xfId="0" applyNumberFormat="1" applyFont="1" applyBorder="1" applyAlignment="1">
      <alignment horizontal="center"/>
    </xf>
    <xf numFmtId="9" fontId="11" fillId="0" borderId="2" xfId="0" applyNumberFormat="1" applyFont="1" applyBorder="1" applyAlignment="1">
      <alignment horizontal="center"/>
    </xf>
    <xf numFmtId="9" fontId="10" fillId="9" borderId="2" xfId="0" applyNumberFormat="1" applyFont="1" applyFill="1" applyBorder="1" applyAlignment="1">
      <alignment horizontal="center"/>
    </xf>
    <xf numFmtId="165" fontId="10" fillId="3" borderId="4" xfId="0" applyNumberFormat="1" applyFont="1" applyFill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9" fontId="11" fillId="0" borderId="4" xfId="0" applyNumberFormat="1" applyFont="1" applyBorder="1" applyAlignment="1">
      <alignment horizontal="center"/>
    </xf>
    <xf numFmtId="9" fontId="10" fillId="9" borderId="4" xfId="0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right"/>
    </xf>
    <xf numFmtId="0" fontId="16" fillId="0" borderId="3" xfId="0" applyFont="1" applyBorder="1" applyAlignment="1">
      <alignment horizontal="center"/>
    </xf>
    <xf numFmtId="0" fontId="11" fillId="4" borderId="6" xfId="0" applyFont="1" applyFill="1" applyBorder="1" applyAlignment="1">
      <alignment horizontal="right" vertical="center"/>
    </xf>
    <xf numFmtId="0" fontId="15" fillId="3" borderId="6" xfId="0" applyFont="1" applyFill="1" applyBorder="1" applyAlignment="1">
      <alignment horizontal="center" vertical="center" wrapText="1"/>
    </xf>
    <xf numFmtId="165" fontId="11" fillId="7" borderId="6" xfId="0" applyNumberFormat="1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right" vertical="center"/>
    </xf>
    <xf numFmtId="167" fontId="11" fillId="4" borderId="6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165" fontId="4" fillId="5" borderId="5" xfId="0" applyNumberFormat="1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1" fontId="27" fillId="6" borderId="6" xfId="0" applyNumberFormat="1" applyFont="1" applyFill="1" applyBorder="1" applyAlignment="1">
      <alignment horizontal="center" vertical="center" wrapText="1"/>
    </xf>
    <xf numFmtId="165" fontId="10" fillId="3" borderId="6" xfId="0" applyNumberFormat="1" applyFont="1" applyFill="1" applyBorder="1" applyAlignment="1">
      <alignment horizontal="center" vertical="center" wrapText="1"/>
    </xf>
    <xf numFmtId="3" fontId="27" fillId="6" borderId="6" xfId="0" applyNumberFormat="1" applyFont="1" applyFill="1" applyBorder="1" applyAlignment="1">
      <alignment horizontal="center"/>
    </xf>
    <xf numFmtId="9" fontId="27" fillId="6" borderId="6" xfId="0" applyNumberFormat="1" applyFont="1" applyFill="1" applyBorder="1" applyAlignment="1">
      <alignment horizontal="center"/>
    </xf>
    <xf numFmtId="0" fontId="27" fillId="6" borderId="6" xfId="0" applyFont="1" applyFill="1" applyBorder="1" applyAlignment="1">
      <alignment horizontal="center"/>
    </xf>
    <xf numFmtId="166" fontId="27" fillId="6" borderId="6" xfId="0" applyNumberFormat="1" applyFont="1" applyFill="1" applyBorder="1" applyAlignment="1">
      <alignment horizontal="center"/>
    </xf>
    <xf numFmtId="165" fontId="10" fillId="3" borderId="6" xfId="0" applyNumberFormat="1" applyFont="1" applyFill="1" applyBorder="1" applyAlignment="1">
      <alignment horizontal="center"/>
    </xf>
    <xf numFmtId="164" fontId="11" fillId="0" borderId="6" xfId="0" applyNumberFormat="1" applyFont="1" applyBorder="1" applyAlignment="1">
      <alignment horizontal="center"/>
    </xf>
    <xf numFmtId="166" fontId="11" fillId="0" borderId="6" xfId="0" applyNumberFormat="1" applyFont="1" applyBorder="1" applyAlignment="1">
      <alignment horizontal="center"/>
    </xf>
    <xf numFmtId="9" fontId="11" fillId="0" borderId="6" xfId="0" applyNumberFormat="1" applyFont="1" applyBorder="1" applyAlignment="1">
      <alignment horizontal="center"/>
    </xf>
    <xf numFmtId="9" fontId="10" fillId="9" borderId="6" xfId="0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16" fillId="0" borderId="9" xfId="0" applyFont="1" applyBorder="1" applyAlignment="1">
      <alignment horizontal="center"/>
    </xf>
    <xf numFmtId="0" fontId="28" fillId="10" borderId="1" xfId="0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167" fontId="2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18" fillId="6" borderId="4" xfId="0" applyFont="1" applyFill="1" applyBorder="1" applyAlignment="1">
      <alignment horizontal="right" vertical="center"/>
    </xf>
    <xf numFmtId="0" fontId="18" fillId="6" borderId="2" xfId="0" applyFont="1" applyFill="1" applyBorder="1" applyAlignment="1">
      <alignment horizontal="right" vertical="center"/>
    </xf>
    <xf numFmtId="0" fontId="2" fillId="6" borderId="0" xfId="0" applyFont="1" applyFill="1" applyAlignment="1">
      <alignment horizontal="center"/>
    </xf>
  </cellXfs>
  <cellStyles count="1">
    <cellStyle name="عادي" xfId="0" builtinId="0"/>
  </cellStyles>
  <dxfs count="20">
    <dxf>
      <font>
        <b/>
        <i val="0"/>
        <color rgb="FF1E402F"/>
      </font>
    </dxf>
    <dxf>
      <font>
        <color rgb="FFB23B2E"/>
      </font>
    </dxf>
    <dxf>
      <fill>
        <patternFill patternType="solid">
          <fgColor indexed="64"/>
          <bgColor rgb="FFF4F1EC"/>
        </patternFill>
      </fill>
    </dxf>
    <dxf>
      <font>
        <b/>
        <i val="0"/>
        <color rgb="FF1E402F"/>
      </font>
    </dxf>
    <dxf>
      <font>
        <color rgb="FFB23B2E"/>
      </font>
    </dxf>
    <dxf>
      <fill>
        <patternFill patternType="solid">
          <fgColor indexed="64"/>
          <bgColor rgb="FFF4F1EC"/>
        </patternFill>
      </fill>
    </dxf>
    <dxf>
      <font>
        <b/>
        <i val="0"/>
        <color rgb="FF1E402F"/>
      </font>
    </dxf>
    <dxf>
      <font>
        <color rgb="FFB23B2E"/>
      </font>
    </dxf>
    <dxf>
      <fill>
        <patternFill patternType="solid">
          <fgColor indexed="64"/>
          <bgColor rgb="FFF4F1EC"/>
        </patternFill>
      </fill>
    </dxf>
    <dxf>
      <font>
        <b/>
        <i val="0"/>
        <color rgb="FF1E402F"/>
      </font>
    </dxf>
    <dxf>
      <font>
        <color rgb="FFB23B2E"/>
      </font>
    </dxf>
    <dxf>
      <fill>
        <patternFill patternType="solid">
          <fgColor indexed="64"/>
          <bgColor rgb="FFF4F1EC"/>
        </patternFill>
      </fill>
    </dxf>
    <dxf>
      <font>
        <b/>
        <color rgb="FF3F5E8C"/>
        <name val="Arial"/>
        <charset val="1"/>
      </font>
      <fill>
        <patternFill>
          <bgColor rgb="FFDDE6F3"/>
        </patternFill>
      </fill>
    </dxf>
    <dxf>
      <font>
        <b/>
        <color rgb="FFAE3329"/>
        <name val="Arial"/>
        <charset val="1"/>
      </font>
      <fill>
        <patternFill>
          <bgColor rgb="FFF7DBD8"/>
        </patternFill>
      </fill>
    </dxf>
    <dxf>
      <font>
        <b/>
        <color rgb="FF3F5E8C"/>
        <name val="Arial"/>
        <charset val="1"/>
      </font>
      <fill>
        <patternFill>
          <bgColor rgb="FFDDE6F3"/>
        </patternFill>
      </fill>
    </dxf>
    <dxf>
      <font>
        <b/>
        <color rgb="FFAE3329"/>
        <name val="Arial"/>
        <charset val="1"/>
      </font>
      <fill>
        <patternFill>
          <bgColor rgb="FFF7DBD8"/>
        </patternFill>
      </fill>
    </dxf>
    <dxf>
      <font>
        <b/>
        <color rgb="FF3F5E8C"/>
        <name val="Arial"/>
        <charset val="1"/>
      </font>
      <fill>
        <patternFill>
          <bgColor rgb="FFDDE6F3"/>
        </patternFill>
      </fill>
    </dxf>
    <dxf>
      <font>
        <b/>
        <color rgb="FFAE3329"/>
        <name val="Arial"/>
        <charset val="1"/>
      </font>
      <fill>
        <patternFill>
          <bgColor rgb="FFF7DBD8"/>
        </patternFill>
      </fill>
    </dxf>
    <dxf>
      <font>
        <b/>
        <color rgb="FF9A6200"/>
        <name val="Arial"/>
        <charset val="1"/>
      </font>
      <fill>
        <patternFill>
          <bgColor rgb="FFF9EACB"/>
        </patternFill>
      </fill>
    </dxf>
    <dxf>
      <font>
        <b/>
        <color rgb="FF1E402F"/>
        <name val="Arial"/>
        <charset val="1"/>
      </font>
      <fill>
        <patternFill patternType="solid">
          <fgColor indexed="64"/>
          <bgColor rgb="FFDDE8D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12"/>
      <rgbColor rgb="FF800080"/>
      <rgbColor rgb="FF1D7447"/>
      <rgbColor rgb="FFD9D9D9"/>
      <rgbColor rgb="FF878787"/>
      <rgbColor rgb="FF9AA8A5"/>
      <rgbColor rgb="FFC0504D"/>
      <rgbColor rgb="FFFFF6D5"/>
      <rgbColor rgb="FFD8EBE8"/>
      <rgbColor rgb="FF660066"/>
      <rgbColor rgb="FFFF8080"/>
      <rgbColor rgb="FF0066CC"/>
      <rgbColor rgb="FFC9D6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3"/>
      <rgbColor rgb="FFD9EFE2"/>
      <rgbColor rgb="FFF9EACB"/>
      <rgbColor rgb="FFDDE6F3"/>
      <rgbColor rgb="FFF4E8CF"/>
      <rgbColor rgb="FFF2F4F3"/>
      <rgbColor rgb="FFF7DBD8"/>
      <rgbColor rgb="FF4F81BD"/>
      <rgbColor rgb="FF33CCCC"/>
      <rgbColor rgb="FF9BBB59"/>
      <rgbColor rgb="FFFFCC00"/>
      <rgbColor rgb="FFFF9900"/>
      <rgbColor rgb="FFFF6600"/>
      <rgbColor rgb="FF5A6B67"/>
      <rgbColor rgb="FF8A9A96"/>
      <rgbColor rgb="FF0D5A54"/>
      <rgbColor rgb="FF339966"/>
      <rgbColor rgb="FF13201E"/>
      <rgbColor rgb="FF333300"/>
      <rgbColor rgb="FFAE3329"/>
      <rgbColor rgb="FF9A6200"/>
      <rgbColor rgb="FF3F5E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>
                <a:solidFill>
                  <a:srgbClr val="1E402F"/>
                </a:solidFill>
                <a:latin typeface="Tahoma"/>
                <a:ea typeface="Tahoma"/>
                <a:cs typeface="Tahoma"/>
              </a:defRPr>
            </a:pPr>
            <a:r>
              <a:rPr lang="ar-SA"/>
              <a:t>نسبة الإنجاز الأسبوعية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'تقرير البرنامج'!$I$8</c:f>
              <c:strCache>
                <c:ptCount val="1"/>
                <c:pt idx="0">
                  <c:v>نسبة الإنجاز</c:v>
                </c:pt>
              </c:strCache>
            </c:strRef>
          </c:tx>
          <c:spPr>
            <a:solidFill>
              <a:srgbClr val="1E402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'تقرير البرنامج'!$B$9:$B$24</c:f>
              <c:numCache>
                <c:formatCode>"أسبوع "0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'تقرير البرنامج'!$I$9:$I$24</c:f>
              <c:numCache>
                <c:formatCode>0%</c:formatCode>
                <c:ptCount val="16"/>
                <c:pt idx="0">
                  <c:v>0.67142857142857137</c:v>
                </c:pt>
                <c:pt idx="1">
                  <c:v>0.6942105263157895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6-4D45-A9B0-D619845C066B}"/>
            </c:ext>
          </c:extLst>
        </c:ser>
        <c:ser>
          <c:idx val="1"/>
          <c:order val="1"/>
          <c:tx>
            <c:strRef>
              <c:f>'تقرير البرنامج'!$J$8</c:f>
              <c:strCache>
                <c:ptCount val="1"/>
                <c:pt idx="0">
                  <c:v>إنجاز المقرأة الأولى</c:v>
                </c:pt>
              </c:strCache>
            </c:strRef>
          </c:tx>
          <c:spPr>
            <a:solidFill>
              <a:srgbClr val="CBA66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'تقرير البرنامج'!$B$9:$B$24</c:f>
              <c:numCache>
                <c:formatCode>"أسبوع "0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'تقرير البرنامج'!$J$9:$J$24</c:f>
              <c:numCache>
                <c:formatCode>0%</c:formatCode>
                <c:ptCount val="16"/>
                <c:pt idx="0">
                  <c:v>0.70578947368421052</c:v>
                </c:pt>
                <c:pt idx="1">
                  <c:v>0.77142857142857135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6-4D45-A9B0-D619845C066B}"/>
            </c:ext>
          </c:extLst>
        </c:ser>
        <c:ser>
          <c:idx val="2"/>
          <c:order val="2"/>
          <c:tx>
            <c:strRef>
              <c:f>'تقرير البرنامج'!$K$8</c:f>
              <c:strCache>
                <c:ptCount val="1"/>
                <c:pt idx="0">
                  <c:v>إنجاز المقرأة الثانية</c:v>
                </c:pt>
              </c:strCache>
            </c:strRef>
          </c:tx>
          <c:spPr>
            <a:solidFill>
              <a:srgbClr val="8D998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'تقرير البرنامج'!$B$9:$B$24</c:f>
              <c:numCache>
                <c:formatCode>"أسبوع "0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'تقرير البرنامج'!$K$9:$K$24</c:f>
              <c:numCache>
                <c:formatCode>0%</c:formatCode>
                <c:ptCount val="16"/>
                <c:pt idx="0">
                  <c:v>0.63062499999999999</c:v>
                </c:pt>
                <c:pt idx="1">
                  <c:v>0.57562500000000005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16-4D45-A9B0-D619845C0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98964"/>
        <c:axId val="69150468"/>
      </c:barChart>
      <c:catAx>
        <c:axId val="379989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ar-SA"/>
                  <a:t>الأسبوع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أسبوع &quot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>
                <a:solidFill>
                  <a:srgbClr val="12261B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69150468"/>
        <c:crosses val="autoZero"/>
        <c:auto val="1"/>
        <c:lblAlgn val="ctr"/>
        <c:lblOffset val="100"/>
        <c:noMultiLvlLbl val="0"/>
      </c:catAx>
      <c:valAx>
        <c:axId val="6915046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E2DFD6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ar-SA"/>
                  <a:t>الإنجاز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>
                <a:solidFill>
                  <a:srgbClr val="576454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379989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>
              <a:latin typeface="Tahoma"/>
              <a:ea typeface="Tahoma"/>
              <a:cs typeface="Tahoma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ahoma"/>
          <a:ea typeface="Tahoma"/>
          <a:cs typeface="Tahoma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E402F"/>
                </a:solidFill>
                <a:latin typeface="Tahoma"/>
                <a:ea typeface="Tahoma"/>
                <a:cs typeface="Tahoma"/>
              </a:defRPr>
            </a:pPr>
            <a:r>
              <a:rPr lang="ar-SA"/>
              <a:t>نسبة إنجاز الحلقة أسبوعيًا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E402F"/>
              </a:solidFill>
              <a:latin typeface="Tahoma"/>
              <a:ea typeface="Tahoma"/>
              <a:cs typeface="Tahoma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نسبة الإنجاز</c:v>
          </c:tx>
          <c:spPr>
            <a:solidFill>
              <a:srgbClr val="1E402F"/>
            </a:solidFill>
            <a:ln>
              <a:noFill/>
            </a:ln>
            <a:effectLst/>
          </c:spPr>
          <c:invertIfNegative val="0"/>
          <c:dLbls>
            <c:numFmt formatCode="0%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/>
                    <a:ea typeface="Tahoma"/>
                    <a:cs typeface="Tahoma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'حلقة أبيّ بن مالك'!$B$10:$B$25</c:f>
              <c:numCache>
                <c:formatCode>"أسبوع "0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'حلقة أبيّ بن مالك'!$H$10:$H$25</c:f>
              <c:numCache>
                <c:formatCode>0%</c:formatCode>
                <c:ptCount val="16"/>
                <c:pt idx="0">
                  <c:v>0.52111111111111119</c:v>
                </c:pt>
                <c:pt idx="1">
                  <c:v>0.68777777777777771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F-E848-8D07-1539C50C6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051567"/>
        <c:axId val="1642794223"/>
      </c:barChart>
      <c:catAx>
        <c:axId val="1643051567"/>
        <c:scaling>
          <c:orientation val="maxMin"/>
        </c:scaling>
        <c:delete val="0"/>
        <c:axPos val="b"/>
        <c:numFmt formatCode="&quot;أسبوع 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2261B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1642794223"/>
        <c:crosses val="autoZero"/>
        <c:auto val="1"/>
        <c:lblAlgn val="ctr"/>
        <c:lblOffset val="100"/>
        <c:noMultiLvlLbl val="0"/>
      </c:catAx>
      <c:valAx>
        <c:axId val="1642794223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rgbClr val="E2DFD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76454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164305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i="0">
          <a:latin typeface="Tahoma"/>
          <a:ea typeface="Tahoma"/>
          <a:cs typeface="Tahoma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E402F"/>
                </a:solidFill>
                <a:latin typeface="Tahoma"/>
                <a:ea typeface="Tahoma"/>
                <a:cs typeface="Tahoma"/>
              </a:defRPr>
            </a:pPr>
            <a:r>
              <a:rPr lang="ar-SA"/>
              <a:t>نسبة إنجاز الحلقة أسبوعيًا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E402F"/>
              </a:solidFill>
              <a:latin typeface="Tahoma"/>
              <a:ea typeface="Tahoma"/>
              <a:cs typeface="Tahoma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نسبة الإنجاز</c:v>
          </c:tx>
          <c:spPr>
            <a:solidFill>
              <a:srgbClr val="1E402F"/>
            </a:solidFill>
            <a:ln>
              <a:noFill/>
            </a:ln>
            <a:effectLst/>
          </c:spPr>
          <c:invertIfNegative val="0"/>
          <c:dLbls>
            <c:numFmt formatCode="0%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/>
                    <a:ea typeface="Tahoma"/>
                    <a:cs typeface="Tahoma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'حلقة ابن رجب '!$B$10:$B$25</c:f>
              <c:numCache>
                <c:formatCode>"أسبوع "0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'حلقة ابن رجب '!$H$10:$H$25</c:f>
              <c:numCache>
                <c:formatCode>0%</c:formatCode>
                <c:ptCount val="16"/>
                <c:pt idx="0">
                  <c:v>0.75090909090909097</c:v>
                </c:pt>
                <c:pt idx="1">
                  <c:v>0.52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7-044C-9526-C1F931EC8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051567"/>
        <c:axId val="1642794223"/>
      </c:barChart>
      <c:catAx>
        <c:axId val="1643051567"/>
        <c:scaling>
          <c:orientation val="maxMin"/>
        </c:scaling>
        <c:delete val="0"/>
        <c:axPos val="b"/>
        <c:numFmt formatCode="&quot;أسبوع 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2261B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1642794223"/>
        <c:crosses val="autoZero"/>
        <c:auto val="1"/>
        <c:lblAlgn val="ctr"/>
        <c:lblOffset val="100"/>
        <c:noMultiLvlLbl val="0"/>
      </c:catAx>
      <c:valAx>
        <c:axId val="1642794223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rgbClr val="E2DFD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76454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164305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/>
          <a:ea typeface="Tahoma"/>
          <a:cs typeface="Tahoma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E402F"/>
                </a:solidFill>
                <a:latin typeface="Tahoma"/>
                <a:ea typeface="Tahoma"/>
                <a:cs typeface="Tahoma"/>
              </a:defRPr>
            </a:pPr>
            <a:r>
              <a:rPr lang="ar-SA"/>
              <a:t>نسبة إنجاز الحلقة أسبوعيًا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E402F"/>
              </a:solidFill>
              <a:latin typeface="Tahoma"/>
              <a:ea typeface="Tahoma"/>
              <a:cs typeface="Tahoma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نسبة الإنجاز</c:v>
          </c:tx>
          <c:spPr>
            <a:solidFill>
              <a:srgbClr val="1E402F"/>
            </a:solidFill>
            <a:ln>
              <a:noFill/>
            </a:ln>
            <a:effectLst/>
          </c:spPr>
          <c:invertIfNegative val="0"/>
          <c:dLbls>
            <c:numFmt formatCode="0%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/>
                    <a:ea typeface="Tahoma"/>
                    <a:cs typeface="Tahoma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'حلقة حسان بن ثابت '!$B$10:$B$25</c:f>
              <c:numCache>
                <c:formatCode>"أسبوع "0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'حلقة حسان بن ثابت '!$H$10:$H$25</c:f>
              <c:numCache>
                <c:formatCode>0%</c:formatCode>
                <c:ptCount val="16"/>
                <c:pt idx="0">
                  <c:v>0.72499999999999998</c:v>
                </c:pt>
                <c:pt idx="1">
                  <c:v>0.72909090909090901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F-B94D-A680-A0556DC11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051567"/>
        <c:axId val="1642794223"/>
      </c:barChart>
      <c:catAx>
        <c:axId val="1643051567"/>
        <c:scaling>
          <c:orientation val="maxMin"/>
        </c:scaling>
        <c:delete val="0"/>
        <c:axPos val="b"/>
        <c:numFmt formatCode="&quot;أسبوع 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2261B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1642794223"/>
        <c:crosses val="autoZero"/>
        <c:auto val="1"/>
        <c:lblAlgn val="ctr"/>
        <c:lblOffset val="100"/>
        <c:noMultiLvlLbl val="0"/>
      </c:catAx>
      <c:valAx>
        <c:axId val="1642794223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rgbClr val="E2DFD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76454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164305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/>
          <a:ea typeface="Tahoma"/>
          <a:cs typeface="Tahoma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E402F"/>
                </a:solidFill>
                <a:latin typeface="Tahoma"/>
                <a:ea typeface="Tahoma"/>
                <a:cs typeface="Tahoma"/>
              </a:defRPr>
            </a:pPr>
            <a:r>
              <a:rPr lang="ar-SA"/>
              <a:t>نسبة إنجاز الحلقة أسبوعيًا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E402F"/>
              </a:solidFill>
              <a:latin typeface="Tahoma"/>
              <a:ea typeface="Tahoma"/>
              <a:cs typeface="Tahoma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نسبة الإنجاز</c:v>
          </c:tx>
          <c:spPr>
            <a:solidFill>
              <a:srgbClr val="1E402F"/>
            </a:solidFill>
            <a:ln>
              <a:noFill/>
            </a:ln>
            <a:effectLst/>
          </c:spPr>
          <c:invertIfNegative val="0"/>
          <c:dLbls>
            <c:numFmt formatCode="0%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/>
                    <a:ea typeface="Tahoma"/>
                    <a:cs typeface="Tahoma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'حلقة عبدالرحمن بن النعمان '!$B$10:$B$25</c:f>
              <c:numCache>
                <c:formatCode>"أسبوع "0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'حلقة عبدالرحمن بن النعمان '!$H$10:$H$25</c:f>
              <c:numCache>
                <c:formatCode>0%</c:formatCode>
                <c:ptCount val="16"/>
                <c:pt idx="0">
                  <c:v>0.66</c:v>
                </c:pt>
                <c:pt idx="1">
                  <c:v>0.91333333333333333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B-3344-87AF-2CB9D483E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051567"/>
        <c:axId val="1642794223"/>
      </c:barChart>
      <c:catAx>
        <c:axId val="1643051567"/>
        <c:scaling>
          <c:orientation val="maxMin"/>
        </c:scaling>
        <c:delete val="0"/>
        <c:axPos val="b"/>
        <c:numFmt formatCode="&quot;أسبوع 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2261B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1642794223"/>
        <c:crosses val="autoZero"/>
        <c:auto val="1"/>
        <c:lblAlgn val="ctr"/>
        <c:lblOffset val="100"/>
        <c:noMultiLvlLbl val="0"/>
      </c:catAx>
      <c:valAx>
        <c:axId val="1642794223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rgbClr val="E2DFD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76454"/>
                </a:solidFill>
                <a:latin typeface="Tahoma"/>
                <a:ea typeface="Tahoma"/>
                <a:cs typeface="Tahoma"/>
              </a:defRPr>
            </a:pPr>
            <a:endParaRPr lang="ar-SA"/>
          </a:p>
        </c:txPr>
        <c:crossAx val="164305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/>
          <a:ea typeface="Tahoma"/>
          <a:cs typeface="Tahoma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-320400</xdr:colOff>
      <xdr:row>32</xdr:row>
      <xdr:rowOff>0</xdr:rowOff>
    </xdr:from>
    <xdr:to>
      <xdr:col>11</xdr:col>
      <xdr:colOff>0</xdr:colOff>
      <xdr:row>49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989806</xdr:colOff>
      <xdr:row>7</xdr:row>
      <xdr:rowOff>0</xdr:rowOff>
    </xdr:from>
    <xdr:to>
      <xdr:col>16</xdr:col>
      <xdr:colOff>659606</xdr:colOff>
      <xdr:row>25</xdr:row>
      <xdr:rowOff>0</xdr:rowOff>
    </xdr:to>
    <xdr:graphicFrame macro="">
      <xdr:nvGraphicFramePr>
        <xdr:cNvPr id="3" name="إنجاز الحلقة">
          <a:extLst>
            <a:ext uri="{FF2B5EF4-FFF2-40B4-BE49-F238E27FC236}">
              <a16:creationId xmlns:a16="http://schemas.microsoft.com/office/drawing/2014/main" id="{7AFCB0B6-EB35-3191-400E-6E1CBAE14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989806</xdr:colOff>
      <xdr:row>7</xdr:row>
      <xdr:rowOff>0</xdr:rowOff>
    </xdr:from>
    <xdr:to>
      <xdr:col>16</xdr:col>
      <xdr:colOff>659606</xdr:colOff>
      <xdr:row>25</xdr:row>
      <xdr:rowOff>0</xdr:rowOff>
    </xdr:to>
    <xdr:graphicFrame macro="">
      <xdr:nvGraphicFramePr>
        <xdr:cNvPr id="2" name="إنجاز الحلقة">
          <a:extLst>
            <a:ext uri="{FF2B5EF4-FFF2-40B4-BE49-F238E27FC236}">
              <a16:creationId xmlns:a16="http://schemas.microsoft.com/office/drawing/2014/main" id="{E9082E31-E528-614F-8248-9923FC629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989806</xdr:colOff>
      <xdr:row>7</xdr:row>
      <xdr:rowOff>0</xdr:rowOff>
    </xdr:from>
    <xdr:to>
      <xdr:col>16</xdr:col>
      <xdr:colOff>659606</xdr:colOff>
      <xdr:row>25</xdr:row>
      <xdr:rowOff>0</xdr:rowOff>
    </xdr:to>
    <xdr:graphicFrame macro="">
      <xdr:nvGraphicFramePr>
        <xdr:cNvPr id="2" name="إنجاز الحلقة">
          <a:extLst>
            <a:ext uri="{FF2B5EF4-FFF2-40B4-BE49-F238E27FC236}">
              <a16:creationId xmlns:a16="http://schemas.microsoft.com/office/drawing/2014/main" id="{A015E3E9-C6D9-8C42-B524-D81243534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989806</xdr:colOff>
      <xdr:row>7</xdr:row>
      <xdr:rowOff>0</xdr:rowOff>
    </xdr:from>
    <xdr:to>
      <xdr:col>16</xdr:col>
      <xdr:colOff>659606</xdr:colOff>
      <xdr:row>25</xdr:row>
      <xdr:rowOff>0</xdr:rowOff>
    </xdr:to>
    <xdr:graphicFrame macro="">
      <xdr:nvGraphicFramePr>
        <xdr:cNvPr id="2" name="إنجاز الحلقة">
          <a:extLst>
            <a:ext uri="{FF2B5EF4-FFF2-40B4-BE49-F238E27FC236}">
              <a16:creationId xmlns:a16="http://schemas.microsoft.com/office/drawing/2014/main" id="{8CAAA0AD-967F-1F4F-9EEC-256372672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lef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F63D3B-0BC0-B443-9BD0-5B272159952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2fe7f23-66d5-4745-bb11-265389a214e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ورقة1"/>
  <dimension ref="A1:C15"/>
  <sheetViews>
    <sheetView showGridLines="0" rightToLeft="1" zoomScaleNormal="100" workbookViewId="0">
      <selection activeCell="C5" sqref="C5"/>
    </sheetView>
  </sheetViews>
  <sheetFormatPr defaultColWidth="8.7109375" defaultRowHeight="15"/>
  <cols>
    <col min="1" max="1" width="3" customWidth="1"/>
    <col min="2" max="2" width="24" customWidth="1"/>
    <col min="3" max="3" width="30" customWidth="1"/>
  </cols>
  <sheetData>
    <row r="1" spans="1:3" ht="30" customHeight="1">
      <c r="A1" s="4" t="s">
        <v>0</v>
      </c>
      <c r="B1" s="2"/>
      <c r="C1" s="2"/>
    </row>
    <row r="2" spans="1:3">
      <c r="A2" s="5" t="s">
        <v>1</v>
      </c>
      <c r="B2" s="2"/>
      <c r="C2" s="2"/>
    </row>
    <row r="3" spans="1:3">
      <c r="A3" s="2"/>
      <c r="B3" s="7" t="s">
        <v>2</v>
      </c>
      <c r="C3" s="31" t="s">
        <v>3</v>
      </c>
    </row>
    <row r="4" spans="1:3">
      <c r="A4" s="2"/>
      <c r="B4" s="30" t="s">
        <v>4</v>
      </c>
      <c r="C4" s="10"/>
    </row>
    <row r="5" spans="1:3">
      <c r="A5" s="2"/>
      <c r="B5" s="9" t="s">
        <v>5</v>
      </c>
      <c r="C5" s="11">
        <v>16</v>
      </c>
    </row>
    <row r="6" spans="1:3">
      <c r="A6" s="2"/>
      <c r="B6" s="12"/>
      <c r="C6" s="12"/>
    </row>
    <row r="7" spans="1:3" ht="31.5" customHeight="1">
      <c r="A7" s="2"/>
      <c r="B7" s="15" t="s">
        <v>6</v>
      </c>
      <c r="C7" s="17" t="s">
        <v>7</v>
      </c>
    </row>
    <row r="8" spans="1:3">
      <c r="A8" s="2"/>
      <c r="B8" s="18" t="s">
        <v>8</v>
      </c>
      <c r="C8" s="8" t="s">
        <v>9</v>
      </c>
    </row>
    <row r="9" spans="1:3">
      <c r="A9" s="2"/>
      <c r="B9" s="18" t="s">
        <v>10</v>
      </c>
      <c r="C9" s="8" t="s">
        <v>11</v>
      </c>
    </row>
    <row r="10" spans="1:3">
      <c r="A10" s="2"/>
      <c r="B10" s="12"/>
      <c r="C10" s="12"/>
    </row>
    <row r="11" spans="1:3" ht="31.5" customHeight="1">
      <c r="A11" s="2"/>
      <c r="B11" s="15" t="s">
        <v>12</v>
      </c>
      <c r="C11" s="17" t="s">
        <v>7</v>
      </c>
    </row>
    <row r="12" spans="1:3">
      <c r="A12" s="2"/>
      <c r="B12" s="18" t="s">
        <v>13</v>
      </c>
      <c r="C12" s="8" t="s">
        <v>14</v>
      </c>
    </row>
    <row r="13" spans="1:3">
      <c r="A13" s="2"/>
      <c r="B13" s="18" t="s">
        <v>15</v>
      </c>
      <c r="C13" s="8" t="s">
        <v>16</v>
      </c>
    </row>
    <row r="14" spans="1:3">
      <c r="A14" s="2"/>
      <c r="B14" s="18" t="s">
        <v>17</v>
      </c>
      <c r="C14" s="8" t="s">
        <v>18</v>
      </c>
    </row>
    <row r="15" spans="1:3">
      <c r="A15" s="2"/>
      <c r="B15" s="16" t="s">
        <v>19</v>
      </c>
      <c r="C15" s="6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2"/>
  <dimension ref="A1:K26"/>
  <sheetViews>
    <sheetView showGridLines="0" rightToLeft="1" topLeftCell="A3" zoomScaleNormal="100" workbookViewId="0"/>
  </sheetViews>
  <sheetFormatPr defaultColWidth="8.7109375" defaultRowHeight="15"/>
  <cols>
    <col min="1" max="1" width="4" customWidth="1"/>
    <col min="2" max="2" width="28" customWidth="1"/>
    <col min="3" max="3" width="90" customWidth="1"/>
    <col min="4" max="11" width="14" customWidth="1"/>
  </cols>
  <sheetData>
    <row r="1" spans="1:11" ht="30" customHeight="1">
      <c r="A1" s="4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5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48" customHeight="1">
      <c r="A4" s="2"/>
      <c r="B4" s="19" t="s">
        <v>23</v>
      </c>
      <c r="C4" s="20" t="s">
        <v>24</v>
      </c>
      <c r="D4" s="2"/>
      <c r="E4" s="2"/>
      <c r="F4" s="2"/>
      <c r="G4" s="2"/>
      <c r="H4" s="2"/>
      <c r="I4" s="2"/>
      <c r="J4" s="2"/>
      <c r="K4" s="2"/>
    </row>
    <row r="5" spans="1:11" ht="48" customHeight="1">
      <c r="A5" s="2"/>
      <c r="B5" s="19" t="s">
        <v>25</v>
      </c>
      <c r="C5" s="20" t="s">
        <v>26</v>
      </c>
      <c r="D5" s="2"/>
      <c r="E5" s="2"/>
      <c r="F5" s="2"/>
      <c r="G5" s="2"/>
      <c r="H5" s="2"/>
      <c r="I5" s="2"/>
      <c r="J5" s="2"/>
      <c r="K5" s="2"/>
    </row>
    <row r="6" spans="1:11" ht="48" customHeight="1">
      <c r="A6" s="2"/>
      <c r="B6" s="19" t="s">
        <v>27</v>
      </c>
      <c r="C6" s="20" t="s">
        <v>28</v>
      </c>
      <c r="D6" s="2"/>
      <c r="E6" s="2"/>
      <c r="F6" s="2"/>
      <c r="G6" s="2"/>
      <c r="H6" s="2"/>
      <c r="I6" s="2"/>
      <c r="J6" s="2"/>
      <c r="K6" s="2"/>
    </row>
    <row r="7" spans="1:11" ht="48" customHeight="1">
      <c r="A7" s="2"/>
      <c r="B7" s="19" t="s">
        <v>29</v>
      </c>
      <c r="C7" s="20" t="s">
        <v>30</v>
      </c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95">
      <c r="A9" s="2"/>
      <c r="B9" s="21" t="s">
        <v>31</v>
      </c>
      <c r="C9" s="2"/>
      <c r="D9" s="2"/>
      <c r="E9" s="2"/>
      <c r="F9" s="2"/>
      <c r="G9" s="2"/>
      <c r="H9" s="2"/>
      <c r="I9" s="2"/>
      <c r="J9" s="2"/>
      <c r="K9" s="2"/>
    </row>
    <row r="10" spans="1:11" ht="30" customHeight="1">
      <c r="A10" s="2"/>
      <c r="B10" s="22" t="s">
        <v>32</v>
      </c>
      <c r="C10" s="23" t="s">
        <v>33</v>
      </c>
      <c r="D10" s="2"/>
      <c r="E10" s="2"/>
      <c r="F10" s="2"/>
      <c r="G10" s="2"/>
      <c r="H10" s="2"/>
      <c r="I10" s="2"/>
      <c r="J10" s="2"/>
      <c r="K10" s="2"/>
    </row>
    <row r="11" spans="1:11" ht="30" customHeight="1">
      <c r="A11" s="2"/>
      <c r="B11" s="22" t="s">
        <v>34</v>
      </c>
      <c r="C11" s="23" t="s">
        <v>35</v>
      </c>
      <c r="D11" s="2"/>
      <c r="E11" s="2"/>
      <c r="F11" s="2"/>
      <c r="G11" s="2"/>
      <c r="H11" s="2"/>
      <c r="I11" s="2"/>
      <c r="J11" s="2"/>
      <c r="K11" s="2"/>
    </row>
    <row r="12" spans="1:11" ht="30" customHeight="1">
      <c r="A12" s="2"/>
      <c r="B12" s="22" t="s">
        <v>36</v>
      </c>
      <c r="C12" s="23" t="s">
        <v>37</v>
      </c>
      <c r="D12" s="2"/>
      <c r="E12" s="2"/>
      <c r="F12" s="2"/>
      <c r="G12" s="2"/>
      <c r="H12" s="2"/>
      <c r="I12" s="2"/>
      <c r="J12" s="2"/>
      <c r="K12" s="2"/>
    </row>
    <row r="13" spans="1:11" ht="30" customHeight="1">
      <c r="A13" s="2"/>
      <c r="B13" s="22" t="s">
        <v>38</v>
      </c>
      <c r="C13" s="23" t="s">
        <v>39</v>
      </c>
      <c r="D13" s="2"/>
      <c r="E13" s="2"/>
      <c r="F13" s="2"/>
      <c r="G13" s="2"/>
      <c r="H13" s="2"/>
      <c r="I13" s="2"/>
      <c r="J13" s="2"/>
      <c r="K13" s="2"/>
    </row>
    <row r="14" spans="1:11" ht="30" customHeight="1">
      <c r="A14" s="2"/>
      <c r="B14" s="22" t="s">
        <v>40</v>
      </c>
      <c r="C14" s="23" t="s">
        <v>41</v>
      </c>
      <c r="D14" s="2"/>
      <c r="E14" s="2"/>
      <c r="F14" s="2"/>
      <c r="G14" s="2"/>
      <c r="H14" s="2"/>
      <c r="I14" s="2"/>
      <c r="J14" s="2"/>
      <c r="K14" s="2"/>
    </row>
    <row r="15" spans="1:11" ht="30" customHeight="1">
      <c r="A15" s="2"/>
      <c r="B15" s="22" t="s">
        <v>42</v>
      </c>
      <c r="C15" s="23" t="s">
        <v>43</v>
      </c>
      <c r="D15" s="2"/>
      <c r="E15" s="2"/>
      <c r="F15" s="2"/>
      <c r="G15" s="2"/>
      <c r="H15" s="2"/>
      <c r="I15" s="2"/>
      <c r="J15" s="2"/>
      <c r="K15" s="2"/>
    </row>
    <row r="16" spans="1:11" ht="30" customHeight="1">
      <c r="A16" s="2"/>
      <c r="B16" s="22" t="s">
        <v>44</v>
      </c>
      <c r="C16" s="23" t="s">
        <v>45</v>
      </c>
      <c r="D16" s="2"/>
      <c r="E16" s="2"/>
      <c r="F16" s="2"/>
      <c r="G16" s="2"/>
      <c r="H16" s="2"/>
      <c r="I16" s="2"/>
      <c r="J16" s="2"/>
      <c r="K16" s="2"/>
    </row>
    <row r="17" spans="1:11" ht="30" customHeight="1">
      <c r="A17" s="2"/>
      <c r="B17" s="22" t="s">
        <v>46</v>
      </c>
      <c r="C17" s="23" t="s">
        <v>47</v>
      </c>
      <c r="D17" s="2"/>
      <c r="E17" s="2"/>
      <c r="F17" s="2"/>
      <c r="G17" s="2"/>
      <c r="H17" s="2"/>
      <c r="I17" s="2"/>
      <c r="J17" s="2"/>
      <c r="K17" s="2"/>
    </row>
    <row r="18" spans="1:11" ht="30" customHeight="1">
      <c r="A18" s="2"/>
      <c r="B18" s="22" t="s">
        <v>48</v>
      </c>
      <c r="C18" s="23" t="s">
        <v>49</v>
      </c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95">
      <c r="A20" s="2"/>
      <c r="B20" s="21" t="s">
        <v>50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6" t="s">
        <v>51</v>
      </c>
      <c r="C21" s="24" t="s">
        <v>52</v>
      </c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33" t="s">
        <v>53</v>
      </c>
      <c r="C22" s="25" t="s">
        <v>54</v>
      </c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12"/>
      <c r="C23" s="2"/>
      <c r="D23" s="2"/>
      <c r="E23" s="2"/>
      <c r="F23" s="2"/>
      <c r="G23" s="2"/>
      <c r="H23" s="2"/>
      <c r="I23" s="2"/>
      <c r="J23" s="2"/>
      <c r="K23" s="2"/>
    </row>
    <row r="24" spans="1:11" ht="15.95">
      <c r="A24" s="2"/>
      <c r="B24" s="21" t="s">
        <v>55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ht="27.95">
      <c r="A25" s="2"/>
      <c r="B25" s="26" t="s">
        <v>56</v>
      </c>
      <c r="C25" s="34" t="s">
        <v>6</v>
      </c>
      <c r="D25" s="27" t="s">
        <v>12</v>
      </c>
      <c r="E25" s="27" t="s">
        <v>57</v>
      </c>
      <c r="F25" s="27" t="s">
        <v>58</v>
      </c>
      <c r="G25" s="27" t="s">
        <v>59</v>
      </c>
      <c r="H25" s="27" t="s">
        <v>60</v>
      </c>
      <c r="I25" s="27" t="s">
        <v>61</v>
      </c>
      <c r="J25" s="27" t="s">
        <v>62</v>
      </c>
      <c r="K25" s="29" t="s">
        <v>63</v>
      </c>
    </row>
    <row r="26" spans="1:11">
      <c r="A26" s="2"/>
      <c r="B26" s="35">
        <v>3</v>
      </c>
      <c r="C26" s="16" t="s">
        <v>9</v>
      </c>
      <c r="D26" s="16" t="s">
        <v>64</v>
      </c>
      <c r="E26" s="16">
        <v>7</v>
      </c>
      <c r="F26" s="16" t="s">
        <v>65</v>
      </c>
      <c r="G26" s="28" t="s">
        <v>66</v>
      </c>
      <c r="H26" s="28">
        <v>92</v>
      </c>
      <c r="I26" s="28">
        <v>2</v>
      </c>
      <c r="J26" s="28">
        <v>4</v>
      </c>
      <c r="K26" s="6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ورقة3"/>
  <dimension ref="A1:J44"/>
  <sheetViews>
    <sheetView showGridLines="0" rightToLeft="1" topLeftCell="A19" zoomScale="132" zoomScaleNormal="100" workbookViewId="0">
      <selection activeCell="C43" sqref="C43"/>
    </sheetView>
  </sheetViews>
  <sheetFormatPr defaultColWidth="8.7109375" defaultRowHeight="15"/>
  <cols>
    <col min="1" max="1" width="12" customWidth="1"/>
    <col min="2" max="2" width="30" customWidth="1"/>
    <col min="3" max="4" width="22" customWidth="1"/>
    <col min="5" max="5" width="18" customWidth="1"/>
    <col min="7" max="7" width="20" customWidth="1"/>
  </cols>
  <sheetData>
    <row r="1" spans="1:10" ht="30" customHeight="1">
      <c r="A1" s="164" t="s">
        <v>67</v>
      </c>
      <c r="B1" s="164"/>
      <c r="C1" s="164"/>
      <c r="D1" s="164"/>
      <c r="E1" s="164"/>
      <c r="F1" s="2"/>
      <c r="G1" s="2"/>
      <c r="H1" s="2"/>
      <c r="I1" s="2"/>
      <c r="J1" s="2"/>
    </row>
    <row r="2" spans="1:10" ht="15" customHeight="1">
      <c r="A2" s="164"/>
      <c r="B2" s="164"/>
      <c r="C2" s="164"/>
      <c r="D2" s="164"/>
      <c r="E2" s="164"/>
      <c r="F2" s="2"/>
      <c r="G2" s="2"/>
      <c r="H2" s="2"/>
      <c r="I2" s="2"/>
      <c r="J2" s="2"/>
    </row>
    <row r="3" spans="1:10">
      <c r="A3" s="164"/>
      <c r="B3" s="164"/>
      <c r="C3" s="164"/>
      <c r="D3" s="164"/>
      <c r="E3" s="164"/>
      <c r="F3" s="2"/>
      <c r="G3" s="2"/>
      <c r="H3" s="2"/>
      <c r="I3" s="2"/>
      <c r="J3" s="2"/>
    </row>
    <row r="4" spans="1:10" ht="31.5" customHeight="1">
      <c r="A4" s="14" t="s">
        <v>57</v>
      </c>
      <c r="B4" s="14" t="s">
        <v>58</v>
      </c>
      <c r="C4" s="14" t="s">
        <v>6</v>
      </c>
      <c r="D4" s="14" t="s">
        <v>12</v>
      </c>
      <c r="E4" s="13" t="s">
        <v>68</v>
      </c>
      <c r="F4" s="2"/>
      <c r="G4" s="15" t="s">
        <v>12</v>
      </c>
      <c r="H4" s="15" t="str">
        <f>الإعدادات!$C$8</f>
        <v>المقرأة الأولى</v>
      </c>
      <c r="I4" s="15" t="str">
        <f>الإعدادات!$C$9</f>
        <v>المقرأة الثانية</v>
      </c>
      <c r="J4" s="17" t="s">
        <v>69</v>
      </c>
    </row>
    <row r="5" spans="1:10">
      <c r="A5" s="33">
        <v>1</v>
      </c>
      <c r="B5" s="133" t="s">
        <v>70</v>
      </c>
      <c r="C5" s="32" t="str">
        <f>الإعدادات!$C$8</f>
        <v>المقرأة الأولى</v>
      </c>
      <c r="D5" s="32" t="s">
        <v>20</v>
      </c>
      <c r="E5" s="134" t="str">
        <f>IF(C5="","",C5&amp;"|"&amp;COUNTIF(C$5:C5,C5))</f>
        <v>المقرأة الأولى|1</v>
      </c>
      <c r="F5" s="36"/>
      <c r="G5" s="18" t="str">
        <f>الإعدادات!$C$12</f>
        <v xml:space="preserve">ابي بن مالك </v>
      </c>
      <c r="H5" s="18">
        <f>COUNTIFS($D$5:$D$44,$G5,$C$5:$C$44,الإعدادات!$C$8)</f>
        <v>0</v>
      </c>
      <c r="I5" s="18">
        <f>COUNTIFS($D$5:$D$44,$G5,$C$5:$C$44,الإعدادات!$C$9)</f>
        <v>9</v>
      </c>
      <c r="J5" s="42">
        <f>H5+I5</f>
        <v>9</v>
      </c>
    </row>
    <row r="6" spans="1:10">
      <c r="A6" s="18">
        <v>2</v>
      </c>
      <c r="B6" s="39" t="s">
        <v>71</v>
      </c>
      <c r="C6" s="40" t="str">
        <f>الإعدادات!$C$8</f>
        <v>المقرأة الأولى</v>
      </c>
      <c r="D6" s="40" t="s">
        <v>20</v>
      </c>
      <c r="E6" s="41" t="str">
        <f>IF(C6="","",C6&amp;"|"&amp;COUNTIF(C$5:C6,C6))</f>
        <v>المقرأة الأولى|2</v>
      </c>
      <c r="F6" s="36"/>
      <c r="G6" s="18" t="str">
        <f>الإعدادات!$C$13</f>
        <v xml:space="preserve">ابن رجب </v>
      </c>
      <c r="H6" s="18">
        <f>COUNTIFS($D$5:$D$44,$G6,$C$5:$C$44,الإعدادات!$C$8)</f>
        <v>4</v>
      </c>
      <c r="I6" s="18">
        <f>COUNTIFS($D$5:$D$44,$G6,$C$5:$C$44,الإعدادات!$C$9)</f>
        <v>7</v>
      </c>
      <c r="J6" s="42">
        <f>H6+I6</f>
        <v>11</v>
      </c>
    </row>
    <row r="7" spans="1:10">
      <c r="A7" s="18">
        <v>3</v>
      </c>
      <c r="B7" s="39" t="s">
        <v>72</v>
      </c>
      <c r="C7" s="40" t="s">
        <v>9</v>
      </c>
      <c r="D7" s="40" t="s">
        <v>20</v>
      </c>
      <c r="E7" s="41" t="str">
        <f>IF(C7="","",C7&amp;"|"&amp;COUNTIF(C$5:C7,C7))</f>
        <v>المقرأة الأولى|3</v>
      </c>
      <c r="F7" s="36"/>
      <c r="G7" s="18" t="str">
        <f>الإعدادات!$C$14</f>
        <v xml:space="preserve">حسان بن ثابت </v>
      </c>
      <c r="H7" s="18">
        <f>COUNTIFS($D$5:$D$44,$G7,$C$5:$C$44,الإعدادات!$C$8)</f>
        <v>11</v>
      </c>
      <c r="I7" s="18">
        <f>COUNTIFS($D$5:$D$44,$G7,$C$5:$C$44,الإعدادات!$C$9)</f>
        <v>0</v>
      </c>
      <c r="J7" s="42">
        <f>H7+I7</f>
        <v>11</v>
      </c>
    </row>
    <row r="8" spans="1:10">
      <c r="A8" s="18">
        <v>4</v>
      </c>
      <c r="B8" s="39" t="s">
        <v>73</v>
      </c>
      <c r="C8" s="40" t="s">
        <v>9</v>
      </c>
      <c r="D8" s="40" t="s">
        <v>20</v>
      </c>
      <c r="E8" s="41" t="str">
        <f>IF(C8="","",C8&amp;"|"&amp;COUNTIF(C$5:C8,C8))</f>
        <v>المقرأة الأولى|4</v>
      </c>
      <c r="F8" s="36"/>
      <c r="G8" s="18" t="str">
        <f>الإعدادات!$C$15</f>
        <v xml:space="preserve">عبدالرحمن بن النعمان </v>
      </c>
      <c r="H8" s="18">
        <f>COUNTIFS($D$5:$D$44,$G8,$C$5:$C$44,الإعدادات!$C$8)</f>
        <v>6</v>
      </c>
      <c r="I8" s="18">
        <f>COUNTIFS($D$5:$D$44,$G8,$C$5:$C$44,الإعدادات!$C$9)</f>
        <v>0</v>
      </c>
      <c r="J8" s="42">
        <f>H8+I8</f>
        <v>6</v>
      </c>
    </row>
    <row r="9" spans="1:10">
      <c r="A9" s="18">
        <v>5</v>
      </c>
      <c r="B9" s="39" t="s">
        <v>74</v>
      </c>
      <c r="C9" s="40" t="s">
        <v>9</v>
      </c>
      <c r="D9" s="40" t="s">
        <v>20</v>
      </c>
      <c r="E9" s="41" t="str">
        <f>IF(C9="","",C9&amp;"|"&amp;COUNTIF(C$5:C9,C9))</f>
        <v>المقرأة الأولى|5</v>
      </c>
      <c r="F9" s="36"/>
      <c r="G9" s="27" t="s">
        <v>69</v>
      </c>
      <c r="H9" s="27">
        <f>SUM(H5:H8)</f>
        <v>21</v>
      </c>
      <c r="I9" s="27">
        <f>SUM(I5:I8)</f>
        <v>16</v>
      </c>
      <c r="J9" s="29">
        <f>SUM(J5:J8)</f>
        <v>37</v>
      </c>
    </row>
    <row r="10" spans="1:10">
      <c r="A10" s="18">
        <v>6</v>
      </c>
      <c r="B10" s="39" t="s">
        <v>75</v>
      </c>
      <c r="C10" s="40" t="str">
        <f>الإعدادات!$C$8</f>
        <v>المقرأة الأولى</v>
      </c>
      <c r="D10" s="40" t="str">
        <f>الإعدادات!$C$13</f>
        <v xml:space="preserve">ابن رجب </v>
      </c>
      <c r="E10" s="41" t="str">
        <f>IF(C10="","",C10&amp;"|"&amp;COUNTIF(C$5:C10,C10))</f>
        <v>المقرأة الأولى|6</v>
      </c>
      <c r="F10" s="36"/>
      <c r="G10" s="12"/>
      <c r="H10" s="12"/>
      <c r="I10" s="12"/>
      <c r="J10" s="12"/>
    </row>
    <row r="11" spans="1:10">
      <c r="A11" s="18">
        <v>7</v>
      </c>
      <c r="B11" s="39" t="s">
        <v>76</v>
      </c>
      <c r="C11" s="40" t="str">
        <f>الإعدادات!$C$8</f>
        <v>المقرأة الأولى</v>
      </c>
      <c r="D11" s="40" t="str">
        <f>الإعدادات!$C$13</f>
        <v xml:space="preserve">ابن رجب </v>
      </c>
      <c r="E11" s="41" t="str">
        <f>IF(C11="","",C11&amp;"|"&amp;COUNTIF(C$5:C11,C11))</f>
        <v>المقرأة الأولى|7</v>
      </c>
      <c r="F11" s="36"/>
      <c r="G11" s="2"/>
      <c r="H11" s="2"/>
      <c r="I11" s="2"/>
      <c r="J11" s="2"/>
    </row>
    <row r="12" spans="1:10">
      <c r="A12" s="18">
        <v>8</v>
      </c>
      <c r="B12" s="39" t="s">
        <v>77</v>
      </c>
      <c r="C12" s="40" t="str">
        <f>الإعدادات!$C$8</f>
        <v>المقرأة الأولى</v>
      </c>
      <c r="D12" s="40" t="str">
        <f>الإعدادات!$C$13</f>
        <v xml:space="preserve">ابن رجب </v>
      </c>
      <c r="E12" s="41" t="str">
        <f>IF(C12="","",C12&amp;"|"&amp;COUNTIF(C$5:C12,C12))</f>
        <v>المقرأة الأولى|8</v>
      </c>
      <c r="F12" s="36"/>
      <c r="G12" s="2"/>
      <c r="H12" s="2"/>
      <c r="I12" s="2"/>
      <c r="J12" s="2"/>
    </row>
    <row r="13" spans="1:10">
      <c r="A13" s="18">
        <v>9</v>
      </c>
      <c r="B13" s="39" t="s">
        <v>78</v>
      </c>
      <c r="C13" s="40" t="str">
        <f>الإعدادات!$C$8</f>
        <v>المقرأة الأولى</v>
      </c>
      <c r="D13" s="40" t="str">
        <f>الإعدادات!$C$13</f>
        <v xml:space="preserve">ابن رجب </v>
      </c>
      <c r="E13" s="41" t="str">
        <f>IF(C13="","",C13&amp;"|"&amp;COUNTIF(C$5:C13,C13))</f>
        <v>المقرأة الأولى|9</v>
      </c>
      <c r="F13" s="36"/>
      <c r="G13" s="2"/>
      <c r="H13" s="2"/>
      <c r="I13" s="2"/>
      <c r="J13" s="2"/>
    </row>
    <row r="14" spans="1:10">
      <c r="A14" s="18">
        <v>10</v>
      </c>
      <c r="B14" s="39" t="s">
        <v>79</v>
      </c>
      <c r="C14" s="40" t="str">
        <f>الإعدادات!$C$8</f>
        <v>المقرأة الأولى</v>
      </c>
      <c r="D14" s="40" t="s">
        <v>18</v>
      </c>
      <c r="E14" s="41" t="str">
        <f>IF(C14="","",C14&amp;"|"&amp;COUNTIF(C$5:C14,C14))</f>
        <v>المقرأة الأولى|10</v>
      </c>
      <c r="F14" s="36"/>
      <c r="G14" s="2"/>
      <c r="H14" s="2"/>
      <c r="I14" s="2"/>
      <c r="J14" s="2"/>
    </row>
    <row r="15" spans="1:10">
      <c r="A15" s="18">
        <v>11</v>
      </c>
      <c r="B15" s="39" t="s">
        <v>80</v>
      </c>
      <c r="C15" s="40" t="str">
        <f>الإعدادات!$C$8</f>
        <v>المقرأة الأولى</v>
      </c>
      <c r="D15" s="40" t="str">
        <f>الإعدادات!$C$14</f>
        <v xml:space="preserve">حسان بن ثابت </v>
      </c>
      <c r="E15" s="41" t="str">
        <f>IF(C15="","",C15&amp;"|"&amp;COUNTIF(C$5:C15,C15))</f>
        <v>المقرأة الأولى|11</v>
      </c>
      <c r="F15" s="36"/>
      <c r="G15" s="2"/>
      <c r="H15" s="2"/>
      <c r="I15" s="2"/>
      <c r="J15" s="2"/>
    </row>
    <row r="16" spans="1:10">
      <c r="A16" s="18">
        <v>12</v>
      </c>
      <c r="B16" s="39" t="s">
        <v>81</v>
      </c>
      <c r="C16" s="40" t="str">
        <f>الإعدادات!$C$8</f>
        <v>المقرأة الأولى</v>
      </c>
      <c r="D16" s="40" t="str">
        <f>الإعدادات!$C$14</f>
        <v xml:space="preserve">حسان بن ثابت </v>
      </c>
      <c r="E16" s="41" t="str">
        <f>IF(C16="","",C16&amp;"|"&amp;COUNTIF(C$5:C16,C16))</f>
        <v>المقرأة الأولى|12</v>
      </c>
      <c r="F16" s="36"/>
      <c r="G16" s="2"/>
      <c r="H16" s="2"/>
      <c r="I16" s="2"/>
      <c r="J16" s="2"/>
    </row>
    <row r="17" spans="1:10">
      <c r="A17" s="18">
        <v>13</v>
      </c>
      <c r="B17" s="39" t="s">
        <v>82</v>
      </c>
      <c r="C17" s="40" t="str">
        <f>الإعدادات!$C$8</f>
        <v>المقرأة الأولى</v>
      </c>
      <c r="D17" s="40" t="str">
        <f>الإعدادات!$C$14</f>
        <v xml:space="preserve">حسان بن ثابت </v>
      </c>
      <c r="E17" s="41" t="str">
        <f>IF(C17="","",C17&amp;"|"&amp;COUNTIF(C$5:C17,C17))</f>
        <v>المقرأة الأولى|13</v>
      </c>
      <c r="F17" s="36"/>
      <c r="G17" s="2"/>
      <c r="H17" s="2"/>
      <c r="I17" s="2"/>
      <c r="J17" s="2"/>
    </row>
    <row r="18" spans="1:10">
      <c r="A18" s="18">
        <v>14</v>
      </c>
      <c r="B18" s="39" t="s">
        <v>83</v>
      </c>
      <c r="C18" s="40" t="str">
        <f>الإعدادات!$C$8</f>
        <v>المقرأة الأولى</v>
      </c>
      <c r="D18" s="40" t="str">
        <f>الإعدادات!$C$14</f>
        <v xml:space="preserve">حسان بن ثابت </v>
      </c>
      <c r="E18" s="41" t="str">
        <f>IF(C18="","",C18&amp;"|"&amp;COUNTIF(C$5:C18,C18))</f>
        <v>المقرأة الأولى|14</v>
      </c>
      <c r="F18" s="36"/>
      <c r="G18" s="2"/>
      <c r="H18" s="2"/>
      <c r="I18" s="2"/>
      <c r="J18" s="2"/>
    </row>
    <row r="19" spans="1:10">
      <c r="A19" s="18">
        <v>15</v>
      </c>
      <c r="B19" s="39" t="s">
        <v>84</v>
      </c>
      <c r="C19" s="40" t="str">
        <f>الإعدادات!$C$8</f>
        <v>المقرأة الأولى</v>
      </c>
      <c r="D19" s="40" t="str">
        <f>الإعدادات!$C$14</f>
        <v xml:space="preserve">حسان بن ثابت </v>
      </c>
      <c r="E19" s="41" t="str">
        <f>IF(C19="","",C19&amp;"|"&amp;COUNTIF(C$5:C19,C19))</f>
        <v>المقرأة الأولى|15</v>
      </c>
      <c r="F19" s="36"/>
      <c r="G19" s="2"/>
      <c r="H19" s="2"/>
      <c r="I19" s="2"/>
      <c r="J19" s="2"/>
    </row>
    <row r="20" spans="1:10">
      <c r="A20" s="18">
        <v>16</v>
      </c>
      <c r="B20" s="39" t="s">
        <v>85</v>
      </c>
      <c r="C20" s="40" t="str">
        <f>الإعدادات!$C$8</f>
        <v>المقرأة الأولى</v>
      </c>
      <c r="D20" s="40" t="s">
        <v>18</v>
      </c>
      <c r="E20" s="41" t="str">
        <f>IF(C20="","",C20&amp;"|"&amp;COUNTIF(C$5:C20,C20))</f>
        <v>المقرأة الأولى|16</v>
      </c>
      <c r="F20" s="36"/>
      <c r="G20" s="2"/>
      <c r="H20" s="2"/>
      <c r="I20" s="2"/>
      <c r="J20" s="2"/>
    </row>
    <row r="21" spans="1:10">
      <c r="A21" s="18">
        <v>17</v>
      </c>
      <c r="B21" s="39" t="s">
        <v>86</v>
      </c>
      <c r="C21" s="40" t="str">
        <f>الإعدادات!$C$8</f>
        <v>المقرأة الأولى</v>
      </c>
      <c r="D21" s="40" t="s">
        <v>18</v>
      </c>
      <c r="E21" s="41" t="str">
        <f>IF(C21="","",C21&amp;"|"&amp;COUNTIF(C$5:C21,C21))</f>
        <v>المقرأة الأولى|17</v>
      </c>
      <c r="F21" s="36"/>
      <c r="G21" s="2"/>
      <c r="H21" s="2"/>
      <c r="I21" s="2"/>
      <c r="J21" s="2"/>
    </row>
    <row r="22" spans="1:10">
      <c r="A22" s="18">
        <v>18</v>
      </c>
      <c r="B22" s="39" t="s">
        <v>87</v>
      </c>
      <c r="C22" s="40" t="str">
        <f>الإعدادات!$C$8</f>
        <v>المقرأة الأولى</v>
      </c>
      <c r="D22" s="40" t="s">
        <v>18</v>
      </c>
      <c r="E22" s="41" t="str">
        <f>IF(C22="","",C22&amp;"|"&amp;COUNTIF(C$5:C22,C22))</f>
        <v>المقرأة الأولى|18</v>
      </c>
      <c r="F22" s="36"/>
      <c r="G22" s="2"/>
      <c r="H22" s="2"/>
      <c r="I22" s="2"/>
      <c r="J22" s="2"/>
    </row>
    <row r="23" spans="1:10">
      <c r="A23" s="18">
        <v>19</v>
      </c>
      <c r="B23" s="39" t="s">
        <v>88</v>
      </c>
      <c r="C23" s="40" t="str">
        <f>الإعدادات!$C$8</f>
        <v>المقرأة الأولى</v>
      </c>
      <c r="D23" s="40" t="s">
        <v>18</v>
      </c>
      <c r="E23" s="41" t="str">
        <f>IF(C23="","",C23&amp;"|"&amp;COUNTIF(C$5:C23,C23))</f>
        <v>المقرأة الأولى|19</v>
      </c>
      <c r="F23" s="36"/>
      <c r="G23" s="2"/>
      <c r="H23" s="2"/>
      <c r="I23" s="2"/>
      <c r="J23" s="2"/>
    </row>
    <row r="24" spans="1:10">
      <c r="A24" s="18">
        <v>20</v>
      </c>
      <c r="B24" s="39" t="s">
        <v>89</v>
      </c>
      <c r="C24" s="40" t="s">
        <v>11</v>
      </c>
      <c r="D24" s="40" t="s">
        <v>16</v>
      </c>
      <c r="E24" s="41" t="str">
        <f>IF(C24="","",C24&amp;"|"&amp;COUNTIF(C$5:C24,C24))</f>
        <v>المقرأة الثانية|1</v>
      </c>
      <c r="F24" s="36"/>
      <c r="G24" s="2"/>
      <c r="H24" s="2"/>
      <c r="I24" s="2"/>
      <c r="J24" s="2"/>
    </row>
    <row r="25" spans="1:10">
      <c r="A25" s="18">
        <v>21</v>
      </c>
      <c r="B25" s="39" t="s">
        <v>90</v>
      </c>
      <c r="C25" s="40" t="str">
        <f>الإعدادات!$C$9</f>
        <v>المقرأة الثانية</v>
      </c>
      <c r="D25" s="40" t="s">
        <v>16</v>
      </c>
      <c r="E25" s="41" t="str">
        <f>IF(C25="","",C25&amp;"|"&amp;COUNTIF(C$5:C25,C25))</f>
        <v>المقرأة الثانية|2</v>
      </c>
      <c r="F25" s="36"/>
      <c r="G25" s="2"/>
      <c r="H25" s="2"/>
      <c r="I25" s="2"/>
      <c r="J25" s="2"/>
    </row>
    <row r="26" spans="1:10">
      <c r="A26" s="18">
        <v>22</v>
      </c>
      <c r="B26" s="39" t="s">
        <v>91</v>
      </c>
      <c r="C26" s="40" t="str">
        <f>الإعدادات!$C$9</f>
        <v>المقرأة الثانية</v>
      </c>
      <c r="D26" s="40" t="s">
        <v>16</v>
      </c>
      <c r="E26" s="41" t="str">
        <f>IF(C27="","",C27&amp;"|"&amp;COUNTIF(C$5:C27,C27))</f>
        <v>المقرأة الثانية|4</v>
      </c>
      <c r="F26" s="36"/>
      <c r="G26" s="2"/>
      <c r="H26" s="2"/>
      <c r="I26" s="2"/>
      <c r="J26" s="2"/>
    </row>
    <row r="27" spans="1:10">
      <c r="A27" s="18">
        <v>23</v>
      </c>
      <c r="B27" s="39" t="s">
        <v>92</v>
      </c>
      <c r="C27" s="40" t="str">
        <f>الإعدادات!$C$9</f>
        <v>المقرأة الثانية</v>
      </c>
      <c r="D27" s="40" t="s">
        <v>16</v>
      </c>
      <c r="E27" s="41" t="str">
        <f>IF(C27="","",C27&amp;"|"&amp;COUNTIF(C$5:C27,C27))</f>
        <v>المقرأة الثانية|4</v>
      </c>
      <c r="F27" s="36"/>
      <c r="G27" s="2"/>
      <c r="H27" s="2"/>
      <c r="I27" s="2"/>
      <c r="J27" s="2"/>
    </row>
    <row r="28" spans="1:10">
      <c r="A28" s="18">
        <v>24</v>
      </c>
      <c r="B28" s="39" t="s">
        <v>93</v>
      </c>
      <c r="C28" s="40" t="str">
        <f>الإعدادات!$C$9</f>
        <v>المقرأة الثانية</v>
      </c>
      <c r="D28" s="40" t="s">
        <v>16</v>
      </c>
      <c r="E28" s="41" t="str">
        <f>IF(C28="","",C28&amp;"|"&amp;COUNTIF(C$5:C28,C28))</f>
        <v>المقرأة الثانية|5</v>
      </c>
      <c r="F28" s="36"/>
      <c r="G28" s="2"/>
      <c r="H28" s="2"/>
      <c r="I28" s="2"/>
      <c r="J28" s="2"/>
    </row>
    <row r="29" spans="1:10">
      <c r="A29" s="18">
        <v>25</v>
      </c>
      <c r="B29" s="39" t="s">
        <v>94</v>
      </c>
      <c r="C29" s="40" t="str">
        <f>الإعدادات!$C$9</f>
        <v>المقرأة الثانية</v>
      </c>
      <c r="D29" s="40" t="str">
        <f>الإعدادات!$C$13</f>
        <v xml:space="preserve">ابن رجب </v>
      </c>
      <c r="E29" s="41" t="str">
        <f>IF(C29="","",C29&amp;"|"&amp;COUNTIF(C$5:C29,C29))</f>
        <v>المقرأة الثانية|6</v>
      </c>
      <c r="F29" s="36"/>
      <c r="G29" s="2"/>
      <c r="H29" s="2"/>
      <c r="I29" s="2"/>
      <c r="J29" s="2"/>
    </row>
    <row r="30" spans="1:10">
      <c r="A30" s="18">
        <v>26</v>
      </c>
      <c r="B30" s="39" t="s">
        <v>95</v>
      </c>
      <c r="C30" s="40" t="str">
        <f>الإعدادات!$C$9</f>
        <v>المقرأة الثانية</v>
      </c>
      <c r="D30" s="40" t="str">
        <f>الإعدادات!$C$13</f>
        <v xml:space="preserve">ابن رجب </v>
      </c>
      <c r="E30" s="41" t="str">
        <f>IF(C30="","",C30&amp;"|"&amp;COUNTIF(C$5:C30,C30))</f>
        <v>المقرأة الثانية|7</v>
      </c>
      <c r="F30" s="36"/>
      <c r="G30" s="2"/>
      <c r="H30" s="2"/>
      <c r="I30" s="2"/>
      <c r="J30" s="2"/>
    </row>
    <row r="31" spans="1:10">
      <c r="A31" s="18">
        <v>27</v>
      </c>
      <c r="B31" s="39" t="s">
        <v>96</v>
      </c>
      <c r="C31" s="40" t="str">
        <f>الإعدادات!$C$9</f>
        <v>المقرأة الثانية</v>
      </c>
      <c r="D31" s="40" t="s">
        <v>14</v>
      </c>
      <c r="E31" s="41" t="str">
        <f>IF(C31="","",C31&amp;"|"&amp;COUNTIF(C$5:C31,C31))</f>
        <v>المقرأة الثانية|8</v>
      </c>
      <c r="F31" s="36"/>
      <c r="G31" s="2"/>
      <c r="H31" s="2"/>
      <c r="I31" s="2"/>
      <c r="J31" s="2"/>
    </row>
    <row r="32" spans="1:10">
      <c r="A32" s="18">
        <v>28</v>
      </c>
      <c r="B32" s="39" t="s">
        <v>97</v>
      </c>
      <c r="C32" s="40" t="str">
        <f>الإعدادات!$C$9</f>
        <v>المقرأة الثانية</v>
      </c>
      <c r="D32" s="40" t="s">
        <v>14</v>
      </c>
      <c r="E32" s="41" t="str">
        <f>IF(C32="","",C32&amp;"|"&amp;COUNTIF(C$5:C32,C32))</f>
        <v>المقرأة الثانية|9</v>
      </c>
      <c r="F32" s="36"/>
      <c r="G32" s="2"/>
      <c r="H32" s="2"/>
      <c r="I32" s="2"/>
      <c r="J32" s="2"/>
    </row>
    <row r="33" spans="1:10">
      <c r="A33" s="18">
        <v>29</v>
      </c>
      <c r="B33" s="39" t="s">
        <v>98</v>
      </c>
      <c r="C33" s="40" t="str">
        <f>الإعدادات!$C$9</f>
        <v>المقرأة الثانية</v>
      </c>
      <c r="D33" s="40" t="s">
        <v>14</v>
      </c>
      <c r="E33" s="41" t="str">
        <f>IF(C33="","",C33&amp;"|"&amp;COUNTIF(C$5:C33,C33))</f>
        <v>المقرأة الثانية|10</v>
      </c>
      <c r="F33" s="36"/>
      <c r="G33" s="2"/>
      <c r="H33" s="2"/>
      <c r="I33" s="2"/>
      <c r="J33" s="2"/>
    </row>
    <row r="34" spans="1:10">
      <c r="A34" s="18">
        <v>30</v>
      </c>
      <c r="B34" s="39" t="s">
        <v>99</v>
      </c>
      <c r="C34" s="40" t="str">
        <f>الإعدادات!$C$9</f>
        <v>المقرأة الثانية</v>
      </c>
      <c r="D34" s="40" t="s">
        <v>14</v>
      </c>
      <c r="E34" s="41" t="str">
        <f>IF(C34="","",C34&amp;"|"&amp;COUNTIF(C$5:C34,C34))</f>
        <v>المقرأة الثانية|11</v>
      </c>
      <c r="F34" s="36"/>
      <c r="G34" s="2"/>
      <c r="H34" s="2"/>
      <c r="I34" s="2"/>
      <c r="J34" s="2"/>
    </row>
    <row r="35" spans="1:10">
      <c r="A35" s="18">
        <v>31</v>
      </c>
      <c r="B35" s="39" t="s">
        <v>100</v>
      </c>
      <c r="C35" s="40" t="str">
        <f>الإعدادات!$C$9</f>
        <v>المقرأة الثانية</v>
      </c>
      <c r="D35" s="40" t="s">
        <v>14</v>
      </c>
      <c r="E35" s="41" t="str">
        <f>IF(C35="","",C35&amp;"|"&amp;COUNTIF(C$5:C35,C35))</f>
        <v>المقرأة الثانية|12</v>
      </c>
      <c r="F35" s="36"/>
      <c r="G35" s="2"/>
      <c r="H35" s="2"/>
      <c r="I35" s="2"/>
      <c r="J35" s="2"/>
    </row>
    <row r="36" spans="1:10">
      <c r="A36" s="18">
        <v>32</v>
      </c>
      <c r="B36" s="39" t="s">
        <v>101</v>
      </c>
      <c r="C36" s="40" t="str">
        <f>الإعدادات!$C$9</f>
        <v>المقرأة الثانية</v>
      </c>
      <c r="D36" s="40" t="s">
        <v>14</v>
      </c>
      <c r="E36" s="41" t="str">
        <f>IF(C36="","",C36&amp;"|"&amp;COUNTIF(C$5:C36,C36))</f>
        <v>المقرأة الثانية|13</v>
      </c>
      <c r="F36" s="36"/>
      <c r="G36" s="2"/>
      <c r="H36" s="2"/>
      <c r="I36" s="2"/>
      <c r="J36" s="2"/>
    </row>
    <row r="37" spans="1:10">
      <c r="A37" s="18">
        <v>33</v>
      </c>
      <c r="B37" s="39" t="s">
        <v>102</v>
      </c>
      <c r="C37" s="40" t="str">
        <f>الإعدادات!$C$9</f>
        <v>المقرأة الثانية</v>
      </c>
      <c r="D37" s="40" t="s">
        <v>14</v>
      </c>
      <c r="E37" s="41" t="str">
        <f>IF(C37="","",C37&amp;"|"&amp;COUNTIF(C$5:C37,C37))</f>
        <v>المقرأة الثانية|14</v>
      </c>
      <c r="F37" s="36"/>
      <c r="G37" s="2"/>
      <c r="H37" s="2"/>
      <c r="I37" s="2"/>
      <c r="J37" s="2"/>
    </row>
    <row r="38" spans="1:10">
      <c r="A38" s="18">
        <v>34</v>
      </c>
      <c r="B38" s="39" t="s">
        <v>103</v>
      </c>
      <c r="C38" s="40" t="str">
        <f>الإعدادات!$C$9</f>
        <v>المقرأة الثانية</v>
      </c>
      <c r="D38" s="40" t="s">
        <v>14</v>
      </c>
      <c r="E38" s="41" t="str">
        <f>IF(C38="","",C38&amp;"|"&amp;COUNTIF(C$5:C38,C38))</f>
        <v>المقرأة الثانية|15</v>
      </c>
      <c r="F38" s="36"/>
      <c r="G38" s="2"/>
      <c r="H38" s="2"/>
      <c r="I38" s="2"/>
      <c r="J38" s="2"/>
    </row>
    <row r="39" spans="1:10">
      <c r="A39" s="18">
        <v>35</v>
      </c>
      <c r="B39" s="39" t="s">
        <v>104</v>
      </c>
      <c r="C39" s="40" t="s">
        <v>11</v>
      </c>
      <c r="D39" s="40" t="s">
        <v>14</v>
      </c>
      <c r="E39" s="41" t="str">
        <f>IF(C39="","",C39&amp;"|"&amp;COUNTIF(C$5:C39,C39))</f>
        <v>المقرأة الثانية|16</v>
      </c>
      <c r="F39" s="36"/>
      <c r="G39" s="2"/>
      <c r="H39" s="2"/>
      <c r="I39" s="2"/>
      <c r="J39" s="2"/>
    </row>
    <row r="40" spans="1:10">
      <c r="A40" s="18">
        <v>36</v>
      </c>
      <c r="B40" s="39" t="s">
        <v>105</v>
      </c>
      <c r="C40" s="40"/>
      <c r="D40" s="40"/>
      <c r="E40" s="41" t="str">
        <f>IF(C40="","",C40&amp;"|"&amp;COUNTIF(C$5:C40,C40))</f>
        <v/>
      </c>
      <c r="F40" s="36"/>
      <c r="G40" s="2"/>
      <c r="H40" s="2"/>
      <c r="I40" s="2"/>
      <c r="J40" s="2"/>
    </row>
    <row r="41" spans="1:10">
      <c r="A41" s="18">
        <v>37</v>
      </c>
      <c r="B41" s="39" t="s">
        <v>106</v>
      </c>
      <c r="C41" s="40" t="s">
        <v>9</v>
      </c>
      <c r="D41" s="40" t="s">
        <v>20</v>
      </c>
      <c r="E41" s="41" t="str">
        <f>IF(C41="","",C41&amp;"|"&amp;COUNTIF(C$5:C41,C41))</f>
        <v>المقرأة الأولى|20</v>
      </c>
      <c r="F41" s="36"/>
      <c r="G41" s="2"/>
      <c r="H41" s="2"/>
      <c r="I41" s="2"/>
      <c r="J41" s="2"/>
    </row>
    <row r="42" spans="1:10">
      <c r="A42" s="18">
        <v>38</v>
      </c>
      <c r="B42" s="39" t="s">
        <v>107</v>
      </c>
      <c r="C42" s="40" t="s">
        <v>9</v>
      </c>
      <c r="D42" s="40" t="s">
        <v>18</v>
      </c>
      <c r="E42" s="41" t="str">
        <f>IF(C42="","",C42&amp;"|"&amp;COUNTIF(C$5:C42,C42))</f>
        <v>المقرأة الأولى|21</v>
      </c>
      <c r="F42" s="36"/>
      <c r="G42" s="2"/>
      <c r="H42" s="2"/>
      <c r="I42" s="2"/>
      <c r="J42" s="2"/>
    </row>
    <row r="43" spans="1:10">
      <c r="A43" s="18">
        <v>39</v>
      </c>
      <c r="B43" s="39"/>
      <c r="C43" s="40"/>
      <c r="D43" s="40"/>
      <c r="E43" s="41" t="str">
        <f>IF(C43="","",C43&amp;"|"&amp;COUNTIF(C$5:C43,C43))</f>
        <v/>
      </c>
      <c r="F43" s="36"/>
      <c r="G43" s="2"/>
      <c r="H43" s="2"/>
      <c r="I43" s="2"/>
      <c r="J43" s="2"/>
    </row>
    <row r="44" spans="1:10">
      <c r="A44" s="16">
        <v>40</v>
      </c>
      <c r="B44" s="37"/>
      <c r="C44" s="28"/>
      <c r="D44" s="28"/>
      <c r="E44" s="38" t="str">
        <f>IF(C44="","",C44&amp;"|"&amp;COUNTIF(C$5:C44,C44))</f>
        <v/>
      </c>
      <c r="F44" s="36"/>
      <c r="G44" s="2"/>
      <c r="H44" s="2"/>
      <c r="I44" s="2"/>
      <c r="J44" s="2"/>
    </row>
  </sheetData>
  <sheetProtection algorithmName="SHA-512" hashValue="8gcRXa+SBFLliE1uCaYwF/a+fBURwWdBHLSjAlSI3MJlaICHdPwd7ee0fvEJmcTOyuNGuD9rq7VNSMbZXqqQ8g==" saltValue="/3sfpYzzZZVGrNLstPddcw==" spinCount="100000" sheet="1" objects="1" scenarios="1"/>
  <mergeCells count="1">
    <mergeCell ref="A1:E3"/>
  </mergeCells>
  <dataValidations count="2">
    <dataValidation type="list" allowBlank="1" showErrorMessage="1" errorTitle="قيمة غير صحيحة" error="اختر المقرأة من القائمة" sqref="C5:C44" xr:uid="{00000000-0002-0000-0200-000000000000}">
      <formula1>MaqraaList</formula1>
      <formula2>0</formula2>
    </dataValidation>
    <dataValidation type="list" allowBlank="1" showErrorMessage="1" errorTitle="قيمة غير صحيحة" error="اختر الحلقة من القائمة" sqref="D5:D44" xr:uid="{00000000-0002-0000-0200-000001000000}">
      <formula1>HalaqaList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ورقة4"/>
  <dimension ref="A1:P644"/>
  <sheetViews>
    <sheetView showGridLines="0" rightToLeft="1" tabSelected="1" zoomScaleNormal="100" workbookViewId="0">
      <pane xSplit="5" ySplit="4" topLeftCell="F56" activePane="bottomRight" state="frozen"/>
      <selection pane="bottomRight" activeCell="G77" sqref="G77"/>
      <selection pane="bottomLeft" activeCell="A5" sqref="A5"/>
      <selection pane="topRight" activeCell="F1" sqref="F1"/>
    </sheetView>
  </sheetViews>
  <sheetFormatPr defaultColWidth="8.7109375" defaultRowHeight="15"/>
  <cols>
    <col min="1" max="1" width="10" customWidth="1"/>
    <col min="2" max="3" width="18" customWidth="1"/>
    <col min="4" max="4" width="10" customWidth="1"/>
    <col min="5" max="5" width="26" customWidth="1"/>
    <col min="6" max="6" width="12" customWidth="1"/>
    <col min="7" max="7" width="14.140625" customWidth="1"/>
    <col min="8" max="9" width="12" customWidth="1"/>
    <col min="10" max="10" width="14" customWidth="1"/>
    <col min="11" max="11" width="2" customWidth="1"/>
    <col min="12" max="16" width="13" hidden="1" customWidth="1"/>
  </cols>
  <sheetData>
    <row r="1" spans="1:16" ht="30" customHeight="1">
      <c r="A1" s="164" t="s">
        <v>108</v>
      </c>
      <c r="B1" s="164"/>
      <c r="C1" s="164"/>
      <c r="D1" s="164"/>
      <c r="E1" s="164"/>
      <c r="F1" s="164"/>
      <c r="G1" s="164"/>
      <c r="H1" s="164"/>
      <c r="I1" s="164"/>
      <c r="J1" s="164"/>
      <c r="K1" s="2"/>
      <c r="L1" s="2"/>
      <c r="M1" s="2"/>
      <c r="N1" s="2"/>
      <c r="O1" s="2"/>
      <c r="P1" s="2"/>
    </row>
    <row r="2" spans="1:16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2"/>
      <c r="L2" s="2"/>
      <c r="M2" s="2"/>
      <c r="N2" s="2"/>
      <c r="O2" s="2"/>
      <c r="P2" s="2"/>
    </row>
    <row r="3" spans="1:16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2"/>
      <c r="L3" s="2"/>
      <c r="M3" s="2"/>
      <c r="N3" s="2"/>
      <c r="O3" s="2"/>
      <c r="P3" s="2"/>
    </row>
    <row r="4" spans="1:16" ht="31.5" customHeight="1" thickBot="1">
      <c r="A4" s="137" t="s">
        <v>56</v>
      </c>
      <c r="B4" s="137" t="s">
        <v>6</v>
      </c>
      <c r="C4" s="137" t="s">
        <v>12</v>
      </c>
      <c r="D4" s="137" t="s">
        <v>57</v>
      </c>
      <c r="E4" s="137" t="s">
        <v>58</v>
      </c>
      <c r="F4" s="137" t="s">
        <v>59</v>
      </c>
      <c r="G4" s="137" t="s">
        <v>109</v>
      </c>
      <c r="H4" s="137" t="s">
        <v>61</v>
      </c>
      <c r="I4" s="137" t="s">
        <v>62</v>
      </c>
      <c r="J4" s="136" t="s">
        <v>63</v>
      </c>
      <c r="K4" s="2"/>
      <c r="L4" s="43" t="s">
        <v>110</v>
      </c>
      <c r="M4" s="43" t="s">
        <v>111</v>
      </c>
      <c r="N4" s="43" t="s">
        <v>112</v>
      </c>
      <c r="O4" s="43" t="s">
        <v>113</v>
      </c>
      <c r="P4" s="43" t="s">
        <v>114</v>
      </c>
    </row>
    <row r="5" spans="1:16">
      <c r="A5" s="135">
        <v>1</v>
      </c>
      <c r="B5" s="138" t="str">
        <f>IFERROR(INDEX(الطلاب!$C$5:$C$44,MATCH($D5,الطلاب!$A$5:$A$44,0)),"")</f>
        <v>المقرأة الأولى</v>
      </c>
      <c r="C5" s="138" t="str">
        <f>IFERROR(INDEX(الطلاب!$D$5:$D$44,MATCH($D5,الطلاب!$A$5:$A$44,0)),"")</f>
        <v xml:space="preserve">عبدالرحمن بن النعمان </v>
      </c>
      <c r="D5" s="138">
        <v>1</v>
      </c>
      <c r="E5" s="139" t="str">
        <f>IFERROR(INDEX(الطلاب!$B$5:$B$44,MATCH($D5,الطلاب!$A$5:$A$44,0)),"")</f>
        <v>غسان اليحيى</v>
      </c>
      <c r="F5" s="32" t="s">
        <v>115</v>
      </c>
      <c r="G5" s="140">
        <v>85</v>
      </c>
      <c r="H5" s="140">
        <v>1</v>
      </c>
      <c r="I5" s="140">
        <v>0</v>
      </c>
      <c r="J5" s="140"/>
      <c r="K5" s="36"/>
      <c r="L5" s="43">
        <f>IF(AND($A5='أفضل 5 طلاب'!$C$3,$B5=الإعدادات!$C$8,$N5=1,ISNUMBER($G5)),$G5*100000+N($H5)*100+N($I5)+(1000-ROW())/10000,0)</f>
        <v>0</v>
      </c>
      <c r="M5" s="43">
        <f>IF(AND($A5='أفضل 5 طلاب'!$C$3,$B5=الإعدادات!$C$9,$N5=1,ISNUMBER($G5)),$G5*100000+N($H5)*100+N($I5)+(1000-ROW())/10000,0)</f>
        <v>0</v>
      </c>
      <c r="N5" s="43">
        <f t="shared" ref="N5:N68" si="0">IF(OR($F5="حاضر",$F5="متأخر"),1,0)</f>
        <v>1</v>
      </c>
      <c r="O5" s="43">
        <f>IF(OR($N5=1,$F5="معتذر",$F5="غائب"),IF(ISNUMBER($G5),$G5,IF($N5=1,"",0)),"")</f>
        <v>85</v>
      </c>
      <c r="P5" s="43">
        <f t="shared" ref="P5:P68" si="1">IF(ISNUMBER($O5),1,0)</f>
        <v>1</v>
      </c>
    </row>
    <row r="6" spans="1:16">
      <c r="A6" s="48">
        <v>1</v>
      </c>
      <c r="B6" s="49" t="str">
        <f>IFERROR(INDEX(الطلاب!$C$5:$C$44,MATCH($D6,الطلاب!$A$5:$A$44,0)),"")</f>
        <v>المقرأة الأولى</v>
      </c>
      <c r="C6" s="49" t="str">
        <f>IFERROR(INDEX(الطلاب!$D$5:$D$44,MATCH($D6,الطلاب!$A$5:$A$44,0)),"")</f>
        <v xml:space="preserve">عبدالرحمن بن النعمان </v>
      </c>
      <c r="D6" s="49">
        <v>2</v>
      </c>
      <c r="E6" s="50" t="str">
        <f>IFERROR(INDEX(الطلاب!$B$5:$B$44,MATCH($D6,الطلاب!$A$5:$A$44,0)),"")</f>
        <v xml:space="preserve">صالح الشريف </v>
      </c>
      <c r="F6" s="40" t="s">
        <v>115</v>
      </c>
      <c r="G6" s="51">
        <v>50</v>
      </c>
      <c r="H6" s="51">
        <v>0</v>
      </c>
      <c r="I6" s="51">
        <v>0</v>
      </c>
      <c r="J6" s="51"/>
      <c r="K6" s="36"/>
      <c r="L6" s="43">
        <f>IF(AND($A6='أفضل 5 طلاب'!$C$3,$B6=الإعدادات!$C$8,$N6=1,ISNUMBER($G6)),$G6*100000+N($H6)*100+N($I6)+(1000-ROW())/10000,0)</f>
        <v>0</v>
      </c>
      <c r="M6" s="43">
        <f>IF(AND($A6='أفضل 5 طلاب'!$C$3,$B6=الإعدادات!$C$9,$N6=1,ISNUMBER($G6)),$G6*100000+N($H6)*100+N($I6)+(1000-ROW())/10000,0)</f>
        <v>0</v>
      </c>
      <c r="N6" s="43">
        <f t="shared" si="0"/>
        <v>1</v>
      </c>
      <c r="O6" s="43">
        <f t="shared" ref="O6:O69" si="2">IF(OR($N6=1,$F6="معتذر",$F6="غائب"),IF(ISNUMBER($G6),$G6,IF($N6=1,"",0)),"")</f>
        <v>50</v>
      </c>
      <c r="P6" s="43">
        <f t="shared" si="1"/>
        <v>1</v>
      </c>
    </row>
    <row r="7" spans="1:16">
      <c r="A7" s="48">
        <v>1</v>
      </c>
      <c r="B7" s="49" t="str">
        <f>IFERROR(INDEX(الطلاب!$C$5:$C$44,MATCH($D7,الطلاب!$A$5:$A$44,0)),"")</f>
        <v>المقرأة الأولى</v>
      </c>
      <c r="C7" s="49" t="str">
        <f>IFERROR(INDEX(الطلاب!$D$5:$D$44,MATCH($D7,الطلاب!$A$5:$A$44,0)),"")</f>
        <v xml:space="preserve">عبدالرحمن بن النعمان </v>
      </c>
      <c r="D7" s="49">
        <v>3</v>
      </c>
      <c r="E7" s="50" t="str">
        <f>IFERROR(INDEX(الطلاب!$B$5:$B$44,MATCH($D7,الطلاب!$A$5:$A$44,0)),"")</f>
        <v xml:space="preserve">فهد المشيقح </v>
      </c>
      <c r="F7" s="40" t="s">
        <v>115</v>
      </c>
      <c r="G7" s="51">
        <v>95</v>
      </c>
      <c r="H7" s="51">
        <v>1</v>
      </c>
      <c r="I7" s="51">
        <v>22</v>
      </c>
      <c r="J7" s="51"/>
      <c r="K7" s="36"/>
      <c r="L7" s="43">
        <f>IF(AND($A7='أفضل 5 طلاب'!$C$3,$B7=الإعدادات!$C$8,$N7=1,ISNUMBER($G7)),$G7*100000+N($H7)*100+N($I7)+(1000-ROW())/10000,0)</f>
        <v>0</v>
      </c>
      <c r="M7" s="43">
        <f>IF(AND($A7='أفضل 5 طلاب'!$C$3,$B7=الإعدادات!$C$9,$N7=1,ISNUMBER($G7)),$G7*100000+N($H7)*100+N($I7)+(1000-ROW())/10000,0)</f>
        <v>0</v>
      </c>
      <c r="N7" s="43">
        <f t="shared" si="0"/>
        <v>1</v>
      </c>
      <c r="O7" s="43">
        <f t="shared" si="2"/>
        <v>95</v>
      </c>
      <c r="P7" s="43">
        <f t="shared" si="1"/>
        <v>1</v>
      </c>
    </row>
    <row r="8" spans="1:16">
      <c r="A8" s="48">
        <v>1</v>
      </c>
      <c r="B8" s="49" t="str">
        <f>IFERROR(INDEX(الطلاب!$C$5:$C$44,MATCH($D8,الطلاب!$A$5:$A$44,0)),"")</f>
        <v>المقرأة الأولى</v>
      </c>
      <c r="C8" s="49" t="str">
        <f>IFERROR(INDEX(الطلاب!$D$5:$D$44,MATCH($D8,الطلاب!$A$5:$A$44,0)),"")</f>
        <v xml:space="preserve">عبدالرحمن بن النعمان </v>
      </c>
      <c r="D8" s="49">
        <v>4</v>
      </c>
      <c r="E8" s="50" t="str">
        <f>IFERROR(INDEX(الطلاب!$B$5:$B$44,MATCH($D8,الطلاب!$A$5:$A$44,0)),"")</f>
        <v>عبدالله الحفير</v>
      </c>
      <c r="F8" s="40" t="s">
        <v>115</v>
      </c>
      <c r="G8" s="51">
        <v>50</v>
      </c>
      <c r="H8" s="51">
        <v>0</v>
      </c>
      <c r="I8" s="51">
        <v>0</v>
      </c>
      <c r="J8" s="51"/>
      <c r="K8" s="36"/>
      <c r="L8" s="43">
        <f>IF(AND($A8='أفضل 5 طلاب'!$C$3,$B8=الإعدادات!$C$8,$N8=1,ISNUMBER($G8)),$G8*100000+N($H8)*100+N($I8)+(1000-ROW())/10000,0)</f>
        <v>0</v>
      </c>
      <c r="M8" s="43">
        <f>IF(AND($A8='أفضل 5 طلاب'!$C$3,$B8=الإعدادات!$C$9,$N8=1,ISNUMBER($G8)),$G8*100000+N($H8)*100+N($I8)+(1000-ROW())/10000,0)</f>
        <v>0</v>
      </c>
      <c r="N8" s="43">
        <f t="shared" si="0"/>
        <v>1</v>
      </c>
      <c r="O8" s="43">
        <f t="shared" si="2"/>
        <v>50</v>
      </c>
      <c r="P8" s="43">
        <f t="shared" si="1"/>
        <v>1</v>
      </c>
    </row>
    <row r="9" spans="1:16">
      <c r="A9" s="48">
        <v>1</v>
      </c>
      <c r="B9" s="49" t="str">
        <f>IFERROR(INDEX(الطلاب!$C$5:$C$44,MATCH($D9,الطلاب!$A$5:$A$44,0)),"")</f>
        <v>المقرأة الأولى</v>
      </c>
      <c r="C9" s="49" t="str">
        <f>IFERROR(INDEX(الطلاب!$D$5:$D$44,MATCH($D9,الطلاب!$A$5:$A$44,0)),"")</f>
        <v xml:space="preserve">عبدالرحمن بن النعمان </v>
      </c>
      <c r="D9" s="49">
        <v>5</v>
      </c>
      <c r="E9" s="50" t="str">
        <f>IFERROR(INDEX(الطلاب!$B$5:$B$44,MATCH($D9,الطلاب!$A$5:$A$44,0)),"")</f>
        <v>زياد الدخيل الله</v>
      </c>
      <c r="F9" s="40" t="s">
        <v>115</v>
      </c>
      <c r="G9" s="51">
        <v>50</v>
      </c>
      <c r="H9" s="51">
        <v>0</v>
      </c>
      <c r="I9" s="51">
        <v>0</v>
      </c>
      <c r="J9" s="51"/>
      <c r="K9" s="36"/>
      <c r="L9" s="43">
        <f>IF(AND($A9='أفضل 5 طلاب'!$C$3,$B9=الإعدادات!$C$8,$N9=1,ISNUMBER($G9)),$G9*100000+N($H9)*100+N($I9)+(1000-ROW())/10000,0)</f>
        <v>0</v>
      </c>
      <c r="M9" s="43">
        <f>IF(AND($A9='أفضل 5 طلاب'!$C$3,$B9=الإعدادات!$C$9,$N9=1,ISNUMBER($G9)),$G9*100000+N($H9)*100+N($I9)+(1000-ROW())/10000,0)</f>
        <v>0</v>
      </c>
      <c r="N9" s="43">
        <f t="shared" si="0"/>
        <v>1</v>
      </c>
      <c r="O9" s="43">
        <f t="shared" si="2"/>
        <v>50</v>
      </c>
      <c r="P9" s="43">
        <f t="shared" si="1"/>
        <v>1</v>
      </c>
    </row>
    <row r="10" spans="1:16">
      <c r="A10" s="48">
        <v>1</v>
      </c>
      <c r="B10" s="49" t="str">
        <f>IFERROR(INDEX(الطلاب!$C$5:$C$44,MATCH($D10,الطلاب!$A$5:$A$44,0)),"")</f>
        <v>المقرأة الأولى</v>
      </c>
      <c r="C10" s="49" t="str">
        <f>IFERROR(INDEX(الطلاب!$D$5:$D$44,MATCH($D10,الطلاب!$A$5:$A$44,0)),"")</f>
        <v xml:space="preserve">ابن رجب </v>
      </c>
      <c r="D10" s="49">
        <v>6</v>
      </c>
      <c r="E10" s="50" t="str">
        <f>IFERROR(INDEX(الطلاب!$B$5:$B$44,MATCH($D10,الطلاب!$A$5:$A$44,0)),"")</f>
        <v xml:space="preserve">عاصم الضبيعي </v>
      </c>
      <c r="F10" s="40" t="s">
        <v>115</v>
      </c>
      <c r="G10" s="51">
        <v>96</v>
      </c>
      <c r="H10" s="51">
        <v>0</v>
      </c>
      <c r="I10" s="51">
        <v>40</v>
      </c>
      <c r="J10" s="51"/>
      <c r="K10" s="36"/>
      <c r="L10" s="43">
        <f>IF(AND($A10='أفضل 5 طلاب'!$C$3,$B10=الإعدادات!$C$8,$N10=1,ISNUMBER($G10)),$G10*100000+N($H10)*100+N($I10)+(1000-ROW())/10000,0)</f>
        <v>0</v>
      </c>
      <c r="M10" s="43">
        <f>IF(AND($A10='أفضل 5 طلاب'!$C$3,$B10=الإعدادات!$C$9,$N10=1,ISNUMBER($G10)),$G10*100000+N($H10)*100+N($I10)+(1000-ROW())/10000,0)</f>
        <v>0</v>
      </c>
      <c r="N10" s="43">
        <f t="shared" si="0"/>
        <v>1</v>
      </c>
      <c r="O10" s="43">
        <f t="shared" si="2"/>
        <v>96</v>
      </c>
      <c r="P10" s="43">
        <f t="shared" si="1"/>
        <v>1</v>
      </c>
    </row>
    <row r="11" spans="1:16">
      <c r="A11" s="48">
        <v>1</v>
      </c>
      <c r="B11" s="49" t="str">
        <f>IFERROR(INDEX(الطلاب!$C$5:$C$44,MATCH($D11,الطلاب!$A$5:$A$44,0)),"")</f>
        <v>المقرأة الأولى</v>
      </c>
      <c r="C11" s="49" t="str">
        <f>IFERROR(INDEX(الطلاب!$D$5:$D$44,MATCH($D11,الطلاب!$A$5:$A$44,0)),"")</f>
        <v xml:space="preserve">ابن رجب </v>
      </c>
      <c r="D11" s="49">
        <v>7</v>
      </c>
      <c r="E11" s="50" t="str">
        <f>IFERROR(INDEX(الطلاب!$B$5:$B$44,MATCH($D11,الطلاب!$A$5:$A$44,0)),"")</f>
        <v>محمد السعوي</v>
      </c>
      <c r="F11" s="40" t="s">
        <v>115</v>
      </c>
      <c r="G11" s="51">
        <v>97</v>
      </c>
      <c r="H11" s="51">
        <v>1</v>
      </c>
      <c r="I11" s="51">
        <v>40</v>
      </c>
      <c r="J11" s="51"/>
      <c r="K11" s="36"/>
      <c r="L11" s="43">
        <f>IF(AND($A11='أفضل 5 طلاب'!$C$3,$B11=الإعدادات!$C$8,$N11=1,ISNUMBER($G11)),$G11*100000+N($H11)*100+N($I11)+(1000-ROW())/10000,0)</f>
        <v>0</v>
      </c>
      <c r="M11" s="43">
        <f>IF(AND($A11='أفضل 5 طلاب'!$C$3,$B11=الإعدادات!$C$9,$N11=1,ISNUMBER($G11)),$G11*100000+N($H11)*100+N($I11)+(1000-ROW())/10000,0)</f>
        <v>0</v>
      </c>
      <c r="N11" s="43">
        <f t="shared" si="0"/>
        <v>1</v>
      </c>
      <c r="O11" s="43">
        <f t="shared" si="2"/>
        <v>97</v>
      </c>
      <c r="P11" s="43">
        <f t="shared" si="1"/>
        <v>1</v>
      </c>
    </row>
    <row r="12" spans="1:16">
      <c r="A12" s="48">
        <v>1</v>
      </c>
      <c r="B12" s="49" t="str">
        <f>IFERROR(INDEX(الطلاب!$C$5:$C$44,MATCH($D12,الطلاب!$A$5:$A$44,0)),"")</f>
        <v>المقرأة الأولى</v>
      </c>
      <c r="C12" s="49" t="str">
        <f>IFERROR(INDEX(الطلاب!$D$5:$D$44,MATCH($D12,الطلاب!$A$5:$A$44,0)),"")</f>
        <v xml:space="preserve">ابن رجب </v>
      </c>
      <c r="D12" s="49">
        <v>8</v>
      </c>
      <c r="E12" s="50" t="str">
        <f>IFERROR(INDEX(الطلاب!$B$5:$B$44,MATCH($D12,الطلاب!$A$5:$A$44,0)),"")</f>
        <v>هشام المخلف</v>
      </c>
      <c r="F12" s="40" t="s">
        <v>115</v>
      </c>
      <c r="G12" s="51">
        <v>93</v>
      </c>
      <c r="H12" s="51">
        <v>1</v>
      </c>
      <c r="I12" s="51">
        <v>15</v>
      </c>
      <c r="J12" s="51"/>
      <c r="K12" s="36"/>
      <c r="L12" s="43">
        <f>IF(AND($A12='أفضل 5 طلاب'!$C$3,$B12=الإعدادات!$C$8,$N12=1,ISNUMBER($G12)),$G12*100000+N($H12)*100+N($I12)+(1000-ROW())/10000,0)</f>
        <v>0</v>
      </c>
      <c r="M12" s="43">
        <f>IF(AND($A12='أفضل 5 طلاب'!$C$3,$B12=الإعدادات!$C$9,$N12=1,ISNUMBER($G12)),$G12*100000+N($H12)*100+N($I12)+(1000-ROW())/10000,0)</f>
        <v>0</v>
      </c>
      <c r="N12" s="43">
        <f t="shared" si="0"/>
        <v>1</v>
      </c>
      <c r="O12" s="43">
        <f t="shared" si="2"/>
        <v>93</v>
      </c>
      <c r="P12" s="43">
        <f t="shared" si="1"/>
        <v>1</v>
      </c>
    </row>
    <row r="13" spans="1:16">
      <c r="A13" s="48">
        <v>1</v>
      </c>
      <c r="B13" s="49" t="str">
        <f>IFERROR(INDEX(الطلاب!$C$5:$C$44,MATCH($D13,الطلاب!$A$5:$A$44,0)),"")</f>
        <v>المقرأة الأولى</v>
      </c>
      <c r="C13" s="49" t="str">
        <f>IFERROR(INDEX(الطلاب!$D$5:$D$44,MATCH($D13,الطلاب!$A$5:$A$44,0)),"")</f>
        <v xml:space="preserve">ابن رجب </v>
      </c>
      <c r="D13" s="49">
        <v>9</v>
      </c>
      <c r="E13" s="50" t="str">
        <f>IFERROR(INDEX(الطلاب!$B$5:$B$44,MATCH($D13,الطلاب!$A$5:$A$44,0)),"")</f>
        <v xml:space="preserve">اسامة السعدون </v>
      </c>
      <c r="F13" s="40" t="s">
        <v>36</v>
      </c>
      <c r="G13" s="51">
        <v>0</v>
      </c>
      <c r="H13" s="51">
        <v>0</v>
      </c>
      <c r="I13" s="51">
        <v>0</v>
      </c>
      <c r="J13" s="51"/>
      <c r="K13" s="36"/>
      <c r="L13" s="43">
        <f>IF(AND($A13='أفضل 5 طلاب'!$C$3,$B13=الإعدادات!$C$8,$N13=1,ISNUMBER($G13)),$G13*100000+N($H13)*100+N($I13)+(1000-ROW())/10000,0)</f>
        <v>0</v>
      </c>
      <c r="M13" s="43">
        <f>IF(AND($A13='أفضل 5 طلاب'!$C$3,$B13=الإعدادات!$C$9,$N13=1,ISNUMBER($G13)),$G13*100000+N($H13)*100+N($I13)+(1000-ROW())/10000,0)</f>
        <v>0</v>
      </c>
      <c r="N13" s="43">
        <f t="shared" si="0"/>
        <v>0</v>
      </c>
      <c r="O13" s="43">
        <f t="shared" si="2"/>
        <v>0</v>
      </c>
      <c r="P13" s="43">
        <f t="shared" si="1"/>
        <v>1</v>
      </c>
    </row>
    <row r="14" spans="1:16">
      <c r="A14" s="48">
        <v>1</v>
      </c>
      <c r="B14" s="49" t="str">
        <f>IFERROR(INDEX(الطلاب!$C$5:$C$44,MATCH($D14,الطلاب!$A$5:$A$44,0)),"")</f>
        <v>المقرأة الأولى</v>
      </c>
      <c r="C14" s="49" t="str">
        <f>IFERROR(INDEX(الطلاب!$D$5:$D$44,MATCH($D14,الطلاب!$A$5:$A$44,0)),"")</f>
        <v xml:space="preserve">حسان بن ثابت </v>
      </c>
      <c r="D14" s="49">
        <v>10</v>
      </c>
      <c r="E14" s="50" t="str">
        <f>IFERROR(INDEX(الطلاب!$B$5:$B$44,MATCH($D14,الطلاب!$A$5:$A$44,0)),"")</f>
        <v xml:space="preserve">محمد الثنيان </v>
      </c>
      <c r="F14" s="40" t="s">
        <v>115</v>
      </c>
      <c r="G14" s="51">
        <v>94</v>
      </c>
      <c r="H14" s="51">
        <v>5</v>
      </c>
      <c r="I14" s="51">
        <v>30</v>
      </c>
      <c r="J14" s="51"/>
      <c r="K14" s="36"/>
      <c r="L14" s="43">
        <f>IF(AND($A14='أفضل 5 طلاب'!$C$3,$B14=الإعدادات!$C$8,$N14=1,ISNUMBER($G14)),$G14*100000+N($H14)*100+N($I14)+(1000-ROW())/10000,0)</f>
        <v>0</v>
      </c>
      <c r="M14" s="43">
        <f>IF(AND($A14='أفضل 5 طلاب'!$C$3,$B14=الإعدادات!$C$9,$N14=1,ISNUMBER($G14)),$G14*100000+N($H14)*100+N($I14)+(1000-ROW())/10000,0)</f>
        <v>0</v>
      </c>
      <c r="N14" s="43">
        <f t="shared" si="0"/>
        <v>1</v>
      </c>
      <c r="O14" s="43">
        <f t="shared" si="2"/>
        <v>94</v>
      </c>
      <c r="P14" s="43">
        <f t="shared" si="1"/>
        <v>1</v>
      </c>
    </row>
    <row r="15" spans="1:16">
      <c r="A15" s="48">
        <v>1</v>
      </c>
      <c r="B15" s="49" t="str">
        <f>IFERROR(INDEX(الطلاب!$C$5:$C$44,MATCH($D15,الطلاب!$A$5:$A$44,0)),"")</f>
        <v>المقرأة الأولى</v>
      </c>
      <c r="C15" s="49" t="str">
        <f>IFERROR(INDEX(الطلاب!$D$5:$D$44,MATCH($D15,الطلاب!$A$5:$A$44,0)),"")</f>
        <v xml:space="preserve">حسان بن ثابت </v>
      </c>
      <c r="D15" s="49">
        <v>11</v>
      </c>
      <c r="E15" s="50" t="str">
        <f>IFERROR(INDEX(الطلاب!$B$5:$B$44,MATCH($D15,الطلاب!$A$5:$A$44,0)),"")</f>
        <v xml:space="preserve">كنان الجريفاني </v>
      </c>
      <c r="F15" s="40" t="s">
        <v>115</v>
      </c>
      <c r="G15" s="51">
        <v>85</v>
      </c>
      <c r="H15" s="51">
        <v>0</v>
      </c>
      <c r="I15" s="51">
        <v>40</v>
      </c>
      <c r="J15" s="51"/>
      <c r="K15" s="36"/>
      <c r="L15" s="43">
        <f>IF(AND($A15='أفضل 5 طلاب'!$C$3,$B15=الإعدادات!$C$8,$N15=1,ISNUMBER($G15)),$G15*100000+N($H15)*100+N($I15)+(1000-ROW())/10000,0)</f>
        <v>0</v>
      </c>
      <c r="M15" s="43">
        <f>IF(AND($A15='أفضل 5 طلاب'!$C$3,$B15=الإعدادات!$C$9,$N15=1,ISNUMBER($G15)),$G15*100000+N($H15)*100+N($I15)+(1000-ROW())/10000,0)</f>
        <v>0</v>
      </c>
      <c r="N15" s="43">
        <f t="shared" si="0"/>
        <v>1</v>
      </c>
      <c r="O15" s="43">
        <f t="shared" si="2"/>
        <v>85</v>
      </c>
      <c r="P15" s="43">
        <f t="shared" si="1"/>
        <v>1</v>
      </c>
    </row>
    <row r="16" spans="1:16">
      <c r="A16" s="48">
        <v>1</v>
      </c>
      <c r="B16" s="49" t="str">
        <f>IFERROR(INDEX(الطلاب!$C$5:$C$44,MATCH($D16,الطلاب!$A$5:$A$44,0)),"")</f>
        <v>المقرأة الأولى</v>
      </c>
      <c r="C16" s="49" t="str">
        <f>IFERROR(INDEX(الطلاب!$D$5:$D$44,MATCH($D16,الطلاب!$A$5:$A$44,0)),"")</f>
        <v xml:space="preserve">حسان بن ثابت </v>
      </c>
      <c r="D16" s="49">
        <v>12</v>
      </c>
      <c r="E16" s="50" t="str">
        <f>IFERROR(INDEX(الطلاب!$B$5:$B$44,MATCH($D16,الطلاب!$A$5:$A$44,0)),"")</f>
        <v xml:space="preserve">عبدالمجيد الربعي </v>
      </c>
      <c r="F16" s="40" t="s">
        <v>115</v>
      </c>
      <c r="G16" s="51">
        <v>54</v>
      </c>
      <c r="H16" s="51">
        <v>0</v>
      </c>
      <c r="I16" s="51">
        <v>40</v>
      </c>
      <c r="J16" s="51"/>
      <c r="K16" s="36"/>
      <c r="L16" s="43">
        <f>IF(AND($A16='أفضل 5 طلاب'!$C$3,$B16=الإعدادات!$C$8,$N16=1,ISNUMBER($G16)),$G16*100000+N($H16)*100+N($I16)+(1000-ROW())/10000,0)</f>
        <v>0</v>
      </c>
      <c r="M16" s="43">
        <f>IF(AND($A16='أفضل 5 طلاب'!$C$3,$B16=الإعدادات!$C$9,$N16=1,ISNUMBER($G16)),$G16*100000+N($H16)*100+N($I16)+(1000-ROW())/10000,0)</f>
        <v>0</v>
      </c>
      <c r="N16" s="43">
        <f t="shared" si="0"/>
        <v>1</v>
      </c>
      <c r="O16" s="43">
        <f t="shared" si="2"/>
        <v>54</v>
      </c>
      <c r="P16" s="43">
        <f t="shared" si="1"/>
        <v>1</v>
      </c>
    </row>
    <row r="17" spans="1:16">
      <c r="A17" s="48">
        <v>1</v>
      </c>
      <c r="B17" s="49" t="str">
        <f>IFERROR(INDEX(الطلاب!$C$5:$C$44,MATCH($D17,الطلاب!$A$5:$A$44,0)),"")</f>
        <v>المقرأة الأولى</v>
      </c>
      <c r="C17" s="49" t="str">
        <f>IFERROR(INDEX(الطلاب!$D$5:$D$44,MATCH($D17,الطلاب!$A$5:$A$44,0)),"")</f>
        <v xml:space="preserve">حسان بن ثابت </v>
      </c>
      <c r="D17" s="49">
        <v>13</v>
      </c>
      <c r="E17" s="50" t="str">
        <f>IFERROR(INDEX(الطلاب!$B$5:$B$44,MATCH($D17,الطلاب!$A$5:$A$44,0)),"")</f>
        <v xml:space="preserve">عبدالله التويجري </v>
      </c>
      <c r="F17" s="40" t="s">
        <v>115</v>
      </c>
      <c r="G17" s="51">
        <v>71</v>
      </c>
      <c r="H17" s="51">
        <v>0</v>
      </c>
      <c r="I17" s="51">
        <v>20</v>
      </c>
      <c r="J17" s="51"/>
      <c r="K17" s="36"/>
      <c r="L17" s="43">
        <f>IF(AND($A17='أفضل 5 طلاب'!$C$3,$B17=الإعدادات!$C$8,$N17=1,ISNUMBER($G17)),$G17*100000+N($H17)*100+N($I17)+(1000-ROW())/10000,0)</f>
        <v>0</v>
      </c>
      <c r="M17" s="43">
        <f>IF(AND($A17='أفضل 5 طلاب'!$C$3,$B17=الإعدادات!$C$9,$N17=1,ISNUMBER($G17)),$G17*100000+N($H17)*100+N($I17)+(1000-ROW())/10000,0)</f>
        <v>0</v>
      </c>
      <c r="N17" s="43">
        <f t="shared" si="0"/>
        <v>1</v>
      </c>
      <c r="O17" s="43">
        <f t="shared" si="2"/>
        <v>71</v>
      </c>
      <c r="P17" s="43">
        <f t="shared" si="1"/>
        <v>1</v>
      </c>
    </row>
    <row r="18" spans="1:16">
      <c r="A18" s="48">
        <v>1</v>
      </c>
      <c r="B18" s="49" t="str">
        <f>IFERROR(INDEX(الطلاب!$C$5:$C$44,MATCH($D18,الطلاب!$A$5:$A$44,0)),"")</f>
        <v>المقرأة الأولى</v>
      </c>
      <c r="C18" s="49" t="str">
        <f>IFERROR(INDEX(الطلاب!$D$5:$D$44,MATCH($D18,الطلاب!$A$5:$A$44,0)),"")</f>
        <v xml:space="preserve">حسان بن ثابت </v>
      </c>
      <c r="D18" s="49">
        <v>14</v>
      </c>
      <c r="E18" s="50" t="str">
        <f>IFERROR(INDEX(الطلاب!$B$5:$B$44,MATCH($D18,الطلاب!$A$5:$A$44,0)),"")</f>
        <v xml:space="preserve">حسام التويجري </v>
      </c>
      <c r="F18" s="40" t="s">
        <v>36</v>
      </c>
      <c r="G18" s="51">
        <v>0</v>
      </c>
      <c r="H18" s="51">
        <v>0</v>
      </c>
      <c r="I18" s="51">
        <v>0</v>
      </c>
      <c r="J18" s="51"/>
      <c r="K18" s="36"/>
      <c r="L18" s="43">
        <f>IF(AND($A18='أفضل 5 طلاب'!$C$3,$B18=الإعدادات!$C$8,$N18=1,ISNUMBER($G18)),$G18*100000+N($H18)*100+N($I18)+(1000-ROW())/10000,0)</f>
        <v>0</v>
      </c>
      <c r="M18" s="43">
        <f>IF(AND($A18='أفضل 5 طلاب'!$C$3,$B18=الإعدادات!$C$9,$N18=1,ISNUMBER($G18)),$G18*100000+N($H18)*100+N($I18)+(1000-ROW())/10000,0)</f>
        <v>0</v>
      </c>
      <c r="N18" s="43">
        <f t="shared" si="0"/>
        <v>0</v>
      </c>
      <c r="O18" s="43">
        <f t="shared" si="2"/>
        <v>0</v>
      </c>
      <c r="P18" s="43">
        <f t="shared" si="1"/>
        <v>1</v>
      </c>
    </row>
    <row r="19" spans="1:16">
      <c r="A19" s="48">
        <v>1</v>
      </c>
      <c r="B19" s="49" t="str">
        <f>IFERROR(INDEX(الطلاب!$C$5:$C$44,MATCH($D19,الطلاب!$A$5:$A$44,0)),"")</f>
        <v>المقرأة الأولى</v>
      </c>
      <c r="C19" s="49" t="str">
        <f>IFERROR(INDEX(الطلاب!$D$5:$D$44,MATCH($D19,الطلاب!$A$5:$A$44,0)),"")</f>
        <v xml:space="preserve">حسان بن ثابت </v>
      </c>
      <c r="D19" s="49">
        <v>15</v>
      </c>
      <c r="E19" s="50" t="str">
        <f>IFERROR(INDEX(الطلاب!$B$5:$B$44,MATCH($D19,الطلاب!$A$5:$A$44,0)),"")</f>
        <v xml:space="preserve">عبدالرحمن البريدي </v>
      </c>
      <c r="F19" s="40" t="s">
        <v>115</v>
      </c>
      <c r="G19" s="51">
        <v>87</v>
      </c>
      <c r="H19" s="51">
        <v>2</v>
      </c>
      <c r="I19" s="51">
        <v>20</v>
      </c>
      <c r="J19" s="51"/>
      <c r="K19" s="36"/>
      <c r="L19" s="43">
        <f>IF(AND($A19='أفضل 5 طلاب'!$C$3,$B19=الإعدادات!$C$8,$N19=1,ISNUMBER($G19)),$G19*100000+N($H19)*100+N($I19)+(1000-ROW())/10000,0)</f>
        <v>0</v>
      </c>
      <c r="M19" s="43">
        <f>IF(AND($A19='أفضل 5 طلاب'!$C$3,$B19=الإعدادات!$C$9,$N19=1,ISNUMBER($G19)),$G19*100000+N($H19)*100+N($I19)+(1000-ROW())/10000,0)</f>
        <v>0</v>
      </c>
      <c r="N19" s="43">
        <f t="shared" si="0"/>
        <v>1</v>
      </c>
      <c r="O19" s="43">
        <f t="shared" si="2"/>
        <v>87</v>
      </c>
      <c r="P19" s="43">
        <f t="shared" si="1"/>
        <v>1</v>
      </c>
    </row>
    <row r="20" spans="1:16">
      <c r="A20" s="48">
        <v>1</v>
      </c>
      <c r="B20" s="49" t="str">
        <f>IFERROR(INDEX(الطلاب!$C$5:$C$44,MATCH($D20,الطلاب!$A$5:$A$44,0)),"")</f>
        <v>المقرأة الأولى</v>
      </c>
      <c r="C20" s="49" t="str">
        <f>IFERROR(INDEX(الطلاب!$D$5:$D$44,MATCH($D20,الطلاب!$A$5:$A$44,0)),"")</f>
        <v xml:space="preserve">حسان بن ثابت </v>
      </c>
      <c r="D20" s="49">
        <v>16</v>
      </c>
      <c r="E20" s="50" t="str">
        <f>IFERROR(INDEX(الطلاب!$B$5:$B$44,MATCH($D20,الطلاب!$A$5:$A$44,0)),"")</f>
        <v>عبدالرحمن بازرعة</v>
      </c>
      <c r="F20" s="40" t="s">
        <v>115</v>
      </c>
      <c r="G20" s="51">
        <v>79</v>
      </c>
      <c r="H20" s="51">
        <v>0</v>
      </c>
      <c r="I20" s="51">
        <v>30</v>
      </c>
      <c r="J20" s="51"/>
      <c r="K20" s="36"/>
      <c r="L20" s="43">
        <f>IF(AND($A20='أفضل 5 طلاب'!$C$3,$B20=الإعدادات!$C$8,$N20=1,ISNUMBER($G20)),$G20*100000+N($H20)*100+N($I20)+(1000-ROW())/10000,0)</f>
        <v>0</v>
      </c>
      <c r="M20" s="43">
        <f>IF(AND($A20='أفضل 5 طلاب'!$C$3,$B20=الإعدادات!$C$9,$N20=1,ISNUMBER($G20)),$G20*100000+N($H20)*100+N($I20)+(1000-ROW())/10000,0)</f>
        <v>0</v>
      </c>
      <c r="N20" s="43">
        <f t="shared" si="0"/>
        <v>1</v>
      </c>
      <c r="O20" s="43">
        <f t="shared" si="2"/>
        <v>79</v>
      </c>
      <c r="P20" s="43">
        <f t="shared" si="1"/>
        <v>1</v>
      </c>
    </row>
    <row r="21" spans="1:16">
      <c r="A21" s="48">
        <v>1</v>
      </c>
      <c r="B21" s="49" t="str">
        <f>IFERROR(INDEX(الطلاب!$C$5:$C$44,MATCH($D21,الطلاب!$A$5:$A$44,0)),"")</f>
        <v>المقرأة الأولى</v>
      </c>
      <c r="C21" s="49" t="str">
        <f>IFERROR(INDEX(الطلاب!$D$5:$D$44,MATCH($D21,الطلاب!$A$5:$A$44,0)),"")</f>
        <v xml:space="preserve">حسان بن ثابت </v>
      </c>
      <c r="D21" s="49">
        <v>17</v>
      </c>
      <c r="E21" s="50" t="str">
        <f>IFERROR(INDEX(الطلاب!$B$5:$B$44,MATCH($D21,الطلاب!$A$5:$A$44,0)),"")</f>
        <v xml:space="preserve">عبدالله الضحيان </v>
      </c>
      <c r="F21" s="40" t="s">
        <v>115</v>
      </c>
      <c r="G21" s="51">
        <v>97</v>
      </c>
      <c r="H21" s="51">
        <v>3</v>
      </c>
      <c r="I21" s="51">
        <v>40</v>
      </c>
      <c r="J21" s="51"/>
      <c r="K21" s="36"/>
      <c r="L21" s="43">
        <f>IF(AND($A21='أفضل 5 طلاب'!$C$3,$B21=الإعدادات!$C$8,$N21=1,ISNUMBER($G21)),$G21*100000+N($H21)*100+N($I21)+(1000-ROW())/10000,0)</f>
        <v>0</v>
      </c>
      <c r="M21" s="43">
        <f>IF(AND($A21='أفضل 5 طلاب'!$C$3,$B21=الإعدادات!$C$9,$N21=1,ISNUMBER($G21)),$G21*100000+N($H21)*100+N($I21)+(1000-ROW())/10000,0)</f>
        <v>0</v>
      </c>
      <c r="N21" s="43">
        <f t="shared" si="0"/>
        <v>1</v>
      </c>
      <c r="O21" s="43">
        <f t="shared" si="2"/>
        <v>97</v>
      </c>
      <c r="P21" s="43">
        <f t="shared" si="1"/>
        <v>1</v>
      </c>
    </row>
    <row r="22" spans="1:16">
      <c r="A22" s="48">
        <v>1</v>
      </c>
      <c r="B22" s="49" t="str">
        <f>IFERROR(INDEX(الطلاب!$C$5:$C$44,MATCH($D22,الطلاب!$A$5:$A$44,0)),"")</f>
        <v>المقرأة الأولى</v>
      </c>
      <c r="C22" s="49" t="str">
        <f>IFERROR(INDEX(الطلاب!$D$5:$D$44,MATCH($D22,الطلاب!$A$5:$A$44,0)),"")</f>
        <v xml:space="preserve">حسان بن ثابت </v>
      </c>
      <c r="D22" s="49">
        <v>18</v>
      </c>
      <c r="E22" s="50" t="str">
        <f>IFERROR(INDEX(الطلاب!$B$5:$B$44,MATCH($D22,الطلاب!$A$5:$A$44,0)),"")</f>
        <v xml:space="preserve">فيصل الدخيل </v>
      </c>
      <c r="F22" s="40" t="s">
        <v>115</v>
      </c>
      <c r="G22" s="51">
        <v>65</v>
      </c>
      <c r="H22" s="51">
        <v>5</v>
      </c>
      <c r="I22" s="51">
        <v>0</v>
      </c>
      <c r="J22" s="51"/>
      <c r="K22" s="36"/>
      <c r="L22" s="43">
        <f>IF(AND($A22='أفضل 5 طلاب'!$C$3,$B22=الإعدادات!$C$8,$N22=1,ISNUMBER($G22)),$G22*100000+N($H22)*100+N($I22)+(1000-ROW())/10000,0)</f>
        <v>0</v>
      </c>
      <c r="M22" s="43">
        <f>IF(AND($A22='أفضل 5 طلاب'!$C$3,$B22=الإعدادات!$C$9,$N22=1,ISNUMBER($G22)),$G22*100000+N($H22)*100+N($I22)+(1000-ROW())/10000,0)</f>
        <v>0</v>
      </c>
      <c r="N22" s="43">
        <f t="shared" si="0"/>
        <v>1</v>
      </c>
      <c r="O22" s="43">
        <f t="shared" si="2"/>
        <v>65</v>
      </c>
      <c r="P22" s="43">
        <f t="shared" si="1"/>
        <v>1</v>
      </c>
    </row>
    <row r="23" spans="1:16">
      <c r="A23" s="48">
        <v>1</v>
      </c>
      <c r="B23" s="49" t="str">
        <f>IFERROR(INDEX(الطلاب!$C$5:$C$44,MATCH($D23,الطلاب!$A$5:$A$44,0)),"")</f>
        <v>المقرأة الأولى</v>
      </c>
      <c r="C23" s="49" t="str">
        <f>IFERROR(INDEX(الطلاب!$D$5:$D$44,MATCH($D23,الطلاب!$A$5:$A$44,0)),"")</f>
        <v xml:space="preserve">حسان بن ثابت </v>
      </c>
      <c r="D23" s="49">
        <v>19</v>
      </c>
      <c r="E23" s="50" t="str">
        <f>IFERROR(INDEX(الطلاب!$B$5:$B$44,MATCH($D23,الطلاب!$A$5:$A$44,0)),"")</f>
        <v xml:space="preserve">سليمان المحيميد </v>
      </c>
      <c r="F23" s="40" t="s">
        <v>115</v>
      </c>
      <c r="G23" s="51">
        <v>93</v>
      </c>
      <c r="H23" s="51">
        <v>6</v>
      </c>
      <c r="I23" s="51">
        <v>22</v>
      </c>
      <c r="J23" s="51"/>
      <c r="K23" s="36"/>
      <c r="L23" s="43">
        <f>IF(AND($A23='أفضل 5 طلاب'!$C$3,$B23=الإعدادات!$C$8,$N23=1,ISNUMBER($G23)),$G23*100000+N($H23)*100+N($I23)+(1000-ROW())/10000,0)</f>
        <v>0</v>
      </c>
      <c r="M23" s="43">
        <f>IF(AND($A23='أفضل 5 طلاب'!$C$3,$B23=الإعدادات!$C$9,$N23=1,ISNUMBER($G23)),$G23*100000+N($H23)*100+N($I23)+(1000-ROW())/10000,0)</f>
        <v>0</v>
      </c>
      <c r="N23" s="43">
        <f t="shared" si="0"/>
        <v>1</v>
      </c>
      <c r="O23" s="43">
        <f t="shared" si="2"/>
        <v>93</v>
      </c>
      <c r="P23" s="43">
        <f t="shared" si="1"/>
        <v>1</v>
      </c>
    </row>
    <row r="24" spans="1:16">
      <c r="A24" s="48">
        <v>1</v>
      </c>
      <c r="B24" s="49" t="str">
        <f>IFERROR(INDEX(الطلاب!$C$5:$C$44,MATCH($D24,الطلاب!$A$5:$A$44,0)),"")</f>
        <v>المقرأة الثانية</v>
      </c>
      <c r="C24" s="49" t="str">
        <f>IFERROR(INDEX(الطلاب!$D$5:$D$44,MATCH($D24,الطلاب!$A$5:$A$44,0)),"")</f>
        <v xml:space="preserve">ابن رجب </v>
      </c>
      <c r="D24" s="49">
        <v>20</v>
      </c>
      <c r="E24" s="50" t="str">
        <f>IFERROR(INDEX(الطلاب!$B$5:$B$44,MATCH($D24,الطلاب!$A$5:$A$44,0)),"")</f>
        <v xml:space="preserve">اصيل التويجري </v>
      </c>
      <c r="F24" s="40" t="s">
        <v>115</v>
      </c>
      <c r="G24" s="51">
        <v>99</v>
      </c>
      <c r="H24" s="51">
        <v>4</v>
      </c>
      <c r="I24" s="51">
        <v>20</v>
      </c>
      <c r="J24" s="51"/>
      <c r="K24" s="36"/>
      <c r="L24" s="43">
        <f>IF(AND($A24='أفضل 5 طلاب'!$C$3,$B24=الإعدادات!$C$8,$N24=1,ISNUMBER($G24)),$G24*100000+N($H24)*100+N($I24)+(1000-ROW())/10000,0)</f>
        <v>0</v>
      </c>
      <c r="M24" s="43">
        <f>IF(AND($A24='أفضل 5 طلاب'!$C$3,$B24=الإعدادات!$C$9,$N24=1,ISNUMBER($G24)),$G24*100000+N($H24)*100+N($I24)+(1000-ROW())/10000,0)</f>
        <v>0</v>
      </c>
      <c r="N24" s="43">
        <f t="shared" si="0"/>
        <v>1</v>
      </c>
      <c r="O24" s="43">
        <f t="shared" si="2"/>
        <v>99</v>
      </c>
      <c r="P24" s="43">
        <f t="shared" si="1"/>
        <v>1</v>
      </c>
    </row>
    <row r="25" spans="1:16">
      <c r="A25" s="48">
        <v>1</v>
      </c>
      <c r="B25" s="49" t="str">
        <f>IFERROR(INDEX(الطلاب!$C$5:$C$44,MATCH($D25,الطلاب!$A$5:$A$44,0)),"")</f>
        <v>المقرأة الثانية</v>
      </c>
      <c r="C25" s="49" t="str">
        <f>IFERROR(INDEX(الطلاب!$D$5:$D$44,MATCH($D25,الطلاب!$A$5:$A$44,0)),"")</f>
        <v xml:space="preserve">ابن رجب </v>
      </c>
      <c r="D25" s="49">
        <v>21</v>
      </c>
      <c r="E25" s="50" t="str">
        <f>IFERROR(INDEX(الطلاب!$B$5:$B$44,MATCH($D25,الطلاب!$A$5:$A$44,0)),"")</f>
        <v xml:space="preserve">جواد الرفيعي </v>
      </c>
      <c r="F25" s="40" t="s">
        <v>36</v>
      </c>
      <c r="G25" s="51">
        <v>0</v>
      </c>
      <c r="H25" s="51">
        <v>0</v>
      </c>
      <c r="I25" s="51">
        <v>0</v>
      </c>
      <c r="J25" s="51"/>
      <c r="K25" s="36"/>
      <c r="L25" s="43">
        <f>IF(AND($A25='أفضل 5 طلاب'!$C$3,$B25=الإعدادات!$C$8,$N25=1,ISNUMBER($G25)),$G25*100000+N($H25)*100+N($I25)+(1000-ROW())/10000,0)</f>
        <v>0</v>
      </c>
      <c r="M25" s="43">
        <f>IF(AND($A25='أفضل 5 طلاب'!$C$3,$B25=الإعدادات!$C$9,$N25=1,ISNUMBER($G25)),$G25*100000+N($H25)*100+N($I25)+(1000-ROW())/10000,0)</f>
        <v>0</v>
      </c>
      <c r="N25" s="43">
        <f t="shared" si="0"/>
        <v>0</v>
      </c>
      <c r="O25" s="43">
        <f t="shared" si="2"/>
        <v>0</v>
      </c>
      <c r="P25" s="43">
        <f t="shared" si="1"/>
        <v>1</v>
      </c>
    </row>
    <row r="26" spans="1:16">
      <c r="A26" s="48">
        <v>1</v>
      </c>
      <c r="B26" s="49" t="str">
        <f>IFERROR(INDEX(الطلاب!$C$5:$C$44,MATCH($D26,الطلاب!$A$5:$A$44,0)),"")</f>
        <v>المقرأة الثانية</v>
      </c>
      <c r="C26" s="49" t="str">
        <f>IFERROR(INDEX(الطلاب!$D$5:$D$44,MATCH($D26,الطلاب!$A$5:$A$44,0)),"")</f>
        <v xml:space="preserve">ابن رجب </v>
      </c>
      <c r="D26" s="49">
        <v>22</v>
      </c>
      <c r="E26" s="50" t="str">
        <f>IFERROR(INDEX(الطلاب!$B$5:$B$44,MATCH($D26,الطلاب!$A$5:$A$44,0)),"")</f>
        <v xml:space="preserve">سفيان السبيعي </v>
      </c>
      <c r="F26" s="40" t="s">
        <v>115</v>
      </c>
      <c r="G26" s="51">
        <v>95</v>
      </c>
      <c r="H26" s="51">
        <v>5</v>
      </c>
      <c r="I26" s="51">
        <v>40</v>
      </c>
      <c r="J26" s="51"/>
      <c r="K26" s="36"/>
      <c r="L26" s="43">
        <f>IF(AND($A26='أفضل 5 طلاب'!$C$3,$B26=الإعدادات!$C$8,$N26=1,ISNUMBER($G26)),$G26*100000+N($H26)*100+N($I26)+(1000-ROW())/10000,0)</f>
        <v>0</v>
      </c>
      <c r="M26" s="43">
        <f>IF(AND($A26='أفضل 5 طلاب'!$C$3,$B26=الإعدادات!$C$9,$N26=1,ISNUMBER($G26)),$G26*100000+N($H26)*100+N($I26)+(1000-ROW())/10000,0)</f>
        <v>0</v>
      </c>
      <c r="N26" s="43">
        <f t="shared" si="0"/>
        <v>1</v>
      </c>
      <c r="O26" s="43">
        <f t="shared" si="2"/>
        <v>95</v>
      </c>
      <c r="P26" s="43">
        <f t="shared" si="1"/>
        <v>1</v>
      </c>
    </row>
    <row r="27" spans="1:16">
      <c r="A27" s="48">
        <v>1</v>
      </c>
      <c r="B27" s="49" t="str">
        <f>IFERROR(INDEX(الطلاب!$C$5:$C$44,MATCH($D27,الطلاب!$A$5:$A$44,0)),"")</f>
        <v>المقرأة الثانية</v>
      </c>
      <c r="C27" s="49" t="str">
        <f>IFERROR(INDEX(الطلاب!$D$5:$D$44,MATCH($D27,الطلاب!$A$5:$A$44,0)),"")</f>
        <v xml:space="preserve">ابن رجب </v>
      </c>
      <c r="D27" s="49">
        <v>23</v>
      </c>
      <c r="E27" s="50" t="str">
        <f>IFERROR(INDEX(الطلاب!$B$5:$B$44,MATCH($D27,الطلاب!$A$5:$A$44,0)),"")</f>
        <v xml:space="preserve">عمار الفضل </v>
      </c>
      <c r="F27" s="40" t="s">
        <v>115</v>
      </c>
      <c r="G27" s="51">
        <v>75</v>
      </c>
      <c r="H27" s="51">
        <v>1</v>
      </c>
      <c r="I27" s="51">
        <v>0</v>
      </c>
      <c r="J27" s="51"/>
      <c r="K27" s="36"/>
      <c r="L27" s="43">
        <f>IF(AND($A27='أفضل 5 طلاب'!$C$3,$B27=الإعدادات!$C$8,$N27=1,ISNUMBER($G27)),$G27*100000+N($H27)*100+N($I27)+(1000-ROW())/10000,0)</f>
        <v>0</v>
      </c>
      <c r="M27" s="43">
        <f>IF(AND($A27='أفضل 5 طلاب'!$C$3,$B27=الإعدادات!$C$9,$N27=1,ISNUMBER($G27)),$G27*100000+N($H27)*100+N($I27)+(1000-ROW())/10000,0)</f>
        <v>0</v>
      </c>
      <c r="N27" s="43">
        <f t="shared" si="0"/>
        <v>1</v>
      </c>
      <c r="O27" s="43">
        <f t="shared" si="2"/>
        <v>75</v>
      </c>
      <c r="P27" s="43">
        <f t="shared" si="1"/>
        <v>1</v>
      </c>
    </row>
    <row r="28" spans="1:16">
      <c r="A28" s="48">
        <v>1</v>
      </c>
      <c r="B28" s="49" t="str">
        <f>IFERROR(INDEX(الطلاب!$C$5:$C$44,MATCH($D28,الطلاب!$A$5:$A$44,0)),"")</f>
        <v>المقرأة الثانية</v>
      </c>
      <c r="C28" s="49" t="str">
        <f>IFERROR(INDEX(الطلاب!$D$5:$D$44,MATCH($D28,الطلاب!$A$5:$A$44,0)),"")</f>
        <v xml:space="preserve">ابن رجب </v>
      </c>
      <c r="D28" s="49">
        <v>24</v>
      </c>
      <c r="E28" s="50" t="str">
        <f>IFERROR(INDEX(الطلاب!$B$5:$B$44,MATCH($D28,الطلاب!$A$5:$A$44,0)),"")</f>
        <v xml:space="preserve">مروان المهوس </v>
      </c>
      <c r="F28" s="40" t="s">
        <v>115</v>
      </c>
      <c r="G28" s="51">
        <v>100</v>
      </c>
      <c r="H28" s="51">
        <v>5</v>
      </c>
      <c r="I28" s="51">
        <v>10</v>
      </c>
      <c r="J28" s="51"/>
      <c r="K28" s="36"/>
      <c r="L28" s="43">
        <f>IF(AND($A28='أفضل 5 طلاب'!$C$3,$B28=الإعدادات!$C$8,$N28=1,ISNUMBER($G28)),$G28*100000+N($H28)*100+N($I28)+(1000-ROW())/10000,0)</f>
        <v>0</v>
      </c>
      <c r="M28" s="43">
        <f>IF(AND($A28='أفضل 5 طلاب'!$C$3,$B28=الإعدادات!$C$9,$N28=1,ISNUMBER($G28)),$G28*100000+N($H28)*100+N($I28)+(1000-ROW())/10000,0)</f>
        <v>0</v>
      </c>
      <c r="N28" s="43">
        <f t="shared" si="0"/>
        <v>1</v>
      </c>
      <c r="O28" s="43">
        <f t="shared" si="2"/>
        <v>100</v>
      </c>
      <c r="P28" s="43">
        <f t="shared" si="1"/>
        <v>1</v>
      </c>
    </row>
    <row r="29" spans="1:16">
      <c r="A29" s="48">
        <v>1</v>
      </c>
      <c r="B29" s="49" t="str">
        <f>IFERROR(INDEX(الطلاب!$C$5:$C$44,MATCH($D29,الطلاب!$A$5:$A$44,0)),"")</f>
        <v>المقرأة الثانية</v>
      </c>
      <c r="C29" s="49" t="str">
        <f>IFERROR(INDEX(الطلاب!$D$5:$D$44,MATCH($D29,الطلاب!$A$5:$A$44,0)),"")</f>
        <v xml:space="preserve">ابن رجب </v>
      </c>
      <c r="D29" s="49">
        <v>25</v>
      </c>
      <c r="E29" s="50" t="str">
        <f>IFERROR(INDEX(الطلاب!$B$5:$B$44,MATCH($D29,الطلاب!$A$5:$A$44,0)),"")</f>
        <v>جهاد الجدعان</v>
      </c>
      <c r="F29" s="40" t="s">
        <v>115</v>
      </c>
      <c r="G29" s="51">
        <v>88</v>
      </c>
      <c r="H29" s="51">
        <v>4</v>
      </c>
      <c r="I29" s="51">
        <v>20</v>
      </c>
      <c r="J29" s="51"/>
      <c r="K29" s="36"/>
      <c r="L29" s="43">
        <f>IF(AND($A29='أفضل 5 طلاب'!$C$3,$B29=الإعدادات!$C$8,$N29=1,ISNUMBER($G29)),$G29*100000+N($H29)*100+N($I29)+(1000-ROW())/10000,0)</f>
        <v>0</v>
      </c>
      <c r="M29" s="43">
        <f>IF(AND($A29='أفضل 5 طلاب'!$C$3,$B29=الإعدادات!$C$9,$N29=1,ISNUMBER($G29)),$G29*100000+N($H29)*100+N($I29)+(1000-ROW())/10000,0)</f>
        <v>0</v>
      </c>
      <c r="N29" s="43">
        <f t="shared" si="0"/>
        <v>1</v>
      </c>
      <c r="O29" s="43">
        <f t="shared" si="2"/>
        <v>88</v>
      </c>
      <c r="P29" s="43">
        <f t="shared" si="1"/>
        <v>1</v>
      </c>
    </row>
    <row r="30" spans="1:16">
      <c r="A30" s="48">
        <v>1</v>
      </c>
      <c r="B30" s="49" t="str">
        <f>IFERROR(INDEX(الطلاب!$C$5:$C$44,MATCH($D30,الطلاب!$A$5:$A$44,0)),"")</f>
        <v>المقرأة الثانية</v>
      </c>
      <c r="C30" s="49" t="str">
        <f>IFERROR(INDEX(الطلاب!$D$5:$D$44,MATCH($D30,الطلاب!$A$5:$A$44,0)),"")</f>
        <v xml:space="preserve">ابن رجب </v>
      </c>
      <c r="D30" s="49">
        <v>26</v>
      </c>
      <c r="E30" s="50" t="str">
        <f>IFERROR(INDEX(الطلاب!$B$5:$B$44,MATCH($D30,الطلاب!$A$5:$A$44,0)),"")</f>
        <v>صلاح مسعد</v>
      </c>
      <c r="F30" s="40" t="s">
        <v>115</v>
      </c>
      <c r="G30" s="51">
        <v>83</v>
      </c>
      <c r="H30" s="51">
        <v>10</v>
      </c>
      <c r="I30" s="51">
        <v>40</v>
      </c>
      <c r="J30" s="51"/>
      <c r="K30" s="36"/>
      <c r="L30" s="43">
        <f>IF(AND($A30='أفضل 5 طلاب'!$C$3,$B30=الإعدادات!$C$8,$N30=1,ISNUMBER($G30)),$G30*100000+N($H30)*100+N($I30)+(1000-ROW())/10000,0)</f>
        <v>0</v>
      </c>
      <c r="M30" s="43">
        <f>IF(AND($A30='أفضل 5 طلاب'!$C$3,$B30=الإعدادات!$C$9,$N30=1,ISNUMBER($G30)),$G30*100000+N($H30)*100+N($I30)+(1000-ROW())/10000,0)</f>
        <v>0</v>
      </c>
      <c r="N30" s="43">
        <f t="shared" si="0"/>
        <v>1</v>
      </c>
      <c r="O30" s="43">
        <f t="shared" si="2"/>
        <v>83</v>
      </c>
      <c r="P30" s="43">
        <f t="shared" si="1"/>
        <v>1</v>
      </c>
    </row>
    <row r="31" spans="1:16">
      <c r="A31" s="48">
        <v>1</v>
      </c>
      <c r="B31" s="49" t="str">
        <f>IFERROR(INDEX(الطلاب!$C$5:$C$44,MATCH($D31,الطلاب!$A$5:$A$44,0)),"")</f>
        <v>المقرأة الثانية</v>
      </c>
      <c r="C31" s="49" t="str">
        <f>IFERROR(INDEX(الطلاب!$D$5:$D$44,MATCH($D31,الطلاب!$A$5:$A$44,0)),"")</f>
        <v xml:space="preserve">ابي بن مالك </v>
      </c>
      <c r="D31" s="49">
        <v>27</v>
      </c>
      <c r="E31" s="50" t="str">
        <f>IFERROR(INDEX(الطلاب!$B$5:$B$44,MATCH($D31,الطلاب!$A$5:$A$44,0)),"")</f>
        <v>سالم بانوير</v>
      </c>
      <c r="F31" s="40" t="s">
        <v>36</v>
      </c>
      <c r="G31" s="51">
        <v>0</v>
      </c>
      <c r="H31" s="51">
        <v>0</v>
      </c>
      <c r="I31" s="51">
        <v>0</v>
      </c>
      <c r="J31" s="51"/>
      <c r="K31" s="36"/>
      <c r="L31" s="43">
        <f>IF(AND($A31='أفضل 5 طلاب'!$C$3,$B31=الإعدادات!$C$8,$N31=1,ISNUMBER($G31)),$G31*100000+N($H31)*100+N($I31)+(1000-ROW())/10000,0)</f>
        <v>0</v>
      </c>
      <c r="M31" s="43">
        <f>IF(AND($A31='أفضل 5 طلاب'!$C$3,$B31=الإعدادات!$C$9,$N31=1,ISNUMBER($G31)),$G31*100000+N($H31)*100+N($I31)+(1000-ROW())/10000,0)</f>
        <v>0</v>
      </c>
      <c r="N31" s="43">
        <f t="shared" si="0"/>
        <v>0</v>
      </c>
      <c r="O31" s="43">
        <f t="shared" si="2"/>
        <v>0</v>
      </c>
      <c r="P31" s="43">
        <f t="shared" si="1"/>
        <v>1</v>
      </c>
    </row>
    <row r="32" spans="1:16">
      <c r="A32" s="48">
        <v>1</v>
      </c>
      <c r="B32" s="49" t="str">
        <f>IFERROR(INDEX(الطلاب!$C$5:$C$44,MATCH($D32,الطلاب!$A$5:$A$44,0)),"")</f>
        <v>المقرأة الثانية</v>
      </c>
      <c r="C32" s="49" t="str">
        <f>IFERROR(INDEX(الطلاب!$D$5:$D$44,MATCH($D32,الطلاب!$A$5:$A$44,0)),"")</f>
        <v xml:space="preserve">ابي بن مالك </v>
      </c>
      <c r="D32" s="49">
        <v>28</v>
      </c>
      <c r="E32" s="50" t="str">
        <f>IFERROR(INDEX(الطلاب!$B$5:$B$44,MATCH($D32,الطلاب!$A$5:$A$44,0)),"")</f>
        <v xml:space="preserve">عبدالعزيز الصقعبي </v>
      </c>
      <c r="F32" s="40" t="s">
        <v>115</v>
      </c>
      <c r="G32" s="51">
        <v>75</v>
      </c>
      <c r="H32" s="51">
        <v>1</v>
      </c>
      <c r="I32" s="51">
        <v>0</v>
      </c>
      <c r="J32" s="51"/>
      <c r="K32" s="36"/>
      <c r="L32" s="43">
        <f>IF(AND($A32='أفضل 5 طلاب'!$C$3,$B32=الإعدادات!$C$8,$N32=1,ISNUMBER($G32)),$G32*100000+N($H32)*100+N($I32)+(1000-ROW())/10000,0)</f>
        <v>0</v>
      </c>
      <c r="M32" s="43">
        <f>IF(AND($A32='أفضل 5 طلاب'!$C$3,$B32=الإعدادات!$C$9,$N32=1,ISNUMBER($G32)),$G32*100000+N($H32)*100+N($I32)+(1000-ROW())/10000,0)</f>
        <v>0</v>
      </c>
      <c r="N32" s="43">
        <f t="shared" si="0"/>
        <v>1</v>
      </c>
      <c r="O32" s="43">
        <f t="shared" si="2"/>
        <v>75</v>
      </c>
      <c r="P32" s="43">
        <f t="shared" si="1"/>
        <v>1</v>
      </c>
    </row>
    <row r="33" spans="1:16">
      <c r="A33" s="48">
        <v>1</v>
      </c>
      <c r="B33" s="49" t="str">
        <f>IFERROR(INDEX(الطلاب!$C$5:$C$44,MATCH($D33,الطلاب!$A$5:$A$44,0)),"")</f>
        <v>المقرأة الثانية</v>
      </c>
      <c r="C33" s="49" t="str">
        <f>IFERROR(INDEX(الطلاب!$D$5:$D$44,MATCH($D33,الطلاب!$A$5:$A$44,0)),"")</f>
        <v xml:space="preserve">ابي بن مالك </v>
      </c>
      <c r="D33" s="49">
        <v>29</v>
      </c>
      <c r="E33" s="50" t="str">
        <f>IFERROR(INDEX(الطلاب!$B$5:$B$44,MATCH($D33,الطلاب!$A$5:$A$44,0)),"")</f>
        <v xml:space="preserve">عبدالله المجيدل </v>
      </c>
      <c r="F33" s="40" t="s">
        <v>115</v>
      </c>
      <c r="G33" s="51">
        <v>97</v>
      </c>
      <c r="H33" s="51">
        <v>1</v>
      </c>
      <c r="I33" s="51">
        <v>10</v>
      </c>
      <c r="J33" s="51"/>
      <c r="K33" s="36"/>
      <c r="L33" s="43">
        <f>IF(AND($A33='أفضل 5 طلاب'!$C$3,$B33=الإعدادات!$C$8,$N33=1,ISNUMBER($G33)),$G33*100000+N($H33)*100+N($I33)+(1000-ROW())/10000,0)</f>
        <v>0</v>
      </c>
      <c r="M33" s="43">
        <f>IF(AND($A33='أفضل 5 طلاب'!$C$3,$B33=الإعدادات!$C$9,$N33=1,ISNUMBER($G33)),$G33*100000+N($H33)*100+N($I33)+(1000-ROW())/10000,0)</f>
        <v>0</v>
      </c>
      <c r="N33" s="43">
        <f t="shared" si="0"/>
        <v>1</v>
      </c>
      <c r="O33" s="43">
        <f t="shared" si="2"/>
        <v>97</v>
      </c>
      <c r="P33" s="43">
        <f t="shared" si="1"/>
        <v>1</v>
      </c>
    </row>
    <row r="34" spans="1:16">
      <c r="A34" s="48">
        <v>1</v>
      </c>
      <c r="B34" s="49" t="str">
        <f>IFERROR(INDEX(الطلاب!$C$5:$C$44,MATCH($D34,الطلاب!$A$5:$A$44,0)),"")</f>
        <v>المقرأة الثانية</v>
      </c>
      <c r="C34" s="49" t="str">
        <f>IFERROR(INDEX(الطلاب!$D$5:$D$44,MATCH($D34,الطلاب!$A$5:$A$44,0)),"")</f>
        <v xml:space="preserve">ابي بن مالك </v>
      </c>
      <c r="D34" s="49">
        <v>30</v>
      </c>
      <c r="E34" s="50" t="str">
        <f>IFERROR(INDEX(الطلاب!$B$5:$B$44,MATCH($D34,الطلاب!$A$5:$A$44,0)),"")</f>
        <v>فواز الشدوخي</v>
      </c>
      <c r="F34" s="40" t="s">
        <v>115</v>
      </c>
      <c r="G34" s="51">
        <v>85</v>
      </c>
      <c r="H34" s="51">
        <v>5</v>
      </c>
      <c r="I34" s="51">
        <v>30</v>
      </c>
      <c r="J34" s="51"/>
      <c r="K34" s="36"/>
      <c r="L34" s="43">
        <f>IF(AND($A34='أفضل 5 طلاب'!$C$3,$B34=الإعدادات!$C$8,$N34=1,ISNUMBER($G34)),$G34*100000+N($H34)*100+N($I34)+(1000-ROW())/10000,0)</f>
        <v>0</v>
      </c>
      <c r="M34" s="43">
        <f>IF(AND($A34='أفضل 5 طلاب'!$C$3,$B34=الإعدادات!$C$9,$N34=1,ISNUMBER($G34)),$G34*100000+N($H34)*100+N($I34)+(1000-ROW())/10000,0)</f>
        <v>0</v>
      </c>
      <c r="N34" s="43">
        <f t="shared" si="0"/>
        <v>1</v>
      </c>
      <c r="O34" s="43">
        <f t="shared" si="2"/>
        <v>85</v>
      </c>
      <c r="P34" s="43">
        <f t="shared" si="1"/>
        <v>1</v>
      </c>
    </row>
    <row r="35" spans="1:16">
      <c r="A35" s="48">
        <v>1</v>
      </c>
      <c r="B35" s="49" t="str">
        <f>IFERROR(INDEX(الطلاب!$C$5:$C$44,MATCH($D35,الطلاب!$A$5:$A$44,0)),"")</f>
        <v>المقرأة الثانية</v>
      </c>
      <c r="C35" s="49" t="str">
        <f>IFERROR(INDEX(الطلاب!$D$5:$D$44,MATCH($D35,الطلاب!$A$5:$A$44,0)),"")</f>
        <v xml:space="preserve">ابي بن مالك </v>
      </c>
      <c r="D35" s="49">
        <v>31</v>
      </c>
      <c r="E35" s="50" t="str">
        <f>IFERROR(INDEX(الطلاب!$B$5:$B$44,MATCH($D35,الطلاب!$A$5:$A$44,0)),"")</f>
        <v>محمد الطامي</v>
      </c>
      <c r="F35" s="40" t="s">
        <v>115</v>
      </c>
      <c r="G35" s="51">
        <v>92</v>
      </c>
      <c r="H35" s="51">
        <v>3</v>
      </c>
      <c r="I35" s="51">
        <v>30</v>
      </c>
      <c r="J35" s="51"/>
      <c r="K35" s="36"/>
      <c r="L35" s="43">
        <f>IF(AND($A35='أفضل 5 طلاب'!$C$3,$B35=الإعدادات!$C$8,$N35=1,ISNUMBER($G35)),$G35*100000+N($H35)*100+N($I35)+(1000-ROW())/10000,0)</f>
        <v>0</v>
      </c>
      <c r="M35" s="43">
        <f>IF(AND($A35='أفضل 5 طلاب'!$C$3,$B35=الإعدادات!$C$9,$N35=1,ISNUMBER($G35)),$G35*100000+N($H35)*100+N($I35)+(1000-ROW())/10000,0)</f>
        <v>0</v>
      </c>
      <c r="N35" s="43">
        <f t="shared" si="0"/>
        <v>1</v>
      </c>
      <c r="O35" s="43">
        <f t="shared" si="2"/>
        <v>92</v>
      </c>
      <c r="P35" s="43">
        <f t="shared" si="1"/>
        <v>1</v>
      </c>
    </row>
    <row r="36" spans="1:16">
      <c r="A36" s="48">
        <v>1</v>
      </c>
      <c r="B36" s="49" t="str">
        <f>IFERROR(INDEX(الطلاب!$C$5:$C$44,MATCH($D36,الطلاب!$A$5:$A$44,0)),"")</f>
        <v>المقرأة الثانية</v>
      </c>
      <c r="C36" s="49" t="str">
        <f>IFERROR(INDEX(الطلاب!$D$5:$D$44,MATCH($D36,الطلاب!$A$5:$A$44,0)),"")</f>
        <v xml:space="preserve">ابي بن مالك </v>
      </c>
      <c r="D36" s="49">
        <v>32</v>
      </c>
      <c r="E36" s="50" t="str">
        <f>IFERROR(INDEX(الطلاب!$B$5:$B$44,MATCH($D36,الطلاب!$A$5:$A$44,0)),"")</f>
        <v xml:space="preserve">مهند الغماس </v>
      </c>
      <c r="F36" s="40" t="s">
        <v>115</v>
      </c>
      <c r="G36" s="51">
        <v>60</v>
      </c>
      <c r="H36" s="51">
        <v>1</v>
      </c>
      <c r="I36" s="51">
        <v>30</v>
      </c>
      <c r="J36" s="51"/>
      <c r="K36" s="36"/>
      <c r="L36" s="43">
        <f>IF(AND($A36='أفضل 5 طلاب'!$C$3,$B36=الإعدادات!$C$8,$N36=1,ISNUMBER($G36)),$G36*100000+N($H36)*100+N($I36)+(1000-ROW())/10000,0)</f>
        <v>0</v>
      </c>
      <c r="M36" s="43">
        <f>IF(AND($A36='أفضل 5 طلاب'!$C$3,$B36=الإعدادات!$C$9,$N36=1,ISNUMBER($G36)),$G36*100000+N($H36)*100+N($I36)+(1000-ROW())/10000,0)</f>
        <v>0</v>
      </c>
      <c r="N36" s="43">
        <f t="shared" si="0"/>
        <v>1</v>
      </c>
      <c r="O36" s="43">
        <f t="shared" si="2"/>
        <v>60</v>
      </c>
      <c r="P36" s="43">
        <f t="shared" si="1"/>
        <v>1</v>
      </c>
    </row>
    <row r="37" spans="1:16">
      <c r="A37" s="48">
        <v>1</v>
      </c>
      <c r="B37" s="49" t="str">
        <f>IFERROR(INDEX(الطلاب!$C$5:$C$44,MATCH($D37,الطلاب!$A$5:$A$44,0)),"")</f>
        <v>المقرأة الثانية</v>
      </c>
      <c r="C37" s="49" t="str">
        <f>IFERROR(INDEX(الطلاب!$D$5:$D$44,MATCH($D37,الطلاب!$A$5:$A$44,0)),"")</f>
        <v xml:space="preserve">ابي بن مالك </v>
      </c>
      <c r="D37" s="49">
        <v>33</v>
      </c>
      <c r="E37" s="50" t="str">
        <f>IFERROR(INDEX(الطلاب!$B$5:$B$44,MATCH($D37,الطلاب!$A$5:$A$44,0)),"")</f>
        <v>يوسف الحربي</v>
      </c>
      <c r="F37" s="40" t="s">
        <v>36</v>
      </c>
      <c r="G37" s="51">
        <v>0</v>
      </c>
      <c r="H37" s="51">
        <v>0</v>
      </c>
      <c r="I37" s="51">
        <v>0</v>
      </c>
      <c r="J37" s="51"/>
      <c r="K37" s="36"/>
      <c r="L37" s="43">
        <f>IF(AND($A37='أفضل 5 طلاب'!$C$3,$B37=الإعدادات!$C$8,$N37=1,ISNUMBER($G37)),$G37*100000+N($H37)*100+N($I37)+(1000-ROW())/10000,0)</f>
        <v>0</v>
      </c>
      <c r="M37" s="43">
        <f>IF(AND($A37='أفضل 5 طلاب'!$C$3,$B37=الإعدادات!$C$9,$N37=1,ISNUMBER($G37)),$G37*100000+N($H37)*100+N($I37)+(1000-ROW())/10000,0)</f>
        <v>0</v>
      </c>
      <c r="N37" s="43">
        <f t="shared" si="0"/>
        <v>0</v>
      </c>
      <c r="O37" s="43">
        <f t="shared" si="2"/>
        <v>0</v>
      </c>
      <c r="P37" s="43">
        <f t="shared" si="1"/>
        <v>1</v>
      </c>
    </row>
    <row r="38" spans="1:16">
      <c r="A38" s="48">
        <v>1</v>
      </c>
      <c r="B38" s="49" t="str">
        <f>IFERROR(INDEX(الطلاب!$C$5:$C$44,MATCH($D38,الطلاب!$A$5:$A$44,0)),"")</f>
        <v>المقرأة الثانية</v>
      </c>
      <c r="C38" s="49" t="str">
        <f>IFERROR(INDEX(الطلاب!$D$5:$D$44,MATCH($D38,الطلاب!$A$5:$A$44,0)),"")</f>
        <v xml:space="preserve">ابي بن مالك </v>
      </c>
      <c r="D38" s="49">
        <v>34</v>
      </c>
      <c r="E38" s="50" t="str">
        <f>IFERROR(INDEX(الطلاب!$B$5:$B$44,MATCH($D38,الطلاب!$A$5:$A$44,0)),"")</f>
        <v xml:space="preserve">عدي الفريح </v>
      </c>
      <c r="F38" s="40" t="s">
        <v>36</v>
      </c>
      <c r="G38" s="51">
        <v>0</v>
      </c>
      <c r="H38" s="51">
        <v>0</v>
      </c>
      <c r="I38" s="51">
        <v>0</v>
      </c>
      <c r="J38" s="51"/>
      <c r="K38" s="36"/>
      <c r="L38" s="43">
        <f>IF(AND($A38='أفضل 5 طلاب'!$C$3,$B38=الإعدادات!$C$8,$N38=1,ISNUMBER($G38)),$G38*100000+N($H38)*100+N($I38)+(1000-ROW())/10000,0)</f>
        <v>0</v>
      </c>
      <c r="M38" s="43">
        <f>IF(AND($A38='أفضل 5 طلاب'!$C$3,$B38=الإعدادات!$C$9,$N38=1,ISNUMBER($G38)),$G38*100000+N($H38)*100+N($I38)+(1000-ROW())/10000,0)</f>
        <v>0</v>
      </c>
      <c r="N38" s="43">
        <f t="shared" si="0"/>
        <v>0</v>
      </c>
      <c r="O38" s="43">
        <f t="shared" si="2"/>
        <v>0</v>
      </c>
      <c r="P38" s="43">
        <f t="shared" si="1"/>
        <v>1</v>
      </c>
    </row>
    <row r="39" spans="1:16">
      <c r="A39" s="48">
        <v>1</v>
      </c>
      <c r="B39" s="49" t="str">
        <f>IFERROR(INDEX(الطلاب!$C$5:$C$44,MATCH($D39,الطلاب!$A$5:$A$44,0)),"")</f>
        <v>المقرأة الثانية</v>
      </c>
      <c r="C39" s="49" t="str">
        <f>IFERROR(INDEX(الطلاب!$D$5:$D$44,MATCH($D39,الطلاب!$A$5:$A$44,0)),"")</f>
        <v xml:space="preserve">ابي بن مالك </v>
      </c>
      <c r="D39" s="49">
        <v>35</v>
      </c>
      <c r="E39" s="50" t="str">
        <f>IFERROR(INDEX(الطلاب!$B$5:$B$44,MATCH($D39,الطلاب!$A$5:$A$44,0)),"")</f>
        <v xml:space="preserve">عبدالله الفايزي </v>
      </c>
      <c r="F39" s="40" t="s">
        <v>115</v>
      </c>
      <c r="G39" s="51">
        <v>60</v>
      </c>
      <c r="H39" s="51">
        <v>0</v>
      </c>
      <c r="I39" s="51">
        <v>20</v>
      </c>
      <c r="J39" s="51"/>
      <c r="K39" s="36"/>
      <c r="L39" s="43">
        <f>IF(AND($A39='أفضل 5 طلاب'!$C$3,$B39=الإعدادات!$C$8,$N39=1,ISNUMBER($G39)),$G39*100000+N($H39)*100+N($I39)+(1000-ROW())/10000,0)</f>
        <v>0</v>
      </c>
      <c r="M39" s="43">
        <f>IF(AND($A39='أفضل 5 طلاب'!$C$3,$B39=الإعدادات!$C$9,$N39=1,ISNUMBER($G39)),$G39*100000+N($H39)*100+N($I39)+(1000-ROW())/10000,0)</f>
        <v>0</v>
      </c>
      <c r="N39" s="43">
        <f t="shared" si="0"/>
        <v>1</v>
      </c>
      <c r="O39" s="43">
        <f t="shared" si="2"/>
        <v>60</v>
      </c>
      <c r="P39" s="43">
        <f t="shared" si="1"/>
        <v>1</v>
      </c>
    </row>
    <row r="40" spans="1:16">
      <c r="A40" s="48">
        <v>1</v>
      </c>
      <c r="B40" s="49">
        <f>IFERROR(INDEX(الطلاب!$C$5:$C$44,MATCH($D40,الطلاب!$A$5:$A$44,0)),"")</f>
        <v>0</v>
      </c>
      <c r="C40" s="49">
        <f>IFERROR(INDEX(الطلاب!$D$5:$D$44,MATCH($D40,الطلاب!$A$5:$A$44,0)),"")</f>
        <v>0</v>
      </c>
      <c r="D40" s="49">
        <v>36</v>
      </c>
      <c r="E40" s="50" t="str">
        <f>IFERROR(INDEX(الطلاب!$B$5:$B$44,MATCH($D40,الطلاب!$A$5:$A$44,0)),"")</f>
        <v xml:space="preserve">عزام الحسن </v>
      </c>
      <c r="F40" s="40"/>
      <c r="G40" s="51"/>
      <c r="H40" s="51"/>
      <c r="I40" s="51"/>
      <c r="J40" s="51"/>
      <c r="K40" s="36"/>
      <c r="L40" s="43">
        <f>IF(AND($A40='أفضل 5 طلاب'!$C$3,$B40=الإعدادات!$C$8,$N40=1,ISNUMBER($G40)),$G40*100000+N($H40)*100+N($I40)+(1000-ROW())/10000,0)</f>
        <v>0</v>
      </c>
      <c r="M40" s="43">
        <f>IF(AND($A40='أفضل 5 طلاب'!$C$3,$B40=الإعدادات!$C$9,$N40=1,ISNUMBER($G40)),$G40*100000+N($H40)*100+N($I40)+(1000-ROW())/10000,0)</f>
        <v>0</v>
      </c>
      <c r="N40" s="43">
        <f t="shared" si="0"/>
        <v>0</v>
      </c>
      <c r="O40" s="43" t="str">
        <f>IF(OR($N40=1,$F40="معتذر",$F40="غائب"),IF(ISNUMBER($G40),$G40,IF($N40=1,"",0)),"")</f>
        <v/>
      </c>
      <c r="P40" s="43">
        <f t="shared" si="1"/>
        <v>0</v>
      </c>
    </row>
    <row r="41" spans="1:16">
      <c r="A41" s="48">
        <v>1</v>
      </c>
      <c r="B41" s="49" t="str">
        <f>IFERROR(INDEX(الطلاب!$C$5:$C$44,MATCH($D41,الطلاب!$A$5:$A$44,0)),"")</f>
        <v>المقرأة الأولى</v>
      </c>
      <c r="C41" s="49" t="str">
        <f>IFERROR(INDEX(الطلاب!$D$5:$D$44,MATCH($D41,الطلاب!$A$5:$A$44,0)),"")</f>
        <v xml:space="preserve">عبدالرحمن بن النعمان </v>
      </c>
      <c r="D41" s="49">
        <v>37</v>
      </c>
      <c r="E41" s="50" t="str">
        <f>IFERROR(INDEX(الطلاب!$B$5:$B$44,MATCH($D41,الطلاب!$A$5:$A$44,0)),"")</f>
        <v xml:space="preserve">أسامة السعوي </v>
      </c>
      <c r="F41" s="40"/>
      <c r="G41" s="51"/>
      <c r="H41" s="51"/>
      <c r="I41" s="51"/>
      <c r="J41" s="40"/>
      <c r="K41" s="36"/>
      <c r="L41" s="43">
        <f>IF(AND($A41='أفضل 5 طلاب'!$C$3,$B41=الإعدادات!$C$8,$N41=1,ISNUMBER($G41)),$G41*100000+N($H41)*100+N($I41)+(1000-ROW())/10000,0)</f>
        <v>0</v>
      </c>
      <c r="M41" s="43">
        <f>IF(AND($A41='أفضل 5 طلاب'!$C$3,$B41=الإعدادات!$C$9,$N41=1,ISNUMBER($G41)),$G41*100000+N($H41)*100+N($I41)+(1000-ROW())/10000,0)</f>
        <v>0</v>
      </c>
      <c r="N41" s="43">
        <f t="shared" si="0"/>
        <v>0</v>
      </c>
      <c r="O41" s="43" t="str">
        <f>IF(OR($N41=1,$F41="معتذر",$F41="غائب"),IF(ISNUMBER($G41),$G41,IF($N41=1,"",0)),"")</f>
        <v/>
      </c>
      <c r="P41" s="43">
        <f t="shared" si="1"/>
        <v>0</v>
      </c>
    </row>
    <row r="42" spans="1:16">
      <c r="A42" s="48">
        <v>1</v>
      </c>
      <c r="B42" s="49" t="str">
        <f>IFERROR(INDEX(الطلاب!$C$5:$C$44,MATCH($D42,الطلاب!$A$5:$A$44,0)),"")</f>
        <v>المقرأة الأولى</v>
      </c>
      <c r="C42" s="49" t="str">
        <f>IFERROR(INDEX(الطلاب!$D$5:$D$44,MATCH($D42,الطلاب!$A$5:$A$44,0)),"")</f>
        <v xml:space="preserve">حسان بن ثابت </v>
      </c>
      <c r="D42" s="49">
        <v>38</v>
      </c>
      <c r="E42" s="50" t="str">
        <f>IFERROR(INDEX(الطلاب!$B$5:$B$44,MATCH($D42,الطلاب!$A$5:$A$44,0)),"")</f>
        <v xml:space="preserve">عاصم الضالع </v>
      </c>
      <c r="F42" s="40"/>
      <c r="G42" s="40"/>
      <c r="H42" s="40"/>
      <c r="I42" s="40"/>
      <c r="J42" s="40"/>
      <c r="K42" s="36"/>
      <c r="L42" s="43">
        <f>IF(AND($A42='أفضل 5 طلاب'!$C$3,$B42=الإعدادات!$C$8,$N42=1,ISNUMBER($G42)),$G42*100000+N($H42)*100+N($I42)+(1000-ROW())/10000,0)</f>
        <v>0</v>
      </c>
      <c r="M42" s="43">
        <f>IF(AND($A42='أفضل 5 طلاب'!$C$3,$B42=الإعدادات!$C$9,$N42=1,ISNUMBER($G42)),$G42*100000+N($H42)*100+N($I42)+(1000-ROW())/10000,0)</f>
        <v>0</v>
      </c>
      <c r="N42" s="43">
        <f t="shared" si="0"/>
        <v>0</v>
      </c>
      <c r="O42" s="43" t="str">
        <f t="shared" si="2"/>
        <v/>
      </c>
      <c r="P42" s="43">
        <f t="shared" si="1"/>
        <v>0</v>
      </c>
    </row>
    <row r="43" spans="1:16">
      <c r="A43" s="48">
        <v>1</v>
      </c>
      <c r="B43" s="49">
        <f>IFERROR(INDEX(الطلاب!$C$5:$C$44,MATCH($D43,الطلاب!$A$5:$A$44,0)),"")</f>
        <v>0</v>
      </c>
      <c r="C43" s="49">
        <f>IFERROR(INDEX(الطلاب!$D$5:$D$44,MATCH($D43,الطلاب!$A$5:$A$44,0)),"")</f>
        <v>0</v>
      </c>
      <c r="D43" s="49">
        <v>39</v>
      </c>
      <c r="E43" s="50">
        <f>IFERROR(INDEX(الطلاب!$B$5:$B$44,MATCH($D43,الطلاب!$A$5:$A$44,0)),"")</f>
        <v>0</v>
      </c>
      <c r="F43" s="40"/>
      <c r="G43" s="40"/>
      <c r="H43" s="40"/>
      <c r="I43" s="40"/>
      <c r="J43" s="40"/>
      <c r="K43" s="36"/>
      <c r="L43" s="43">
        <f>IF(AND($A43='أفضل 5 طلاب'!$C$3,$B43=الإعدادات!$C$8,$N43=1,ISNUMBER($G43)),$G43*100000+N($H43)*100+N($I43)+(1000-ROW())/10000,0)</f>
        <v>0</v>
      </c>
      <c r="M43" s="43">
        <f>IF(AND($A43='أفضل 5 طلاب'!$C$3,$B43=الإعدادات!$C$9,$N43=1,ISNUMBER($G43)),$G43*100000+N($H43)*100+N($I43)+(1000-ROW())/10000,0)</f>
        <v>0</v>
      </c>
      <c r="N43" s="43">
        <f t="shared" si="0"/>
        <v>0</v>
      </c>
      <c r="O43" s="43" t="str">
        <f t="shared" si="2"/>
        <v/>
      </c>
      <c r="P43" s="43">
        <f t="shared" si="1"/>
        <v>0</v>
      </c>
    </row>
    <row r="44" spans="1:16" ht="15.95" thickBot="1">
      <c r="A44" s="48">
        <v>1</v>
      </c>
      <c r="B44" s="49">
        <f>IFERROR(INDEX(الطلاب!$C$5:$C$44,MATCH($D44,الطلاب!$A$5:$A$44,0)),"")</f>
        <v>0</v>
      </c>
      <c r="C44" s="49">
        <f>IFERROR(INDEX(الطلاب!$D$5:$D$44,MATCH($D44,الطلاب!$A$5:$A$44,0)),"")</f>
        <v>0</v>
      </c>
      <c r="D44" s="49">
        <v>40</v>
      </c>
      <c r="E44" s="50">
        <f>IFERROR(INDEX(الطلاب!$B$5:$B$44,MATCH($D44,الطلاب!$A$5:$A$44,0)),"")</f>
        <v>0</v>
      </c>
      <c r="F44" s="40"/>
      <c r="G44" s="40"/>
      <c r="H44" s="40"/>
      <c r="I44" s="40"/>
      <c r="J44" s="40"/>
      <c r="K44" s="36"/>
      <c r="L44" s="43">
        <f>IF(AND($A44='أفضل 5 طلاب'!$C$3,$B44=الإعدادات!$C$8,$N44=1,ISNUMBER($G44)),$G44*100000+N($H44)*100+N($I44)+(1000-ROW())/10000,0)</f>
        <v>0</v>
      </c>
      <c r="M44" s="43">
        <f>IF(AND($A44='أفضل 5 طلاب'!$C$3,$B44=الإعدادات!$C$9,$N44=1,ISNUMBER($G44)),$G44*100000+N($H44)*100+N($I44)+(1000-ROW())/10000,0)</f>
        <v>0</v>
      </c>
      <c r="N44" s="43">
        <f t="shared" si="0"/>
        <v>0</v>
      </c>
      <c r="O44" s="43" t="str">
        <f t="shared" si="2"/>
        <v/>
      </c>
      <c r="P44" s="43">
        <f t="shared" si="1"/>
        <v>0</v>
      </c>
    </row>
    <row r="45" spans="1:16">
      <c r="A45" s="52">
        <v>2</v>
      </c>
      <c r="B45" s="54" t="str">
        <f>IFERROR(INDEX(الطلاب!$C$5:$C$44,MATCH($D45,الطلاب!$A$5:$A$44,0)),"")</f>
        <v>المقرأة الأولى</v>
      </c>
      <c r="C45" s="54" t="str">
        <f>IFERROR(INDEX(الطلاب!$D$5:$D$44,MATCH($D45,الطلاب!$A$5:$A$44,0)),"")</f>
        <v xml:space="preserve">عبدالرحمن بن النعمان </v>
      </c>
      <c r="D45" s="54">
        <v>1</v>
      </c>
      <c r="E45" s="56" t="str">
        <f>IFERROR(INDEX(الطلاب!$B$5:$B$44,MATCH($D45,الطلاب!$A$5:$A$44,0)),"")</f>
        <v>غسان اليحيى</v>
      </c>
      <c r="F45" s="47" t="s">
        <v>115</v>
      </c>
      <c r="G45" s="162">
        <v>93</v>
      </c>
      <c r="H45" s="162">
        <v>6</v>
      </c>
      <c r="I45" s="162">
        <v>40</v>
      </c>
      <c r="J45" s="47"/>
      <c r="K45" s="36"/>
      <c r="L45" s="43">
        <f>IF(AND($A45='أفضل 5 طلاب'!$C$3,$B45=الإعدادات!$C$8,$N45=1,ISNUMBER($G45)),$G45*100000+N($H45)*100+N($I45)+(1000-ROW())/10000,0)</f>
        <v>9300640.0954999998</v>
      </c>
      <c r="M45" s="43">
        <f>IF(AND($A45='أفضل 5 طلاب'!$C$3,$B45=الإعدادات!$C$9,$N45=1,ISNUMBER($G45)),$G45*100000+N($H45)*100+N($I45)+(1000-ROW())/10000,0)</f>
        <v>0</v>
      </c>
      <c r="N45" s="43">
        <f t="shared" si="0"/>
        <v>1</v>
      </c>
      <c r="O45" s="43">
        <f t="shared" si="2"/>
        <v>93</v>
      </c>
      <c r="P45" s="43">
        <f t="shared" si="1"/>
        <v>1</v>
      </c>
    </row>
    <row r="46" spans="1:16">
      <c r="A46" s="58">
        <v>2</v>
      </c>
      <c r="B46" s="59" t="str">
        <f>IFERROR(INDEX(الطلاب!$C$5:$C$44,MATCH($D46,الطلاب!$A$5:$A$44,0)),"")</f>
        <v>المقرأة الأولى</v>
      </c>
      <c r="C46" s="59" t="str">
        <f>IFERROR(INDEX(الطلاب!$D$5:$D$44,MATCH($D46,الطلاب!$A$5:$A$44,0)),"")</f>
        <v xml:space="preserve">عبدالرحمن بن النعمان </v>
      </c>
      <c r="D46" s="59">
        <v>2</v>
      </c>
      <c r="E46" s="60" t="str">
        <f>IFERROR(INDEX(الطلاب!$B$5:$B$44,MATCH($D46,الطلاب!$A$5:$A$44,0)),"")</f>
        <v xml:space="preserve">صالح الشريف </v>
      </c>
      <c r="F46" s="40" t="s">
        <v>115</v>
      </c>
      <c r="G46" s="51">
        <v>87</v>
      </c>
      <c r="H46" s="51">
        <v>1</v>
      </c>
      <c r="I46" s="51">
        <v>30</v>
      </c>
      <c r="J46" s="40"/>
      <c r="K46" s="36"/>
      <c r="L46" s="43">
        <f>IF(AND($A46='أفضل 5 طلاب'!$C$3,$B46=الإعدادات!$C$8,$N46=1,ISNUMBER($G46)),$G46*100000+N($H46)*100+N($I46)+(1000-ROW())/10000,0)</f>
        <v>8700130.0954</v>
      </c>
      <c r="M46" s="43">
        <f>IF(AND($A46='أفضل 5 طلاب'!$C$3,$B46=الإعدادات!$C$9,$N46=1,ISNUMBER($G46)),$G46*100000+N($H46)*100+N($I46)+(1000-ROW())/10000,0)</f>
        <v>0</v>
      </c>
      <c r="N46" s="43">
        <f t="shared" si="0"/>
        <v>1</v>
      </c>
      <c r="O46" s="43">
        <f t="shared" si="2"/>
        <v>87</v>
      </c>
      <c r="P46" s="43">
        <f t="shared" si="1"/>
        <v>1</v>
      </c>
    </row>
    <row r="47" spans="1:16">
      <c r="A47" s="58">
        <v>2</v>
      </c>
      <c r="B47" s="59" t="str">
        <f>IFERROR(INDEX(الطلاب!$C$5:$C$44,MATCH($D47,الطلاب!$A$5:$A$44,0)),"")</f>
        <v>المقرأة الأولى</v>
      </c>
      <c r="C47" s="59" t="str">
        <f>IFERROR(INDEX(الطلاب!$D$5:$D$44,MATCH($D47,الطلاب!$A$5:$A$44,0)),"")</f>
        <v xml:space="preserve">عبدالرحمن بن النعمان </v>
      </c>
      <c r="D47" s="59">
        <v>3</v>
      </c>
      <c r="E47" s="60" t="str">
        <f>IFERROR(INDEX(الطلاب!$B$5:$B$44,MATCH($D47,الطلاب!$A$5:$A$44,0)),"")</f>
        <v xml:space="preserve">فهد المشيقح </v>
      </c>
      <c r="F47" s="40" t="s">
        <v>115</v>
      </c>
      <c r="G47" s="51">
        <v>99</v>
      </c>
      <c r="H47" s="51">
        <v>4</v>
      </c>
      <c r="I47" s="51">
        <v>30</v>
      </c>
      <c r="J47" s="40"/>
      <c r="K47" s="36"/>
      <c r="L47" s="43">
        <f>IF(AND($A47='أفضل 5 طلاب'!$C$3,$B47=الإعدادات!$C$8,$N47=1,ISNUMBER($G47)),$G47*100000+N($H47)*100+N($I47)+(1000-ROW())/10000,0)</f>
        <v>9900430.0953000002</v>
      </c>
      <c r="M47" s="43">
        <f>IF(AND($A47='أفضل 5 طلاب'!$C$3,$B47=الإعدادات!$C$9,$N47=1,ISNUMBER($G47)),$G47*100000+N($H47)*100+N($I47)+(1000-ROW())/10000,0)</f>
        <v>0</v>
      </c>
      <c r="N47" s="43">
        <f t="shared" si="0"/>
        <v>1</v>
      </c>
      <c r="O47" s="43">
        <f t="shared" si="2"/>
        <v>99</v>
      </c>
      <c r="P47" s="43">
        <f t="shared" si="1"/>
        <v>1</v>
      </c>
    </row>
    <row r="48" spans="1:16">
      <c r="A48" s="58">
        <v>2</v>
      </c>
      <c r="B48" s="59" t="str">
        <f>IFERROR(INDEX(الطلاب!$C$5:$C$44,MATCH($D48,الطلاب!$A$5:$A$44,0)),"")</f>
        <v>المقرأة الأولى</v>
      </c>
      <c r="C48" s="59" t="str">
        <f>IFERROR(INDEX(الطلاب!$D$5:$D$44,MATCH($D48,الطلاب!$A$5:$A$44,0)),"")</f>
        <v xml:space="preserve">عبدالرحمن بن النعمان </v>
      </c>
      <c r="D48" s="59">
        <v>4</v>
      </c>
      <c r="E48" s="60" t="str">
        <f>IFERROR(INDEX(الطلاب!$B$5:$B$44,MATCH($D48,الطلاب!$A$5:$A$44,0)),"")</f>
        <v>عبدالله الحفير</v>
      </c>
      <c r="F48" s="40" t="s">
        <v>115</v>
      </c>
      <c r="G48" s="51">
        <v>100</v>
      </c>
      <c r="H48" s="51">
        <v>4</v>
      </c>
      <c r="I48" s="51">
        <v>28</v>
      </c>
      <c r="J48" s="40"/>
      <c r="K48" s="36"/>
      <c r="L48" s="43">
        <f>IF(AND($A48='أفضل 5 طلاب'!$C$3,$B48=الإعدادات!$C$8,$N48=1,ISNUMBER($G48)),$G48*100000+N($H48)*100+N($I48)+(1000-ROW())/10000,0)</f>
        <v>10000428.0952</v>
      </c>
      <c r="M48" s="43">
        <f>IF(AND($A48='أفضل 5 طلاب'!$C$3,$B48=الإعدادات!$C$9,$N48=1,ISNUMBER($G48)),$G48*100000+N($H48)*100+N($I48)+(1000-ROW())/10000,0)</f>
        <v>0</v>
      </c>
      <c r="N48" s="43">
        <f t="shared" si="0"/>
        <v>1</v>
      </c>
      <c r="O48" s="43">
        <f t="shared" si="2"/>
        <v>100</v>
      </c>
      <c r="P48" s="43">
        <f t="shared" si="1"/>
        <v>1</v>
      </c>
    </row>
    <row r="49" spans="1:16">
      <c r="A49" s="58">
        <v>2</v>
      </c>
      <c r="B49" s="59" t="str">
        <f>IFERROR(INDEX(الطلاب!$C$5:$C$44,MATCH($D49,الطلاب!$A$5:$A$44,0)),"")</f>
        <v>المقرأة الأولى</v>
      </c>
      <c r="C49" s="59" t="str">
        <f>IFERROR(INDEX(الطلاب!$D$5:$D$44,MATCH($D49,الطلاب!$A$5:$A$44,0)),"")</f>
        <v xml:space="preserve">عبدالرحمن بن النعمان </v>
      </c>
      <c r="D49" s="59">
        <v>5</v>
      </c>
      <c r="E49" s="60" t="str">
        <f>IFERROR(INDEX(الطلاب!$B$5:$B$44,MATCH($D49,الطلاب!$A$5:$A$44,0)),"")</f>
        <v>زياد الدخيل الله</v>
      </c>
      <c r="F49" s="40" t="s">
        <v>115</v>
      </c>
      <c r="G49" s="51">
        <v>87</v>
      </c>
      <c r="H49" s="51">
        <v>3</v>
      </c>
      <c r="I49" s="51">
        <v>40</v>
      </c>
      <c r="J49" s="40"/>
      <c r="K49" s="36"/>
      <c r="L49" s="43">
        <f>IF(AND($A49='أفضل 5 طلاب'!$C$3,$B49=الإعدادات!$C$8,$N49=1,ISNUMBER($G49)),$G49*100000+N($H49)*100+N($I49)+(1000-ROW())/10000,0)</f>
        <v>8700340.0951000005</v>
      </c>
      <c r="M49" s="43">
        <f>IF(AND($A49='أفضل 5 طلاب'!$C$3,$B49=الإعدادات!$C$9,$N49=1,ISNUMBER($G49)),$G49*100000+N($H49)*100+N($I49)+(1000-ROW())/10000,0)</f>
        <v>0</v>
      </c>
      <c r="N49" s="43">
        <f t="shared" si="0"/>
        <v>1</v>
      </c>
      <c r="O49" s="43">
        <f t="shared" si="2"/>
        <v>87</v>
      </c>
      <c r="P49" s="43">
        <f t="shared" si="1"/>
        <v>1</v>
      </c>
    </row>
    <row r="50" spans="1:16">
      <c r="A50" s="58">
        <v>2</v>
      </c>
      <c r="B50" s="59" t="str">
        <f>IFERROR(INDEX(الطلاب!$C$5:$C$44,MATCH($D50,الطلاب!$A$5:$A$44,0)),"")</f>
        <v>المقرأة الأولى</v>
      </c>
      <c r="C50" s="59" t="str">
        <f>IFERROR(INDEX(الطلاب!$D$5:$D$44,MATCH($D50,الطلاب!$A$5:$A$44,0)),"")</f>
        <v xml:space="preserve">ابن رجب </v>
      </c>
      <c r="D50" s="59">
        <v>6</v>
      </c>
      <c r="E50" s="60" t="str">
        <f>IFERROR(INDEX(الطلاب!$B$5:$B$44,MATCH($D50,الطلاب!$A$5:$A$44,0)),"")</f>
        <v xml:space="preserve">عاصم الضبيعي </v>
      </c>
      <c r="F50" s="40" t="s">
        <v>115</v>
      </c>
      <c r="G50" s="51">
        <v>91</v>
      </c>
      <c r="H50" s="51">
        <v>3</v>
      </c>
      <c r="I50" s="51">
        <v>20</v>
      </c>
      <c r="J50" s="40"/>
      <c r="K50" s="36"/>
      <c r="L50" s="43">
        <f>IF(AND($A50='أفضل 5 طلاب'!$C$3,$B50=الإعدادات!$C$8,$N50=1,ISNUMBER($G50)),$G50*100000+N($H50)*100+N($I50)+(1000-ROW())/10000,0)</f>
        <v>9100320.0950000007</v>
      </c>
      <c r="M50" s="43">
        <f>IF(AND($A50='أفضل 5 طلاب'!$C$3,$B50=الإعدادات!$C$9,$N50=1,ISNUMBER($G50)),$G50*100000+N($H50)*100+N($I50)+(1000-ROW())/10000,0)</f>
        <v>0</v>
      </c>
      <c r="N50" s="43">
        <f t="shared" si="0"/>
        <v>1</v>
      </c>
      <c r="O50" s="43">
        <f t="shared" si="2"/>
        <v>91</v>
      </c>
      <c r="P50" s="43">
        <f t="shared" si="1"/>
        <v>1</v>
      </c>
    </row>
    <row r="51" spans="1:16">
      <c r="A51" s="58">
        <v>2</v>
      </c>
      <c r="B51" s="59" t="str">
        <f>IFERROR(INDEX(الطلاب!$C$5:$C$44,MATCH($D51,الطلاب!$A$5:$A$44,0)),"")</f>
        <v>المقرأة الأولى</v>
      </c>
      <c r="C51" s="59" t="str">
        <f>IFERROR(INDEX(الطلاب!$D$5:$D$44,MATCH($D51,الطلاب!$A$5:$A$44,0)),"")</f>
        <v xml:space="preserve">ابن رجب </v>
      </c>
      <c r="D51" s="59">
        <v>7</v>
      </c>
      <c r="E51" s="60" t="str">
        <f>IFERROR(INDEX(الطلاب!$B$5:$B$44,MATCH($D51,الطلاب!$A$5:$A$44,0)),"")</f>
        <v>محمد السعوي</v>
      </c>
      <c r="F51" s="40" t="s">
        <v>115</v>
      </c>
      <c r="G51" s="51">
        <v>71</v>
      </c>
      <c r="H51" s="51">
        <v>0</v>
      </c>
      <c r="I51" s="51">
        <v>40</v>
      </c>
      <c r="J51" s="40"/>
      <c r="K51" s="36"/>
      <c r="L51" s="43">
        <f>IF(AND($A51='أفضل 5 طلاب'!$C$3,$B51=الإعدادات!$C$8,$N51=1,ISNUMBER($G51)),$G51*100000+N($H51)*100+N($I51)+(1000-ROW())/10000,0)</f>
        <v>7100040.0948999999</v>
      </c>
      <c r="M51" s="43">
        <f>IF(AND($A51='أفضل 5 طلاب'!$C$3,$B51=الإعدادات!$C$9,$N51=1,ISNUMBER($G51)),$G51*100000+N($H51)*100+N($I51)+(1000-ROW())/10000,0)</f>
        <v>0</v>
      </c>
      <c r="N51" s="43">
        <f t="shared" si="0"/>
        <v>1</v>
      </c>
      <c r="O51" s="43">
        <f t="shared" si="2"/>
        <v>71</v>
      </c>
      <c r="P51" s="43">
        <f t="shared" si="1"/>
        <v>1</v>
      </c>
    </row>
    <row r="52" spans="1:16">
      <c r="A52" s="58">
        <v>2</v>
      </c>
      <c r="B52" s="59" t="str">
        <f>IFERROR(INDEX(الطلاب!$C$5:$C$44,MATCH($D52,الطلاب!$A$5:$A$44,0)),"")</f>
        <v>المقرأة الأولى</v>
      </c>
      <c r="C52" s="59" t="str">
        <f>IFERROR(INDEX(الطلاب!$D$5:$D$44,MATCH($D52,الطلاب!$A$5:$A$44,0)),"")</f>
        <v xml:space="preserve">ابن رجب </v>
      </c>
      <c r="D52" s="59">
        <v>8</v>
      </c>
      <c r="E52" s="60" t="str">
        <f>IFERROR(INDEX(الطلاب!$B$5:$B$44,MATCH($D52,الطلاب!$A$5:$A$44,0)),"")</f>
        <v>هشام المخلف</v>
      </c>
      <c r="F52" s="40" t="s">
        <v>115</v>
      </c>
      <c r="G52" s="51">
        <v>93</v>
      </c>
      <c r="H52" s="51">
        <v>2</v>
      </c>
      <c r="I52" s="51">
        <v>20</v>
      </c>
      <c r="J52" s="40"/>
      <c r="K52" s="36"/>
      <c r="L52" s="43">
        <f>IF(AND($A52='أفضل 5 طلاب'!$C$3,$B52=الإعدادات!$C$8,$N52=1,ISNUMBER($G52)),$G52*100000+N($H52)*100+N($I52)+(1000-ROW())/10000,0)</f>
        <v>9300220.0947999991</v>
      </c>
      <c r="M52" s="43">
        <f>IF(AND($A52='أفضل 5 طلاب'!$C$3,$B52=الإعدادات!$C$9,$N52=1,ISNUMBER($G52)),$G52*100000+N($H52)*100+N($I52)+(1000-ROW())/10000,0)</f>
        <v>0</v>
      </c>
      <c r="N52" s="43">
        <f t="shared" si="0"/>
        <v>1</v>
      </c>
      <c r="O52" s="43">
        <f t="shared" si="2"/>
        <v>93</v>
      </c>
      <c r="P52" s="43">
        <f t="shared" si="1"/>
        <v>1</v>
      </c>
    </row>
    <row r="53" spans="1:16">
      <c r="A53" s="58">
        <v>2</v>
      </c>
      <c r="B53" s="59" t="str">
        <f>IFERROR(INDEX(الطلاب!$C$5:$C$44,MATCH($D53,الطلاب!$A$5:$A$44,0)),"")</f>
        <v>المقرأة الأولى</v>
      </c>
      <c r="C53" s="59" t="str">
        <f>IFERROR(INDEX(الطلاب!$D$5:$D$44,MATCH($D53,الطلاب!$A$5:$A$44,0)),"")</f>
        <v xml:space="preserve">ابن رجب </v>
      </c>
      <c r="D53" s="59">
        <v>9</v>
      </c>
      <c r="E53" s="60" t="str">
        <f>IFERROR(INDEX(الطلاب!$B$5:$B$44,MATCH($D53,الطلاب!$A$5:$A$44,0)),"")</f>
        <v xml:space="preserve">اسامة السعدون </v>
      </c>
      <c r="F53" s="40" t="s">
        <v>36</v>
      </c>
      <c r="G53" s="51">
        <v>15</v>
      </c>
      <c r="H53" s="40"/>
      <c r="I53" s="40"/>
      <c r="J53" s="40"/>
      <c r="K53" s="36"/>
      <c r="L53" s="43">
        <f>IF(AND($A53='أفضل 5 طلاب'!$C$3,$B53=الإعدادات!$C$8,$N53=1,ISNUMBER($G53)),$G53*100000+N($H53)*100+N($I53)+(1000-ROW())/10000,0)</f>
        <v>0</v>
      </c>
      <c r="M53" s="43">
        <f>IF(AND($A53='أفضل 5 طلاب'!$C$3,$B53=الإعدادات!$C$9,$N53=1,ISNUMBER($G53)),$G53*100000+N($H53)*100+N($I53)+(1000-ROW())/10000,0)</f>
        <v>0</v>
      </c>
      <c r="N53" s="43">
        <f t="shared" si="0"/>
        <v>0</v>
      </c>
      <c r="O53" s="43">
        <f t="shared" si="2"/>
        <v>15</v>
      </c>
      <c r="P53" s="43">
        <f t="shared" si="1"/>
        <v>1</v>
      </c>
    </row>
    <row r="54" spans="1:16">
      <c r="A54" s="58">
        <v>2</v>
      </c>
      <c r="B54" s="59" t="str">
        <f>IFERROR(INDEX(الطلاب!$C$5:$C$44,MATCH($D54,الطلاب!$A$5:$A$44,0)),"")</f>
        <v>المقرأة الأولى</v>
      </c>
      <c r="C54" s="59" t="str">
        <f>IFERROR(INDEX(الطلاب!$D$5:$D$44,MATCH($D54,الطلاب!$A$5:$A$44,0)),"")</f>
        <v xml:space="preserve">حسان بن ثابت </v>
      </c>
      <c r="D54" s="59">
        <v>10</v>
      </c>
      <c r="E54" s="60" t="str">
        <f>IFERROR(INDEX(الطلاب!$B$5:$B$44,MATCH($D54,الطلاب!$A$5:$A$44,0)),"")</f>
        <v xml:space="preserve">محمد الثنيان </v>
      </c>
      <c r="F54" s="40" t="s">
        <v>115</v>
      </c>
      <c r="G54" s="51">
        <v>99</v>
      </c>
      <c r="H54" s="51">
        <v>3</v>
      </c>
      <c r="I54" s="51">
        <v>8</v>
      </c>
      <c r="J54" s="40"/>
      <c r="K54" s="36"/>
      <c r="L54" s="43">
        <f>IF(AND($A54='أفضل 5 طلاب'!$C$3,$B54=الإعدادات!$C$8,$N54=1,ISNUMBER($G54)),$G54*100000+N($H54)*100+N($I54)+(1000-ROW())/10000,0)</f>
        <v>9900308.0945999995</v>
      </c>
      <c r="M54" s="43">
        <f>IF(AND($A54='أفضل 5 طلاب'!$C$3,$B54=الإعدادات!$C$9,$N54=1,ISNUMBER($G54)),$G54*100000+N($H54)*100+N($I54)+(1000-ROW())/10000,0)</f>
        <v>0</v>
      </c>
      <c r="N54" s="43">
        <f t="shared" si="0"/>
        <v>1</v>
      </c>
      <c r="O54" s="43">
        <f t="shared" si="2"/>
        <v>99</v>
      </c>
      <c r="P54" s="43">
        <f t="shared" si="1"/>
        <v>1</v>
      </c>
    </row>
    <row r="55" spans="1:16">
      <c r="A55" s="58">
        <v>2</v>
      </c>
      <c r="B55" s="59" t="str">
        <f>IFERROR(INDEX(الطلاب!$C$5:$C$44,MATCH($D55,الطلاب!$A$5:$A$44,0)),"")</f>
        <v>المقرأة الأولى</v>
      </c>
      <c r="C55" s="59" t="str">
        <f>IFERROR(INDEX(الطلاب!$D$5:$D$44,MATCH($D55,الطلاب!$A$5:$A$44,0)),"")</f>
        <v xml:space="preserve">حسان بن ثابت </v>
      </c>
      <c r="D55" s="59">
        <v>11</v>
      </c>
      <c r="E55" s="60" t="str">
        <f>IFERROR(INDEX(الطلاب!$B$5:$B$44,MATCH($D55,الطلاب!$A$5:$A$44,0)),"")</f>
        <v xml:space="preserve">كنان الجريفاني </v>
      </c>
      <c r="F55" s="40" t="s">
        <v>115</v>
      </c>
      <c r="G55" s="51">
        <v>99</v>
      </c>
      <c r="H55" s="51">
        <v>3</v>
      </c>
      <c r="I55" s="51">
        <v>17</v>
      </c>
      <c r="J55" s="40"/>
      <c r="K55" s="36"/>
      <c r="L55" s="43">
        <f>IF(AND($A55='أفضل 5 طلاب'!$C$3,$B55=الإعدادات!$C$8,$N55=1,ISNUMBER($G55)),$G55*100000+N($H55)*100+N($I55)+(1000-ROW())/10000,0)</f>
        <v>9900317.0944999997</v>
      </c>
      <c r="M55" s="43">
        <f>IF(AND($A55='أفضل 5 طلاب'!$C$3,$B55=الإعدادات!$C$9,$N55=1,ISNUMBER($G55)),$G55*100000+N($H55)*100+N($I55)+(1000-ROW())/10000,0)</f>
        <v>0</v>
      </c>
      <c r="N55" s="43">
        <f t="shared" si="0"/>
        <v>1</v>
      </c>
      <c r="O55" s="43">
        <f t="shared" si="2"/>
        <v>99</v>
      </c>
      <c r="P55" s="43">
        <f t="shared" si="1"/>
        <v>1</v>
      </c>
    </row>
    <row r="56" spans="1:16">
      <c r="A56" s="58">
        <v>2</v>
      </c>
      <c r="B56" s="59" t="str">
        <f>IFERROR(INDEX(الطلاب!$C$5:$C$44,MATCH($D56,الطلاب!$A$5:$A$44,0)),"")</f>
        <v>المقرأة الأولى</v>
      </c>
      <c r="C56" s="59" t="str">
        <f>IFERROR(INDEX(الطلاب!$D$5:$D$44,MATCH($D56,الطلاب!$A$5:$A$44,0)),"")</f>
        <v xml:space="preserve">حسان بن ثابت </v>
      </c>
      <c r="D56" s="59">
        <v>12</v>
      </c>
      <c r="E56" s="60" t="str">
        <f>IFERROR(INDEX(الطلاب!$B$5:$B$44,MATCH($D56,الطلاب!$A$5:$A$44,0)),"")</f>
        <v xml:space="preserve">عبدالمجيد الربعي </v>
      </c>
      <c r="F56" s="40" t="s">
        <v>115</v>
      </c>
      <c r="G56" s="51">
        <v>70</v>
      </c>
      <c r="H56" s="51">
        <v>5</v>
      </c>
      <c r="I56" s="51">
        <v>40</v>
      </c>
      <c r="J56" s="40"/>
      <c r="K56" s="36"/>
      <c r="L56" s="43">
        <f>IF(AND($A56='أفضل 5 طلاب'!$C$3,$B56=الإعدادات!$C$8,$N56=1,ISNUMBER($G56)),$G56*100000+N($H56)*100+N($I56)+(1000-ROW())/10000,0)</f>
        <v>7000540.0943999998</v>
      </c>
      <c r="M56" s="43">
        <f>IF(AND($A56='أفضل 5 طلاب'!$C$3,$B56=الإعدادات!$C$9,$N56=1,ISNUMBER($G56)),$G56*100000+N($H56)*100+N($I56)+(1000-ROW())/10000,0)</f>
        <v>0</v>
      </c>
      <c r="N56" s="43">
        <f t="shared" si="0"/>
        <v>1</v>
      </c>
      <c r="O56" s="43">
        <f t="shared" si="2"/>
        <v>70</v>
      </c>
      <c r="P56" s="43">
        <f t="shared" si="1"/>
        <v>1</v>
      </c>
    </row>
    <row r="57" spans="1:16">
      <c r="A57" s="58">
        <v>2</v>
      </c>
      <c r="B57" s="59" t="str">
        <f>IFERROR(INDEX(الطلاب!$C$5:$C$44,MATCH($D57,الطلاب!$A$5:$A$44,0)),"")</f>
        <v>المقرأة الأولى</v>
      </c>
      <c r="C57" s="59" t="str">
        <f>IFERROR(INDEX(الطلاب!$D$5:$D$44,MATCH($D57,الطلاب!$A$5:$A$44,0)),"")</f>
        <v xml:space="preserve">حسان بن ثابت </v>
      </c>
      <c r="D57" s="59">
        <v>13</v>
      </c>
      <c r="E57" s="60" t="str">
        <f>IFERROR(INDEX(الطلاب!$B$5:$B$44,MATCH($D57,الطلاب!$A$5:$A$44,0)),"")</f>
        <v xml:space="preserve">عبدالله التويجري </v>
      </c>
      <c r="F57" s="40" t="s">
        <v>36</v>
      </c>
      <c r="G57" s="51">
        <v>15</v>
      </c>
      <c r="H57" s="40"/>
      <c r="I57" s="40"/>
      <c r="J57" s="40"/>
      <c r="K57" s="36"/>
      <c r="L57" s="43">
        <f>IF(AND($A57='أفضل 5 طلاب'!$C$3,$B57=الإعدادات!$C$8,$N57=1,ISNUMBER($G57)),$G57*100000+N($H57)*100+N($I57)+(1000-ROW())/10000,0)</f>
        <v>0</v>
      </c>
      <c r="M57" s="43">
        <f>IF(AND($A57='أفضل 5 طلاب'!$C$3,$B57=الإعدادات!$C$9,$N57=1,ISNUMBER($G57)),$G57*100000+N($H57)*100+N($I57)+(1000-ROW())/10000,0)</f>
        <v>0</v>
      </c>
      <c r="N57" s="43">
        <f t="shared" si="0"/>
        <v>0</v>
      </c>
      <c r="O57" s="43">
        <f t="shared" si="2"/>
        <v>15</v>
      </c>
      <c r="P57" s="43">
        <f t="shared" si="1"/>
        <v>1</v>
      </c>
    </row>
    <row r="58" spans="1:16">
      <c r="A58" s="58">
        <v>2</v>
      </c>
      <c r="B58" s="59" t="str">
        <f>IFERROR(INDEX(الطلاب!$C$5:$C$44,MATCH($D58,الطلاب!$A$5:$A$44,0)),"")</f>
        <v>المقرأة الأولى</v>
      </c>
      <c r="C58" s="59" t="str">
        <f>IFERROR(INDEX(الطلاب!$D$5:$D$44,MATCH($D58,الطلاب!$A$5:$A$44,0)),"")</f>
        <v xml:space="preserve">حسان بن ثابت </v>
      </c>
      <c r="D58" s="59">
        <v>14</v>
      </c>
      <c r="E58" s="60" t="str">
        <f>IFERROR(INDEX(الطلاب!$B$5:$B$44,MATCH($D58,الطلاب!$A$5:$A$44,0)),"")</f>
        <v xml:space="preserve">حسام التويجري </v>
      </c>
      <c r="F58" s="40" t="s">
        <v>36</v>
      </c>
      <c r="G58" s="51">
        <v>48</v>
      </c>
      <c r="H58" s="51">
        <v>0</v>
      </c>
      <c r="I58" s="51">
        <v>40</v>
      </c>
      <c r="J58" s="40"/>
      <c r="K58" s="36"/>
      <c r="L58" s="43">
        <f>IF(AND($A58='أفضل 5 طلاب'!$C$3,$B58=الإعدادات!$C$8,$N58=1,ISNUMBER($G58)),$G58*100000+N($H58)*100+N($I58)+(1000-ROW())/10000,0)</f>
        <v>0</v>
      </c>
      <c r="M58" s="43">
        <f>IF(AND($A58='أفضل 5 طلاب'!$C$3,$B58=الإعدادات!$C$9,$N58=1,ISNUMBER($G58)),$G58*100000+N($H58)*100+N($I58)+(1000-ROW())/10000,0)</f>
        <v>0</v>
      </c>
      <c r="N58" s="43">
        <f t="shared" si="0"/>
        <v>0</v>
      </c>
      <c r="O58" s="43">
        <f t="shared" si="2"/>
        <v>48</v>
      </c>
      <c r="P58" s="43">
        <f t="shared" si="1"/>
        <v>1</v>
      </c>
    </row>
    <row r="59" spans="1:16">
      <c r="A59" s="58">
        <v>2</v>
      </c>
      <c r="B59" s="59" t="str">
        <f>IFERROR(INDEX(الطلاب!$C$5:$C$44,MATCH($D59,الطلاب!$A$5:$A$44,0)),"")</f>
        <v>المقرأة الأولى</v>
      </c>
      <c r="C59" s="59" t="str">
        <f>IFERROR(INDEX(الطلاب!$D$5:$D$44,MATCH($D59,الطلاب!$A$5:$A$44,0)),"")</f>
        <v xml:space="preserve">حسان بن ثابت </v>
      </c>
      <c r="D59" s="59">
        <v>15</v>
      </c>
      <c r="E59" s="60" t="str">
        <f>IFERROR(INDEX(الطلاب!$B$5:$B$44,MATCH($D59,الطلاب!$A$5:$A$44,0)),"")</f>
        <v xml:space="preserve">عبدالرحمن البريدي </v>
      </c>
      <c r="F59" s="40" t="s">
        <v>36</v>
      </c>
      <c r="G59" s="51">
        <v>62</v>
      </c>
      <c r="H59" s="51">
        <v>4</v>
      </c>
      <c r="I59" s="51">
        <v>20</v>
      </c>
      <c r="J59" s="40"/>
      <c r="K59" s="36"/>
      <c r="L59" s="43">
        <f>IF(AND($A59='أفضل 5 طلاب'!$C$3,$B59=الإعدادات!$C$8,$N59=1,ISNUMBER($G59)),$G59*100000+N($H59)*100+N($I59)+(1000-ROW())/10000,0)</f>
        <v>0</v>
      </c>
      <c r="M59" s="43">
        <f>IF(AND($A59='أفضل 5 طلاب'!$C$3,$B59=الإعدادات!$C$9,$N59=1,ISNUMBER($G59)),$G59*100000+N($H59)*100+N($I59)+(1000-ROW())/10000,0)</f>
        <v>0</v>
      </c>
      <c r="N59" s="43">
        <f t="shared" si="0"/>
        <v>0</v>
      </c>
      <c r="O59" s="43">
        <f t="shared" si="2"/>
        <v>62</v>
      </c>
      <c r="P59" s="43">
        <f t="shared" si="1"/>
        <v>1</v>
      </c>
    </row>
    <row r="60" spans="1:16">
      <c r="A60" s="58">
        <v>2</v>
      </c>
      <c r="B60" s="59" t="str">
        <f>IFERROR(INDEX(الطلاب!$C$5:$C$44,MATCH($D60,الطلاب!$A$5:$A$44,0)),"")</f>
        <v>المقرأة الأولى</v>
      </c>
      <c r="C60" s="59" t="str">
        <f>IFERROR(INDEX(الطلاب!$D$5:$D$44,MATCH($D60,الطلاب!$A$5:$A$44,0)),"")</f>
        <v xml:space="preserve">حسان بن ثابت </v>
      </c>
      <c r="D60" s="59">
        <v>16</v>
      </c>
      <c r="E60" s="60" t="str">
        <f>IFERROR(INDEX(الطلاب!$B$5:$B$44,MATCH($D60,الطلاب!$A$5:$A$44,0)),"")</f>
        <v>عبدالرحمن بازرعة</v>
      </c>
      <c r="F60" s="40" t="s">
        <v>115</v>
      </c>
      <c r="G60" s="51">
        <v>87</v>
      </c>
      <c r="H60" s="51">
        <v>7</v>
      </c>
      <c r="I60" s="51">
        <v>15</v>
      </c>
      <c r="J60" s="40"/>
      <c r="K60" s="36"/>
      <c r="L60" s="43">
        <f>IF(AND($A60='أفضل 5 طلاب'!$C$3,$B60=الإعدادات!$C$8,$N60=1,ISNUMBER($G60)),$G60*100000+N($H60)*100+N($I60)+(1000-ROW())/10000,0)</f>
        <v>8700715.0940000005</v>
      </c>
      <c r="M60" s="43">
        <f>IF(AND($A60='أفضل 5 طلاب'!$C$3,$B60=الإعدادات!$C$9,$N60=1,ISNUMBER($G60)),$G60*100000+N($H60)*100+N($I60)+(1000-ROW())/10000,0)</f>
        <v>0</v>
      </c>
      <c r="N60" s="43">
        <f t="shared" si="0"/>
        <v>1</v>
      </c>
      <c r="O60" s="43">
        <f t="shared" si="2"/>
        <v>87</v>
      </c>
      <c r="P60" s="43">
        <f t="shared" si="1"/>
        <v>1</v>
      </c>
    </row>
    <row r="61" spans="1:16">
      <c r="A61" s="58">
        <v>2</v>
      </c>
      <c r="B61" s="59" t="str">
        <f>IFERROR(INDEX(الطلاب!$C$5:$C$44,MATCH($D61,الطلاب!$A$5:$A$44,0)),"")</f>
        <v>المقرأة الأولى</v>
      </c>
      <c r="C61" s="59" t="str">
        <f>IFERROR(INDEX(الطلاب!$D$5:$D$44,MATCH($D61,الطلاب!$A$5:$A$44,0)),"")</f>
        <v xml:space="preserve">حسان بن ثابت </v>
      </c>
      <c r="D61" s="59">
        <v>17</v>
      </c>
      <c r="E61" s="60" t="str">
        <f>IFERROR(INDEX(الطلاب!$B$5:$B$44,MATCH($D61,الطلاب!$A$5:$A$44,0)),"")</f>
        <v xml:space="preserve">عبدالله الضحيان </v>
      </c>
      <c r="F61" s="40" t="s">
        <v>115</v>
      </c>
      <c r="G61" s="51">
        <v>84</v>
      </c>
      <c r="H61" s="51">
        <v>3</v>
      </c>
      <c r="I61" s="51">
        <v>40</v>
      </c>
      <c r="J61" s="40"/>
      <c r="K61" s="36"/>
      <c r="L61" s="43">
        <f>IF(AND($A61='أفضل 5 طلاب'!$C$3,$B61=الإعدادات!$C$8,$N61=1,ISNUMBER($G61)),$G61*100000+N($H61)*100+N($I61)+(1000-ROW())/10000,0)</f>
        <v>8400340.0939000007</v>
      </c>
      <c r="M61" s="43">
        <f>IF(AND($A61='أفضل 5 طلاب'!$C$3,$B61=الإعدادات!$C$9,$N61=1,ISNUMBER($G61)),$G61*100000+N($H61)*100+N($I61)+(1000-ROW())/10000,0)</f>
        <v>0</v>
      </c>
      <c r="N61" s="43">
        <f t="shared" si="0"/>
        <v>1</v>
      </c>
      <c r="O61" s="43">
        <f t="shared" si="2"/>
        <v>84</v>
      </c>
      <c r="P61" s="43">
        <f t="shared" si="1"/>
        <v>1</v>
      </c>
    </row>
    <row r="62" spans="1:16">
      <c r="A62" s="58">
        <v>2</v>
      </c>
      <c r="B62" s="59" t="str">
        <f>IFERROR(INDEX(الطلاب!$C$5:$C$44,MATCH($D62,الطلاب!$A$5:$A$44,0)),"")</f>
        <v>المقرأة الأولى</v>
      </c>
      <c r="C62" s="59" t="str">
        <f>IFERROR(INDEX(الطلاب!$D$5:$D$44,MATCH($D62,الطلاب!$A$5:$A$44,0)),"")</f>
        <v xml:space="preserve">حسان بن ثابت </v>
      </c>
      <c r="D62" s="59">
        <v>18</v>
      </c>
      <c r="E62" s="60" t="str">
        <f>IFERROR(INDEX(الطلاب!$B$5:$B$44,MATCH($D62,الطلاب!$A$5:$A$44,0)),"")</f>
        <v xml:space="preserve">فيصل الدخيل </v>
      </c>
      <c r="F62" s="40" t="s">
        <v>115</v>
      </c>
      <c r="G62" s="51">
        <v>94</v>
      </c>
      <c r="H62" s="51">
        <v>4</v>
      </c>
      <c r="I62" s="51">
        <v>10</v>
      </c>
      <c r="J62" s="40"/>
      <c r="K62" s="36"/>
      <c r="L62" s="43">
        <f>IF(AND($A62='أفضل 5 طلاب'!$C$3,$B62=الإعدادات!$C$8,$N62=1,ISNUMBER($G62)),$G62*100000+N($H62)*100+N($I62)+(1000-ROW())/10000,0)</f>
        <v>9400410.0938000008</v>
      </c>
      <c r="M62" s="43">
        <f>IF(AND($A62='أفضل 5 طلاب'!$C$3,$B62=الإعدادات!$C$9,$N62=1,ISNUMBER($G62)),$G62*100000+N($H62)*100+N($I62)+(1000-ROW())/10000,0)</f>
        <v>0</v>
      </c>
      <c r="N62" s="43">
        <f t="shared" si="0"/>
        <v>1</v>
      </c>
      <c r="O62" s="43">
        <f t="shared" si="2"/>
        <v>94</v>
      </c>
      <c r="P62" s="43">
        <f t="shared" si="1"/>
        <v>1</v>
      </c>
    </row>
    <row r="63" spans="1:16">
      <c r="A63" s="58">
        <v>2</v>
      </c>
      <c r="B63" s="59" t="str">
        <f>IFERROR(INDEX(الطلاب!$C$5:$C$44,MATCH($D63,الطلاب!$A$5:$A$44,0)),"")</f>
        <v>المقرأة الأولى</v>
      </c>
      <c r="C63" s="59" t="str">
        <f>IFERROR(INDEX(الطلاب!$D$5:$D$44,MATCH($D63,الطلاب!$A$5:$A$44,0)),"")</f>
        <v xml:space="preserve">حسان بن ثابت </v>
      </c>
      <c r="D63" s="59">
        <v>19</v>
      </c>
      <c r="E63" s="60" t="str">
        <f>IFERROR(INDEX(الطلاب!$B$5:$B$44,MATCH($D63,الطلاب!$A$5:$A$44,0)),"")</f>
        <v xml:space="preserve">سليمان المحيميد </v>
      </c>
      <c r="F63" s="40" t="s">
        <v>36</v>
      </c>
      <c r="G63" s="51">
        <v>62</v>
      </c>
      <c r="H63" s="51">
        <v>0</v>
      </c>
      <c r="I63" s="51">
        <v>20</v>
      </c>
      <c r="J63" s="40"/>
      <c r="K63" s="36"/>
      <c r="L63" s="43">
        <f>IF(AND($A63='أفضل 5 طلاب'!$C$3,$B63=الإعدادات!$C$8,$N63=1,ISNUMBER($G63)),$G63*100000+N($H63)*100+N($I63)+(1000-ROW())/10000,0)</f>
        <v>0</v>
      </c>
      <c r="M63" s="43">
        <f>IF(AND($A63='أفضل 5 طلاب'!$C$3,$B63=الإعدادات!$C$9,$N63=1,ISNUMBER($G63)),$G63*100000+N($H63)*100+N($I63)+(1000-ROW())/10000,0)</f>
        <v>0</v>
      </c>
      <c r="N63" s="43">
        <f t="shared" si="0"/>
        <v>0</v>
      </c>
      <c r="O63" s="43">
        <f t="shared" si="2"/>
        <v>62</v>
      </c>
      <c r="P63" s="43">
        <f t="shared" si="1"/>
        <v>1</v>
      </c>
    </row>
    <row r="64" spans="1:16">
      <c r="A64" s="58">
        <v>2</v>
      </c>
      <c r="B64" s="59" t="str">
        <f>IFERROR(INDEX(الطلاب!$C$5:$C$44,MATCH($D64,الطلاب!$A$5:$A$44,0)),"")</f>
        <v>المقرأة الثانية</v>
      </c>
      <c r="C64" s="59" t="str">
        <f>IFERROR(INDEX(الطلاب!$D$5:$D$44,MATCH($D64,الطلاب!$A$5:$A$44,0)),"")</f>
        <v xml:space="preserve">ابن رجب </v>
      </c>
      <c r="D64" s="59">
        <v>20</v>
      </c>
      <c r="E64" s="60" t="str">
        <f>IFERROR(INDEX(الطلاب!$B$5:$B$44,MATCH($D64,الطلاب!$A$5:$A$44,0)),"")</f>
        <v xml:space="preserve">اصيل التويجري </v>
      </c>
      <c r="F64" s="40" t="s">
        <v>34</v>
      </c>
      <c r="G64" s="51"/>
      <c r="H64" s="40"/>
      <c r="I64" s="40"/>
      <c r="J64" s="40"/>
      <c r="K64" s="36"/>
      <c r="L64" s="43">
        <f>IF(AND($A64='أفضل 5 طلاب'!$C$3,$B64=الإعدادات!$C$8,$N64=1,ISNUMBER($G64)),$G64*100000+N($H64)*100+N($I64)+(1000-ROW())/10000,0)</f>
        <v>0</v>
      </c>
      <c r="M64" s="43">
        <f>IF(AND($A64='أفضل 5 طلاب'!$C$3,$B64=الإعدادات!$C$9,$N64=1,ISNUMBER($G64)),$G64*100000+N($H64)*100+N($I64)+(1000-ROW())/10000,0)</f>
        <v>0</v>
      </c>
      <c r="N64" s="43">
        <f t="shared" si="0"/>
        <v>0</v>
      </c>
      <c r="O64" s="43">
        <f t="shared" si="2"/>
        <v>0</v>
      </c>
      <c r="P64" s="43">
        <f t="shared" si="1"/>
        <v>1</v>
      </c>
    </row>
    <row r="65" spans="1:16">
      <c r="A65" s="58">
        <v>2</v>
      </c>
      <c r="B65" s="59" t="str">
        <f>IFERROR(INDEX(الطلاب!$C$5:$C$44,MATCH($D65,الطلاب!$A$5:$A$44,0)),"")</f>
        <v>المقرأة الثانية</v>
      </c>
      <c r="C65" s="59" t="str">
        <f>IFERROR(INDEX(الطلاب!$D$5:$D$44,MATCH($D65,الطلاب!$A$5:$A$44,0)),"")</f>
        <v xml:space="preserve">ابن رجب </v>
      </c>
      <c r="D65" s="59">
        <v>21</v>
      </c>
      <c r="E65" s="60" t="str">
        <f>IFERROR(INDEX(الطلاب!$B$5:$B$44,MATCH($D65,الطلاب!$A$5:$A$44,0)),"")</f>
        <v xml:space="preserve">جواد الرفيعي </v>
      </c>
      <c r="F65" s="40" t="s">
        <v>115</v>
      </c>
      <c r="G65" s="51">
        <v>92</v>
      </c>
      <c r="H65" s="51">
        <v>2</v>
      </c>
      <c r="I65" s="51">
        <v>18</v>
      </c>
      <c r="J65" s="40"/>
      <c r="K65" s="36"/>
      <c r="L65" s="43">
        <f>IF(AND($A65='أفضل 5 طلاب'!$C$3,$B65=الإعدادات!$C$8,$N65=1,ISNUMBER($G65)),$G65*100000+N($H65)*100+N($I65)+(1000-ROW())/10000,0)</f>
        <v>0</v>
      </c>
      <c r="M65" s="43">
        <f>IF(AND($A65='أفضل 5 طلاب'!$C$3,$B65=الإعدادات!$C$9,$N65=1,ISNUMBER($G65)),$G65*100000+N($H65)*100+N($I65)+(1000-ROW())/10000,0)</f>
        <v>9200218.0934999995</v>
      </c>
      <c r="N65" s="43">
        <f t="shared" si="0"/>
        <v>1</v>
      </c>
      <c r="O65" s="43">
        <f t="shared" si="2"/>
        <v>92</v>
      </c>
      <c r="P65" s="43">
        <f t="shared" si="1"/>
        <v>1</v>
      </c>
    </row>
    <row r="66" spans="1:16">
      <c r="A66" s="58">
        <v>2</v>
      </c>
      <c r="B66" s="59" t="str">
        <f>IFERROR(INDEX(الطلاب!$C$5:$C$44,MATCH($D66,الطلاب!$A$5:$A$44,0)),"")</f>
        <v>المقرأة الثانية</v>
      </c>
      <c r="C66" s="59" t="str">
        <f>IFERROR(INDEX(الطلاب!$D$5:$D$44,MATCH($D66,الطلاب!$A$5:$A$44,0)),"")</f>
        <v xml:space="preserve">ابن رجب </v>
      </c>
      <c r="D66" s="59">
        <v>22</v>
      </c>
      <c r="E66" s="60" t="str">
        <f>IFERROR(INDEX(الطلاب!$B$5:$B$44,MATCH($D66,الطلاب!$A$5:$A$44,0)),"")</f>
        <v xml:space="preserve">سفيان السبيعي </v>
      </c>
      <c r="F66" s="40" t="s">
        <v>34</v>
      </c>
      <c r="G66" s="40"/>
      <c r="H66" s="40"/>
      <c r="I66" s="40"/>
      <c r="J66" s="40"/>
      <c r="K66" s="36"/>
      <c r="L66" s="43">
        <f>IF(AND($A66='أفضل 5 طلاب'!$C$3,$B66=الإعدادات!$C$8,$N66=1,ISNUMBER($G66)),$G66*100000+N($H66)*100+N($I66)+(1000-ROW())/10000,0)</f>
        <v>0</v>
      </c>
      <c r="M66" s="43">
        <f>IF(AND($A66='أفضل 5 طلاب'!$C$3,$B66=الإعدادات!$C$9,$N66=1,ISNUMBER($G66)),$G66*100000+N($H66)*100+N($I66)+(1000-ROW())/10000,0)</f>
        <v>0</v>
      </c>
      <c r="N66" s="43">
        <f t="shared" si="0"/>
        <v>0</v>
      </c>
      <c r="O66" s="43">
        <f t="shared" si="2"/>
        <v>0</v>
      </c>
      <c r="P66" s="43">
        <f t="shared" si="1"/>
        <v>1</v>
      </c>
    </row>
    <row r="67" spans="1:16">
      <c r="A67" s="58">
        <v>2</v>
      </c>
      <c r="B67" s="59" t="str">
        <f>IFERROR(INDEX(الطلاب!$C$5:$C$44,MATCH($D67,الطلاب!$A$5:$A$44,0)),"")</f>
        <v>المقرأة الثانية</v>
      </c>
      <c r="C67" s="59" t="str">
        <f>IFERROR(INDEX(الطلاب!$D$5:$D$44,MATCH($D67,الطلاب!$A$5:$A$44,0)),"")</f>
        <v xml:space="preserve">ابن رجب </v>
      </c>
      <c r="D67" s="59">
        <v>23</v>
      </c>
      <c r="E67" s="60" t="str">
        <f>IFERROR(INDEX(الطلاب!$B$5:$B$44,MATCH($D67,الطلاب!$A$5:$A$44,0)),"")</f>
        <v xml:space="preserve">عمار الفضل </v>
      </c>
      <c r="F67" s="40" t="s">
        <v>115</v>
      </c>
      <c r="G67" s="51">
        <v>93</v>
      </c>
      <c r="H67" s="51">
        <v>5</v>
      </c>
      <c r="I67" s="51">
        <v>20</v>
      </c>
      <c r="J67" s="40"/>
      <c r="K67" s="36"/>
      <c r="L67" s="43">
        <f>IF(AND($A67='أفضل 5 طلاب'!$C$3,$B67=الإعدادات!$C$8,$N67=1,ISNUMBER($G67)),$G67*100000+N($H67)*100+N($I67)+(1000-ROW())/10000,0)</f>
        <v>0</v>
      </c>
      <c r="M67" s="43">
        <f>IF(AND($A67='أفضل 5 طلاب'!$C$3,$B67=الإعدادات!$C$9,$N67=1,ISNUMBER($G67)),$G67*100000+N($H67)*100+N($I67)+(1000-ROW())/10000,0)</f>
        <v>9300520.0932999998</v>
      </c>
      <c r="N67" s="43">
        <f t="shared" si="0"/>
        <v>1</v>
      </c>
      <c r="O67" s="43">
        <f t="shared" si="2"/>
        <v>93</v>
      </c>
      <c r="P67" s="43">
        <f t="shared" si="1"/>
        <v>1</v>
      </c>
    </row>
    <row r="68" spans="1:16">
      <c r="A68" s="58">
        <v>2</v>
      </c>
      <c r="B68" s="59" t="str">
        <f>IFERROR(INDEX(الطلاب!$C$5:$C$44,MATCH($D68,الطلاب!$A$5:$A$44,0)),"")</f>
        <v>المقرأة الثانية</v>
      </c>
      <c r="C68" s="59" t="str">
        <f>IFERROR(INDEX(الطلاب!$D$5:$D$44,MATCH($D68,الطلاب!$A$5:$A$44,0)),"")</f>
        <v xml:space="preserve">ابن رجب </v>
      </c>
      <c r="D68" s="59">
        <v>24</v>
      </c>
      <c r="E68" s="60" t="str">
        <f>IFERROR(INDEX(الطلاب!$B$5:$B$44,MATCH($D68,الطلاب!$A$5:$A$44,0)),"")</f>
        <v xml:space="preserve">مروان المهوس </v>
      </c>
      <c r="F68" s="40" t="s">
        <v>34</v>
      </c>
      <c r="G68" s="40"/>
      <c r="H68" s="40"/>
      <c r="I68" s="40"/>
      <c r="J68" s="40"/>
      <c r="K68" s="36"/>
      <c r="L68" s="43">
        <f>IF(AND($A68='أفضل 5 طلاب'!$C$3,$B68=الإعدادات!$C$8,$N68=1,ISNUMBER($G68)),$G68*100000+N($H68)*100+N($I68)+(1000-ROW())/10000,0)</f>
        <v>0</v>
      </c>
      <c r="M68" s="43">
        <f>IF(AND($A68='أفضل 5 طلاب'!$C$3,$B68=الإعدادات!$C$9,$N68=1,ISNUMBER($G68)),$G68*100000+N($H68)*100+N($I68)+(1000-ROW())/10000,0)</f>
        <v>0</v>
      </c>
      <c r="N68" s="43">
        <f t="shared" si="0"/>
        <v>0</v>
      </c>
      <c r="O68" s="43">
        <f t="shared" si="2"/>
        <v>0</v>
      </c>
      <c r="P68" s="43">
        <f t="shared" si="1"/>
        <v>1</v>
      </c>
    </row>
    <row r="69" spans="1:16">
      <c r="A69" s="58">
        <v>2</v>
      </c>
      <c r="B69" s="59" t="str">
        <f>IFERROR(INDEX(الطلاب!$C$5:$C$44,MATCH($D69,الطلاب!$A$5:$A$44,0)),"")</f>
        <v>المقرأة الثانية</v>
      </c>
      <c r="C69" s="59" t="str">
        <f>IFERROR(INDEX(الطلاب!$D$5:$D$44,MATCH($D69,الطلاب!$A$5:$A$44,0)),"")</f>
        <v xml:space="preserve">ابن رجب </v>
      </c>
      <c r="D69" s="59">
        <v>25</v>
      </c>
      <c r="E69" s="60" t="str">
        <f>IFERROR(INDEX(الطلاب!$B$5:$B$44,MATCH($D69,الطلاب!$A$5:$A$44,0)),"")</f>
        <v>جهاد الجدعان</v>
      </c>
      <c r="F69" s="40" t="s">
        <v>115</v>
      </c>
      <c r="G69" s="51">
        <v>92</v>
      </c>
      <c r="H69" s="51">
        <v>6</v>
      </c>
      <c r="I69" s="51">
        <v>20</v>
      </c>
      <c r="J69" s="40"/>
      <c r="K69" s="36"/>
      <c r="L69" s="43">
        <f>IF(AND($A69='أفضل 5 طلاب'!$C$3,$B69=الإعدادات!$C$8,$N69=1,ISNUMBER($G69)),$G69*100000+N($H69)*100+N($I69)+(1000-ROW())/10000,0)</f>
        <v>0</v>
      </c>
      <c r="M69" s="43">
        <f>IF(AND($A69='أفضل 5 طلاب'!$C$3,$B69=الإعدادات!$C$9,$N69=1,ISNUMBER($G69)),$G69*100000+N($H69)*100+N($I69)+(1000-ROW())/10000,0)</f>
        <v>9200620.0931000002</v>
      </c>
      <c r="N69" s="43">
        <f t="shared" ref="N69:N132" si="3">IF(OR($F69="حاضر",$F69="متأخر"),1,0)</f>
        <v>1</v>
      </c>
      <c r="O69" s="43">
        <f t="shared" si="2"/>
        <v>92</v>
      </c>
      <c r="P69" s="43">
        <f t="shared" ref="P69:P132" si="4">IF(ISNUMBER($O69),1,0)</f>
        <v>1</v>
      </c>
    </row>
    <row r="70" spans="1:16">
      <c r="A70" s="58">
        <v>2</v>
      </c>
      <c r="B70" s="59" t="str">
        <f>IFERROR(INDEX(الطلاب!$C$5:$C$44,MATCH($D70,الطلاب!$A$5:$A$44,0)),"")</f>
        <v>المقرأة الثانية</v>
      </c>
      <c r="C70" s="59" t="str">
        <f>IFERROR(INDEX(الطلاب!$D$5:$D$44,MATCH($D70,الطلاب!$A$5:$A$44,0)),"")</f>
        <v xml:space="preserve">ابن رجب </v>
      </c>
      <c r="D70" s="59">
        <v>26</v>
      </c>
      <c r="E70" s="60" t="str">
        <f>IFERROR(INDEX(الطلاب!$B$5:$B$44,MATCH($D70,الطلاب!$A$5:$A$44,0)),"")</f>
        <v>صلاح مسعد</v>
      </c>
      <c r="F70" s="40" t="s">
        <v>115</v>
      </c>
      <c r="G70" s="51">
        <v>25</v>
      </c>
      <c r="H70" s="51">
        <v>0</v>
      </c>
      <c r="I70" s="51">
        <v>0</v>
      </c>
      <c r="J70" s="40"/>
      <c r="K70" s="36"/>
      <c r="L70" s="43">
        <f>IF(AND($A70='أفضل 5 طلاب'!$C$3,$B70=الإعدادات!$C$8,$N70=1,ISNUMBER($G70)),$G70*100000+N($H70)*100+N($I70)+(1000-ROW())/10000,0)</f>
        <v>0</v>
      </c>
      <c r="M70" s="43">
        <f>IF(AND($A70='أفضل 5 طلاب'!$C$3,$B70=الإعدادات!$C$9,$N70=1,ISNUMBER($G70)),$G70*100000+N($H70)*100+N($I70)+(1000-ROW())/10000,0)</f>
        <v>2500000.0929999999</v>
      </c>
      <c r="N70" s="43">
        <f t="shared" si="3"/>
        <v>1</v>
      </c>
      <c r="O70" s="43">
        <f t="shared" ref="O70:O133" si="5">IF(OR($N70=1,$F70="معتذر",$F70="غائب"),IF(ISNUMBER($G70),$G70,IF($N70=1,"",0)),"")</f>
        <v>25</v>
      </c>
      <c r="P70" s="43">
        <f t="shared" si="4"/>
        <v>1</v>
      </c>
    </row>
    <row r="71" spans="1:16">
      <c r="A71" s="58">
        <v>2</v>
      </c>
      <c r="B71" s="59" t="str">
        <f>IFERROR(INDEX(الطلاب!$C$5:$C$44,MATCH($D71,الطلاب!$A$5:$A$44,0)),"")</f>
        <v>المقرأة الثانية</v>
      </c>
      <c r="C71" s="59" t="str">
        <f>IFERROR(INDEX(الطلاب!$D$5:$D$44,MATCH($D71,الطلاب!$A$5:$A$44,0)),"")</f>
        <v xml:space="preserve">ابي بن مالك </v>
      </c>
      <c r="D71" s="59">
        <v>27</v>
      </c>
      <c r="E71" s="60" t="str">
        <f>IFERROR(INDEX(الطلاب!$B$5:$B$44,MATCH($D71,الطلاب!$A$5:$A$44,0)),"")</f>
        <v>سالم بانوير</v>
      </c>
      <c r="F71" s="40" t="s">
        <v>115</v>
      </c>
      <c r="G71" s="51">
        <v>67</v>
      </c>
      <c r="H71" s="51">
        <v>0</v>
      </c>
      <c r="I71" s="51">
        <v>20</v>
      </c>
      <c r="J71" s="40"/>
      <c r="K71" s="36"/>
      <c r="L71" s="43">
        <f>IF(AND($A71='أفضل 5 طلاب'!$C$3,$B71=الإعدادات!$C$8,$N71=1,ISNUMBER($G71)),$G71*100000+N($H71)*100+N($I71)+(1000-ROW())/10000,0)</f>
        <v>0</v>
      </c>
      <c r="M71" s="43">
        <f>IF(AND($A71='أفضل 5 طلاب'!$C$3,$B71=الإعدادات!$C$9,$N71=1,ISNUMBER($G71)),$G71*100000+N($H71)*100+N($I71)+(1000-ROW())/10000,0)</f>
        <v>6700020.0928999996</v>
      </c>
      <c r="N71" s="43">
        <f t="shared" si="3"/>
        <v>1</v>
      </c>
      <c r="O71" s="43">
        <f t="shared" si="5"/>
        <v>67</v>
      </c>
      <c r="P71" s="43">
        <f t="shared" si="4"/>
        <v>1</v>
      </c>
    </row>
    <row r="72" spans="1:16">
      <c r="A72" s="58">
        <v>2</v>
      </c>
      <c r="B72" s="59" t="str">
        <f>IFERROR(INDEX(الطلاب!$C$5:$C$44,MATCH($D72,الطلاب!$A$5:$A$44,0)),"")</f>
        <v>المقرأة الثانية</v>
      </c>
      <c r="C72" s="59" t="str">
        <f>IFERROR(INDEX(الطلاب!$D$5:$D$44,MATCH($D72,الطلاب!$A$5:$A$44,0)),"")</f>
        <v xml:space="preserve">ابي بن مالك </v>
      </c>
      <c r="D72" s="59">
        <v>28</v>
      </c>
      <c r="E72" s="60" t="str">
        <f>IFERROR(INDEX(الطلاب!$B$5:$B$44,MATCH($D72,الطلاب!$A$5:$A$44,0)),"")</f>
        <v xml:space="preserve">عبدالعزيز الصقعبي </v>
      </c>
      <c r="F72" s="40" t="s">
        <v>115</v>
      </c>
      <c r="G72" s="51">
        <v>97</v>
      </c>
      <c r="H72" s="51">
        <v>5</v>
      </c>
      <c r="I72" s="51">
        <v>40</v>
      </c>
      <c r="J72" s="40"/>
      <c r="K72" s="36"/>
      <c r="L72" s="43">
        <f>IF(AND($A72='أفضل 5 طلاب'!$C$3,$B72=الإعدادات!$C$8,$N72=1,ISNUMBER($G72)),$G72*100000+N($H72)*100+N($I72)+(1000-ROW())/10000,0)</f>
        <v>0</v>
      </c>
      <c r="M72" s="43">
        <f>IF(AND($A72='أفضل 5 طلاب'!$C$3,$B72=الإعدادات!$C$9,$N72=1,ISNUMBER($G72)),$G72*100000+N($H72)*100+N($I72)+(1000-ROW())/10000,0)</f>
        <v>9700540.0928000007</v>
      </c>
      <c r="N72" s="43">
        <f t="shared" si="3"/>
        <v>1</v>
      </c>
      <c r="O72" s="43">
        <f t="shared" si="5"/>
        <v>97</v>
      </c>
      <c r="P72" s="43">
        <f t="shared" si="4"/>
        <v>1</v>
      </c>
    </row>
    <row r="73" spans="1:16">
      <c r="A73" s="58">
        <v>2</v>
      </c>
      <c r="B73" s="59" t="str">
        <f>IFERROR(INDEX(الطلاب!$C$5:$C$44,MATCH($D73,الطلاب!$A$5:$A$44,0)),"")</f>
        <v>المقرأة الثانية</v>
      </c>
      <c r="C73" s="59" t="str">
        <f>IFERROR(INDEX(الطلاب!$D$5:$D$44,MATCH($D73,الطلاب!$A$5:$A$44,0)),"")</f>
        <v xml:space="preserve">ابي بن مالك </v>
      </c>
      <c r="D73" s="59">
        <v>29</v>
      </c>
      <c r="E73" s="60" t="str">
        <f>IFERROR(INDEX(الطلاب!$B$5:$B$44,MATCH($D73,الطلاب!$A$5:$A$44,0)),"")</f>
        <v xml:space="preserve">عبدالله المجيدل </v>
      </c>
      <c r="F73" s="40" t="s">
        <v>115</v>
      </c>
      <c r="G73" s="51">
        <v>82</v>
      </c>
      <c r="H73" s="51">
        <v>2</v>
      </c>
      <c r="I73" s="51">
        <v>20</v>
      </c>
      <c r="J73" s="40"/>
      <c r="K73" s="36"/>
      <c r="L73" s="43">
        <f>IF(AND($A73='أفضل 5 طلاب'!$C$3,$B73=الإعدادات!$C$8,$N73=1,ISNUMBER($G73)),$G73*100000+N($H73)*100+N($I73)+(1000-ROW())/10000,0)</f>
        <v>0</v>
      </c>
      <c r="M73" s="43">
        <f>IF(AND($A73='أفضل 5 طلاب'!$C$3,$B73=الإعدادات!$C$9,$N73=1,ISNUMBER($G73)),$G73*100000+N($H73)*100+N($I73)+(1000-ROW())/10000,0)</f>
        <v>8200220.0926999999</v>
      </c>
      <c r="N73" s="43">
        <f t="shared" si="3"/>
        <v>1</v>
      </c>
      <c r="O73" s="43">
        <f t="shared" si="5"/>
        <v>82</v>
      </c>
      <c r="P73" s="43">
        <f t="shared" si="4"/>
        <v>1</v>
      </c>
    </row>
    <row r="74" spans="1:16">
      <c r="A74" s="58">
        <v>2</v>
      </c>
      <c r="B74" s="59" t="str">
        <f>IFERROR(INDEX(الطلاب!$C$5:$C$44,MATCH($D74,الطلاب!$A$5:$A$44,0)),"")</f>
        <v>المقرأة الثانية</v>
      </c>
      <c r="C74" s="59" t="str">
        <f>IFERROR(INDEX(الطلاب!$D$5:$D$44,MATCH($D74,الطلاب!$A$5:$A$44,0)),"")</f>
        <v xml:space="preserve">ابي بن مالك </v>
      </c>
      <c r="D74" s="59">
        <v>30</v>
      </c>
      <c r="E74" s="60" t="str">
        <f>IFERROR(INDEX(الطلاب!$B$5:$B$44,MATCH($D74,الطلاب!$A$5:$A$44,0)),"")</f>
        <v>فواز الشدوخي</v>
      </c>
      <c r="F74" s="40" t="s">
        <v>115</v>
      </c>
      <c r="G74" s="51">
        <v>92</v>
      </c>
      <c r="H74" s="51">
        <v>4</v>
      </c>
      <c r="I74" s="51">
        <v>30</v>
      </c>
      <c r="J74" s="40"/>
      <c r="K74" s="36"/>
      <c r="L74" s="43">
        <f>IF(AND($A74='أفضل 5 طلاب'!$C$3,$B74=الإعدادات!$C$8,$N74=1,ISNUMBER($G74)),$G74*100000+N($H74)*100+N($I74)+(1000-ROW())/10000,0)</f>
        <v>0</v>
      </c>
      <c r="M74" s="43">
        <f>IF(AND($A74='أفضل 5 طلاب'!$C$3,$B74=الإعدادات!$C$9,$N74=1,ISNUMBER($G74)),$G74*100000+N($H74)*100+N($I74)+(1000-ROW())/10000,0)</f>
        <v>9200430.0925999992</v>
      </c>
      <c r="N74" s="43">
        <f t="shared" si="3"/>
        <v>1</v>
      </c>
      <c r="O74" s="43">
        <f t="shared" si="5"/>
        <v>92</v>
      </c>
      <c r="P74" s="43">
        <f t="shared" si="4"/>
        <v>1</v>
      </c>
    </row>
    <row r="75" spans="1:16">
      <c r="A75" s="58">
        <v>2</v>
      </c>
      <c r="B75" s="59" t="str">
        <f>IFERROR(INDEX(الطلاب!$C$5:$C$44,MATCH($D75,الطلاب!$A$5:$A$44,0)),"")</f>
        <v>المقرأة الثانية</v>
      </c>
      <c r="C75" s="59" t="str">
        <f>IFERROR(INDEX(الطلاب!$D$5:$D$44,MATCH($D75,الطلاب!$A$5:$A$44,0)),"")</f>
        <v xml:space="preserve">ابي بن مالك </v>
      </c>
      <c r="D75" s="59">
        <v>31</v>
      </c>
      <c r="E75" s="60" t="str">
        <f>IFERROR(INDEX(الطلاب!$B$5:$B$44,MATCH($D75,الطلاب!$A$5:$A$44,0)),"")</f>
        <v>محمد الطامي</v>
      </c>
      <c r="F75" s="40" t="s">
        <v>115</v>
      </c>
      <c r="G75" s="51">
        <v>96</v>
      </c>
      <c r="H75" s="51">
        <v>2</v>
      </c>
      <c r="I75" s="51">
        <v>40</v>
      </c>
      <c r="J75" s="40"/>
      <c r="K75" s="36"/>
      <c r="L75" s="43">
        <f>IF(AND($A75='أفضل 5 طلاب'!$C$3,$B75=الإعدادات!$C$8,$N75=1,ISNUMBER($G75)),$G75*100000+N($H75)*100+N($I75)+(1000-ROW())/10000,0)</f>
        <v>0</v>
      </c>
      <c r="M75" s="43">
        <f>IF(AND($A75='أفضل 5 طلاب'!$C$3,$B75=الإعدادات!$C$9,$N75=1,ISNUMBER($G75)),$G75*100000+N($H75)*100+N($I75)+(1000-ROW())/10000,0)</f>
        <v>9600240.0924999993</v>
      </c>
      <c r="N75" s="43">
        <f>IF(OR($F75="حاضر",$F75="متأخر"),1,0)</f>
        <v>1</v>
      </c>
      <c r="O75" s="43">
        <f>IF(OR($N75=1,$F75="معتذر",$F75="غائب"),IF(ISNUMBER($G75),$G75,IF($N75=1,"",0)),"")</f>
        <v>96</v>
      </c>
      <c r="P75" s="43">
        <f t="shared" si="4"/>
        <v>1</v>
      </c>
    </row>
    <row r="76" spans="1:16">
      <c r="A76" s="58">
        <v>2</v>
      </c>
      <c r="B76" s="59" t="str">
        <f>IFERROR(INDEX(الطلاب!$C$5:$C$44,MATCH($D76,الطلاب!$A$5:$A$44,0)),"")</f>
        <v>المقرأة الثانية</v>
      </c>
      <c r="C76" s="59" t="str">
        <f>IFERROR(INDEX(الطلاب!$D$5:$D$44,MATCH($D76,الطلاب!$A$5:$A$44,0)),"")</f>
        <v xml:space="preserve">ابي بن مالك </v>
      </c>
      <c r="D76" s="59">
        <v>32</v>
      </c>
      <c r="E76" s="60" t="str">
        <f>IFERROR(INDEX(الطلاب!$B$5:$B$44,MATCH($D76,الطلاب!$A$5:$A$44,0)),"")</f>
        <v xml:space="preserve">مهند الغماس </v>
      </c>
      <c r="F76" s="40" t="s">
        <v>115</v>
      </c>
      <c r="G76" s="51">
        <v>25</v>
      </c>
      <c r="H76" s="40"/>
      <c r="I76" s="40"/>
      <c r="J76" s="40"/>
      <c r="K76" s="36"/>
      <c r="L76" s="43">
        <f>IF(AND($A76='أفضل 5 طلاب'!$C$3,$B76=الإعدادات!$C$8,$N76=1,ISNUMBER($G76)),$G76*100000+N($H76)*100+N($I76)+(1000-ROW())/10000,0)</f>
        <v>0</v>
      </c>
      <c r="M76" s="43">
        <f>IF(AND($A76='أفضل 5 طلاب'!$C$3,$B76=الإعدادات!$C$9,$N76=1,ISNUMBER($G76)),$G76*100000+N($H76)*100+N($I76)+(1000-ROW())/10000,0)</f>
        <v>2500000.0924</v>
      </c>
      <c r="N76" s="43">
        <f>IF(OR($F76="حاضر",$F76="متأخر"),1,0)</f>
        <v>1</v>
      </c>
      <c r="O76" s="43">
        <f>IF(OR($N76=1,$F76="معتذر",$F76="غائب"),IF(ISNUMBER($G76),$G76,IF($N76=1,"",0)),"")</f>
        <v>25</v>
      </c>
      <c r="P76" s="43">
        <f t="shared" si="4"/>
        <v>1</v>
      </c>
    </row>
    <row r="77" spans="1:16">
      <c r="A77" s="58">
        <v>2</v>
      </c>
      <c r="B77" s="59" t="str">
        <f>IFERROR(INDEX(الطلاب!$C$5:$C$44,MATCH($D77,الطلاب!$A$5:$A$44,0)),"")</f>
        <v>المقرأة الثانية</v>
      </c>
      <c r="C77" s="59" t="str">
        <f>IFERROR(INDEX(الطلاب!$D$5:$D$44,MATCH($D77,الطلاب!$A$5:$A$44,0)),"")</f>
        <v xml:space="preserve">ابي بن مالك </v>
      </c>
      <c r="D77" s="59">
        <v>33</v>
      </c>
      <c r="E77" s="60" t="str">
        <f>IFERROR(INDEX(الطلاب!$B$5:$B$44,MATCH($D77,الطلاب!$A$5:$A$44,0)),"")</f>
        <v>يوسف الحربي</v>
      </c>
      <c r="F77" s="40" t="s">
        <v>34</v>
      </c>
      <c r="G77" s="40"/>
      <c r="H77" s="40"/>
      <c r="I77" s="40"/>
      <c r="J77" s="40"/>
      <c r="K77" s="36"/>
      <c r="L77" s="43">
        <f>IF(AND($A77='أفضل 5 طلاب'!$C$3,$B77=الإعدادات!$C$8,$N77=1,ISNUMBER($G77)),$G77*100000+N($H77)*100+N($I77)+(1000-ROW())/10000,0)</f>
        <v>0</v>
      </c>
      <c r="M77" s="43">
        <f>IF(AND($A77='أفضل 5 طلاب'!$C$3,$B77=الإعدادات!$C$9,$N77=1,ISNUMBER($G77)),$G77*100000+N($H77)*100+N($I77)+(1000-ROW())/10000,0)</f>
        <v>0</v>
      </c>
      <c r="N77" s="43">
        <f t="shared" si="3"/>
        <v>0</v>
      </c>
      <c r="O77" s="43">
        <f t="shared" si="5"/>
        <v>0</v>
      </c>
      <c r="P77" s="43">
        <f t="shared" si="4"/>
        <v>1</v>
      </c>
    </row>
    <row r="78" spans="1:16">
      <c r="A78" s="58">
        <v>2</v>
      </c>
      <c r="B78" s="59" t="str">
        <f>IFERROR(INDEX(الطلاب!$C$5:$C$44,MATCH($D78,الطلاب!$A$5:$A$44,0)),"")</f>
        <v>المقرأة الثانية</v>
      </c>
      <c r="C78" s="59" t="str">
        <f>IFERROR(INDEX(الطلاب!$D$5:$D$44,MATCH($D78,الطلاب!$A$5:$A$44,0)),"")</f>
        <v xml:space="preserve">ابي بن مالك </v>
      </c>
      <c r="D78" s="59">
        <v>34</v>
      </c>
      <c r="E78" s="60" t="str">
        <f>IFERROR(INDEX(الطلاب!$B$5:$B$44,MATCH($D78,الطلاب!$A$5:$A$44,0)),"")</f>
        <v xml:space="preserve">عدي الفريح </v>
      </c>
      <c r="F78" s="40" t="s">
        <v>115</v>
      </c>
      <c r="G78" s="51">
        <v>76</v>
      </c>
      <c r="H78" s="51">
        <v>5</v>
      </c>
      <c r="I78" s="51">
        <v>20</v>
      </c>
      <c r="J78" s="40"/>
      <c r="K78" s="36"/>
      <c r="L78" s="43">
        <f>IF(AND($A78='أفضل 5 طلاب'!$C$3,$B78=الإعدادات!$C$8,$N78=1,ISNUMBER($G78)),$G78*100000+N($H78)*100+N($I78)+(1000-ROW())/10000,0)</f>
        <v>0</v>
      </c>
      <c r="M78" s="43">
        <f>IF(AND($A78='أفضل 5 طلاب'!$C$3,$B78=الإعدادات!$C$9,$N78=1,ISNUMBER($G78)),$G78*100000+N($H78)*100+N($I78)+(1000-ROW())/10000,0)</f>
        <v>7600520.0921999998</v>
      </c>
      <c r="N78" s="43">
        <f t="shared" si="3"/>
        <v>1</v>
      </c>
      <c r="O78" s="43">
        <f t="shared" si="5"/>
        <v>76</v>
      </c>
      <c r="P78" s="43">
        <f t="shared" si="4"/>
        <v>1</v>
      </c>
    </row>
    <row r="79" spans="1:16">
      <c r="A79" s="58">
        <v>2</v>
      </c>
      <c r="B79" s="59" t="str">
        <f>IFERROR(INDEX(الطلاب!$C$5:$C$44,MATCH($D79,الطلاب!$A$5:$A$44,0)),"")</f>
        <v>المقرأة الثانية</v>
      </c>
      <c r="C79" s="59" t="str">
        <f>IFERROR(INDEX(الطلاب!$D$5:$D$44,MATCH($D79,الطلاب!$A$5:$A$44,0)),"")</f>
        <v xml:space="preserve">ابي بن مالك </v>
      </c>
      <c r="D79" s="59">
        <v>35</v>
      </c>
      <c r="E79" s="60" t="str">
        <f>IFERROR(INDEX(الطلاب!$B$5:$B$44,MATCH($D79,الطلاب!$A$5:$A$44,0)),"")</f>
        <v xml:space="preserve">عبدالله الفايزي </v>
      </c>
      <c r="F79" s="40" t="s">
        <v>115</v>
      </c>
      <c r="G79" s="51">
        <v>84</v>
      </c>
      <c r="H79" s="51">
        <v>2</v>
      </c>
      <c r="I79" s="51">
        <v>20</v>
      </c>
      <c r="J79" s="40"/>
      <c r="K79" s="36"/>
      <c r="L79" s="43">
        <f>IF(AND($A79='أفضل 5 طلاب'!$C$3,$B79=الإعدادات!$C$8,$N79=1,ISNUMBER($G79)),$G79*100000+N($H79)*100+N($I79)+(1000-ROW())/10000,0)</f>
        <v>0</v>
      </c>
      <c r="M79" s="43">
        <f>IF(AND($A79='أفضل 5 طلاب'!$C$3,$B79=الإعدادات!$C$9,$N79=1,ISNUMBER($G79)),$G79*100000+N($H79)*100+N($I79)+(1000-ROW())/10000,0)</f>
        <v>8400220.0921</v>
      </c>
      <c r="N79" s="43">
        <f t="shared" si="3"/>
        <v>1</v>
      </c>
      <c r="O79" s="43">
        <f t="shared" si="5"/>
        <v>84</v>
      </c>
      <c r="P79" s="43">
        <f t="shared" si="4"/>
        <v>1</v>
      </c>
    </row>
    <row r="80" spans="1:16">
      <c r="A80" s="58">
        <v>2</v>
      </c>
      <c r="B80" s="59">
        <f>IFERROR(INDEX(الطلاب!$C$5:$C$44,MATCH($D80,الطلاب!$A$5:$A$44,0)),"")</f>
        <v>0</v>
      </c>
      <c r="C80" s="59">
        <f>IFERROR(INDEX(الطلاب!$D$5:$D$44,MATCH($D80,الطلاب!$A$5:$A$44,0)),"")</f>
        <v>0</v>
      </c>
      <c r="D80" s="59">
        <v>36</v>
      </c>
      <c r="E80" s="60" t="str">
        <f>IFERROR(INDEX(الطلاب!$B$5:$B$44,MATCH($D80,الطلاب!$A$5:$A$44,0)),"")</f>
        <v xml:space="preserve">عزام الحسن </v>
      </c>
      <c r="F80" s="40" t="s">
        <v>115</v>
      </c>
      <c r="G80" s="51">
        <v>97</v>
      </c>
      <c r="H80" s="51">
        <v>0</v>
      </c>
      <c r="I80" s="51">
        <v>23</v>
      </c>
      <c r="J80" s="40"/>
      <c r="K80" s="36"/>
      <c r="L80" s="43">
        <f>IF(AND($A80='أفضل 5 طلاب'!$C$3,$B80=الإعدادات!$C$8,$N80=1,ISNUMBER($G80)),$G80*100000+N($H80)*100+N($I80)+(1000-ROW())/10000,0)</f>
        <v>0</v>
      </c>
      <c r="M80" s="43">
        <f>IF(AND($A80='أفضل 5 طلاب'!$C$3,$B80=الإعدادات!$C$9,$N80=1,ISNUMBER($G80)),$G80*100000+N($H80)*100+N($I80)+(1000-ROW())/10000,0)</f>
        <v>0</v>
      </c>
      <c r="N80" s="43">
        <f t="shared" si="3"/>
        <v>1</v>
      </c>
      <c r="O80" s="43">
        <f t="shared" si="5"/>
        <v>97</v>
      </c>
      <c r="P80" s="43">
        <f t="shared" si="4"/>
        <v>1</v>
      </c>
    </row>
    <row r="81" spans="1:16">
      <c r="A81" s="58">
        <v>2</v>
      </c>
      <c r="B81" s="59" t="str">
        <f>IFERROR(INDEX(الطلاب!$C$5:$C$44,MATCH($D81,الطلاب!$A$5:$A$44,0)),"")</f>
        <v>المقرأة الأولى</v>
      </c>
      <c r="C81" s="59" t="str">
        <f>IFERROR(INDEX(الطلاب!$D$5:$D$44,MATCH($D81,الطلاب!$A$5:$A$44,0)),"")</f>
        <v xml:space="preserve">عبدالرحمن بن النعمان </v>
      </c>
      <c r="D81" s="59">
        <v>37</v>
      </c>
      <c r="E81" s="60" t="str">
        <f>IFERROR(INDEX(الطلاب!$B$5:$B$44,MATCH($D81,الطلاب!$A$5:$A$44,0)),"")</f>
        <v xml:space="preserve">أسامة السعوي </v>
      </c>
      <c r="F81" s="40" t="s">
        <v>115</v>
      </c>
      <c r="G81" s="51">
        <v>82</v>
      </c>
      <c r="H81" s="51">
        <v>2</v>
      </c>
      <c r="I81" s="51">
        <v>20</v>
      </c>
      <c r="J81" s="40"/>
      <c r="K81" s="36"/>
      <c r="L81" s="43">
        <f>IF(AND($A81='أفضل 5 طلاب'!$C$3,$B81=الإعدادات!$C$8,$N81=1,ISNUMBER($G81)),$G81*100000+N($H81)*100+N($I81)+(1000-ROW())/10000,0)</f>
        <v>8200220.0919000003</v>
      </c>
      <c r="M81" s="43">
        <f>IF(AND($A81='أفضل 5 طلاب'!$C$3,$B81=الإعدادات!$C$9,$N81=1,ISNUMBER($G81)),$G81*100000+N($H81)*100+N($I81)+(1000-ROW())/10000,0)</f>
        <v>0</v>
      </c>
      <c r="N81" s="43">
        <f t="shared" si="3"/>
        <v>1</v>
      </c>
      <c r="O81" s="43">
        <f t="shared" si="5"/>
        <v>82</v>
      </c>
      <c r="P81" s="43">
        <f t="shared" si="4"/>
        <v>1</v>
      </c>
    </row>
    <row r="82" spans="1:16">
      <c r="A82" s="58">
        <v>2</v>
      </c>
      <c r="B82" s="59" t="str">
        <f>IFERROR(INDEX(الطلاب!$C$5:$C$44,MATCH($D82,الطلاب!$A$5:$A$44,0)),"")</f>
        <v>المقرأة الأولى</v>
      </c>
      <c r="C82" s="59" t="str">
        <f>IFERROR(INDEX(الطلاب!$D$5:$D$44,MATCH($D82,الطلاب!$A$5:$A$44,0)),"")</f>
        <v xml:space="preserve">حسان بن ثابت </v>
      </c>
      <c r="D82" s="59">
        <v>38</v>
      </c>
      <c r="E82" s="60" t="str">
        <f>IFERROR(INDEX(الطلاب!$B$5:$B$44,MATCH($D82,الطلاب!$A$5:$A$44,0)),"")</f>
        <v xml:space="preserve">عاصم الضالع </v>
      </c>
      <c r="F82" s="40" t="s">
        <v>115</v>
      </c>
      <c r="G82" s="51">
        <v>82</v>
      </c>
      <c r="H82" s="51">
        <v>9</v>
      </c>
      <c r="I82" s="51">
        <v>20</v>
      </c>
      <c r="J82" s="40"/>
      <c r="K82" s="36"/>
      <c r="L82" s="43">
        <f>IF(AND($A82='أفضل 5 طلاب'!$C$3,$B82=الإعدادات!$C$8,$N82=1,ISNUMBER($G82)),$G82*100000+N($H82)*100+N($I82)+(1000-ROW())/10000,0)</f>
        <v>8200920.0917999996</v>
      </c>
      <c r="M82" s="43">
        <f>IF(AND($A82='أفضل 5 طلاب'!$C$3,$B82=الإعدادات!$C$9,$N82=1,ISNUMBER($G82)),$G82*100000+N($H82)*100+N($I82)+(1000-ROW())/10000,0)</f>
        <v>0</v>
      </c>
      <c r="N82" s="43">
        <f t="shared" si="3"/>
        <v>1</v>
      </c>
      <c r="O82" s="43">
        <f t="shared" si="5"/>
        <v>82</v>
      </c>
      <c r="P82" s="43">
        <f t="shared" si="4"/>
        <v>1</v>
      </c>
    </row>
    <row r="83" spans="1:16">
      <c r="A83" s="58">
        <v>2</v>
      </c>
      <c r="B83" s="59">
        <f>IFERROR(INDEX(الطلاب!$C$5:$C$44,MATCH($D83,الطلاب!$A$5:$A$44,0)),"")</f>
        <v>0</v>
      </c>
      <c r="C83" s="59">
        <f>IFERROR(INDEX(الطلاب!$D$5:$D$44,MATCH($D83,الطلاب!$A$5:$A$44,0)),"")</f>
        <v>0</v>
      </c>
      <c r="D83" s="59">
        <v>39</v>
      </c>
      <c r="E83" s="60">
        <f>IFERROR(INDEX(الطلاب!$B$5:$B$44,MATCH($D83,الطلاب!$A$5:$A$44,0)),"")</f>
        <v>0</v>
      </c>
      <c r="F83" s="40"/>
      <c r="G83" s="40"/>
      <c r="H83" s="40"/>
      <c r="I83" s="40"/>
      <c r="J83" s="40"/>
      <c r="K83" s="36"/>
      <c r="L83" s="43">
        <f>IF(AND($A83='أفضل 5 طلاب'!$C$3,$B83=الإعدادات!$C$8,$N83=1,ISNUMBER($G83)),$G83*100000+N($H83)*100+N($I83)+(1000-ROW())/10000,0)</f>
        <v>0</v>
      </c>
      <c r="M83" s="43">
        <f>IF(AND($A83='أفضل 5 طلاب'!$C$3,$B83=الإعدادات!$C$9,$N83=1,ISNUMBER($G83)),$G83*100000+N($H83)*100+N($I83)+(1000-ROW())/10000,0)</f>
        <v>0</v>
      </c>
      <c r="N83" s="43">
        <f t="shared" si="3"/>
        <v>0</v>
      </c>
      <c r="O83" s="43" t="str">
        <f t="shared" si="5"/>
        <v/>
      </c>
      <c r="P83" s="43">
        <f t="shared" si="4"/>
        <v>0</v>
      </c>
    </row>
    <row r="84" spans="1:16" ht="15.95" thickBot="1">
      <c r="A84" s="58">
        <v>2</v>
      </c>
      <c r="B84" s="59">
        <f>IFERROR(INDEX(الطلاب!$C$5:$C$44,MATCH($D84,الطلاب!$A$5:$A$44,0)),"")</f>
        <v>0</v>
      </c>
      <c r="C84" s="59">
        <f>IFERROR(INDEX(الطلاب!$D$5:$D$44,MATCH($D84,الطلاب!$A$5:$A$44,0)),"")</f>
        <v>0</v>
      </c>
      <c r="D84" s="59">
        <v>40</v>
      </c>
      <c r="E84" s="60">
        <f>IFERROR(INDEX(الطلاب!$B$5:$B$44,MATCH($D84,الطلاب!$A$5:$A$44,0)),"")</f>
        <v>0</v>
      </c>
      <c r="F84" s="40"/>
      <c r="G84" s="40"/>
      <c r="H84" s="40"/>
      <c r="I84" s="40"/>
      <c r="J84" s="40"/>
      <c r="K84" s="36"/>
      <c r="L84" s="43">
        <f>IF(AND($A84='أفضل 5 طلاب'!$C$3,$B84=الإعدادات!$C$8,$N84=1,ISNUMBER($G84)),$G84*100000+N($H84)*100+N($I84)+(1000-ROW())/10000,0)</f>
        <v>0</v>
      </c>
      <c r="M84" s="43">
        <f>IF(AND($A84='أفضل 5 طلاب'!$C$3,$B84=الإعدادات!$C$9,$N84=1,ISNUMBER($G84)),$G84*100000+N($H84)*100+N($I84)+(1000-ROW())/10000,0)</f>
        <v>0</v>
      </c>
      <c r="N84" s="43">
        <f t="shared" si="3"/>
        <v>0</v>
      </c>
      <c r="O84" s="43" t="str">
        <f t="shared" si="5"/>
        <v/>
      </c>
      <c r="P84" s="43">
        <f t="shared" si="4"/>
        <v>0</v>
      </c>
    </row>
    <row r="85" spans="1:16">
      <c r="A85" s="44">
        <v>3</v>
      </c>
      <c r="B85" s="45" t="str">
        <f>IFERROR(INDEX(الطلاب!$C$5:$C$44,MATCH($D85,الطلاب!$A$5:$A$44,0)),"")</f>
        <v>المقرأة الأولى</v>
      </c>
      <c r="C85" s="45" t="str">
        <f>IFERROR(INDEX(الطلاب!$D$5:$D$44,MATCH($D85,الطلاب!$A$5:$A$44,0)),"")</f>
        <v xml:space="preserve">عبدالرحمن بن النعمان </v>
      </c>
      <c r="D85" s="45">
        <v>1</v>
      </c>
      <c r="E85" s="46" t="str">
        <f>IFERROR(INDEX(الطلاب!$B$5:$B$44,MATCH($D85,الطلاب!$A$5:$A$44,0)),"")</f>
        <v>غسان اليحيى</v>
      </c>
      <c r="F85" s="47"/>
      <c r="G85" s="47"/>
      <c r="H85" s="47"/>
      <c r="I85" s="47"/>
      <c r="J85" s="47"/>
      <c r="K85" s="36"/>
      <c r="L85" s="43">
        <f>IF(AND($A85='أفضل 5 طلاب'!$C$3,$B85=الإعدادات!$C$8,$N85=1,ISNUMBER($G85)),$G85*100000+N($H85)*100+N($I85)+(1000-ROW())/10000,0)</f>
        <v>0</v>
      </c>
      <c r="M85" s="43">
        <f>IF(AND($A85='أفضل 5 طلاب'!$C$3,$B85=الإعدادات!$C$9,$N85=1,ISNUMBER($G85)),$G85*100000+N($H85)*100+N($I85)+(1000-ROW())/10000,0)</f>
        <v>0</v>
      </c>
      <c r="N85" s="43">
        <f t="shared" si="3"/>
        <v>0</v>
      </c>
      <c r="O85" s="43" t="str">
        <f t="shared" si="5"/>
        <v/>
      </c>
      <c r="P85" s="43">
        <f t="shared" si="4"/>
        <v>0</v>
      </c>
    </row>
    <row r="86" spans="1:16">
      <c r="A86" s="48">
        <v>3</v>
      </c>
      <c r="B86" s="49" t="str">
        <f>IFERROR(INDEX(الطلاب!$C$5:$C$44,MATCH($D86,الطلاب!$A$5:$A$44,0)),"")</f>
        <v>المقرأة الأولى</v>
      </c>
      <c r="C86" s="49" t="str">
        <f>IFERROR(INDEX(الطلاب!$D$5:$D$44,MATCH($D86,الطلاب!$A$5:$A$44,0)),"")</f>
        <v xml:space="preserve">عبدالرحمن بن النعمان </v>
      </c>
      <c r="D86" s="49">
        <v>2</v>
      </c>
      <c r="E86" s="50" t="str">
        <f>IFERROR(INDEX(الطلاب!$B$5:$B$44,MATCH($D86,الطلاب!$A$5:$A$44,0)),"")</f>
        <v xml:space="preserve">صالح الشريف </v>
      </c>
      <c r="F86" s="40"/>
      <c r="G86" s="40"/>
      <c r="H86" s="40"/>
      <c r="I86" s="40"/>
      <c r="J86" s="40"/>
      <c r="K86" s="36"/>
      <c r="L86" s="43">
        <f>IF(AND($A86='أفضل 5 طلاب'!$C$3,$B86=الإعدادات!$C$8,$N86=1,ISNUMBER($G86)),$G86*100000+N($H86)*100+N($I86)+(1000-ROW())/10000,0)</f>
        <v>0</v>
      </c>
      <c r="M86" s="43">
        <f>IF(AND($A86='أفضل 5 طلاب'!$C$3,$B86=الإعدادات!$C$9,$N86=1,ISNUMBER($G86)),$G86*100000+N($H86)*100+N($I86)+(1000-ROW())/10000,0)</f>
        <v>0</v>
      </c>
      <c r="N86" s="43">
        <f t="shared" si="3"/>
        <v>0</v>
      </c>
      <c r="O86" s="43" t="str">
        <f t="shared" si="5"/>
        <v/>
      </c>
      <c r="P86" s="43">
        <f t="shared" si="4"/>
        <v>0</v>
      </c>
    </row>
    <row r="87" spans="1:16">
      <c r="A87" s="48">
        <v>3</v>
      </c>
      <c r="B87" s="49" t="str">
        <f>IFERROR(INDEX(الطلاب!$C$5:$C$44,MATCH($D87,الطلاب!$A$5:$A$44,0)),"")</f>
        <v>المقرأة الأولى</v>
      </c>
      <c r="C87" s="49" t="str">
        <f>IFERROR(INDEX(الطلاب!$D$5:$D$44,MATCH($D87,الطلاب!$A$5:$A$44,0)),"")</f>
        <v xml:space="preserve">عبدالرحمن بن النعمان </v>
      </c>
      <c r="D87" s="49">
        <v>3</v>
      </c>
      <c r="E87" s="50" t="str">
        <f>IFERROR(INDEX(الطلاب!$B$5:$B$44,MATCH($D87,الطلاب!$A$5:$A$44,0)),"")</f>
        <v xml:space="preserve">فهد المشيقح </v>
      </c>
      <c r="F87" s="40"/>
      <c r="G87" s="40"/>
      <c r="H87" s="40"/>
      <c r="I87" s="40"/>
      <c r="J87" s="40"/>
      <c r="K87" s="36"/>
      <c r="L87" s="43">
        <f>IF(AND($A87='أفضل 5 طلاب'!$C$3,$B87=الإعدادات!$C$8,$N87=1,ISNUMBER($G87)),$G87*100000+N($H87)*100+N($I87)+(1000-ROW())/10000,0)</f>
        <v>0</v>
      </c>
      <c r="M87" s="43">
        <f>IF(AND($A87='أفضل 5 طلاب'!$C$3,$B87=الإعدادات!$C$9,$N87=1,ISNUMBER($G87)),$G87*100000+N($H87)*100+N($I87)+(1000-ROW())/10000,0)</f>
        <v>0</v>
      </c>
      <c r="N87" s="43">
        <f t="shared" si="3"/>
        <v>0</v>
      </c>
      <c r="O87" s="43" t="str">
        <f t="shared" si="5"/>
        <v/>
      </c>
      <c r="P87" s="43">
        <f t="shared" si="4"/>
        <v>0</v>
      </c>
    </row>
    <row r="88" spans="1:16">
      <c r="A88" s="48">
        <v>3</v>
      </c>
      <c r="B88" s="49" t="str">
        <f>IFERROR(INDEX(الطلاب!$C$5:$C$44,MATCH($D88,الطلاب!$A$5:$A$44,0)),"")</f>
        <v>المقرأة الأولى</v>
      </c>
      <c r="C88" s="49" t="str">
        <f>IFERROR(INDEX(الطلاب!$D$5:$D$44,MATCH($D88,الطلاب!$A$5:$A$44,0)),"")</f>
        <v xml:space="preserve">عبدالرحمن بن النعمان </v>
      </c>
      <c r="D88" s="49">
        <v>4</v>
      </c>
      <c r="E88" s="50" t="str">
        <f>IFERROR(INDEX(الطلاب!$B$5:$B$44,MATCH($D88,الطلاب!$A$5:$A$44,0)),"")</f>
        <v>عبدالله الحفير</v>
      </c>
      <c r="F88" s="40"/>
      <c r="G88" s="40"/>
      <c r="H88" s="40"/>
      <c r="I88" s="40"/>
      <c r="J88" s="40"/>
      <c r="K88" s="36"/>
      <c r="L88" s="43">
        <f>IF(AND($A88='أفضل 5 طلاب'!$C$3,$B88=الإعدادات!$C$8,$N88=1,ISNUMBER($G88)),$G88*100000+N($H88)*100+N($I88)+(1000-ROW())/10000,0)</f>
        <v>0</v>
      </c>
      <c r="M88" s="43">
        <f>IF(AND($A88='أفضل 5 طلاب'!$C$3,$B88=الإعدادات!$C$9,$N88=1,ISNUMBER($G88)),$G88*100000+N($H88)*100+N($I88)+(1000-ROW())/10000,0)</f>
        <v>0</v>
      </c>
      <c r="N88" s="43">
        <f t="shared" si="3"/>
        <v>0</v>
      </c>
      <c r="O88" s="43" t="str">
        <f t="shared" si="5"/>
        <v/>
      </c>
      <c r="P88" s="43">
        <f t="shared" si="4"/>
        <v>0</v>
      </c>
    </row>
    <row r="89" spans="1:16">
      <c r="A89" s="48">
        <v>3</v>
      </c>
      <c r="B89" s="49" t="str">
        <f>IFERROR(INDEX(الطلاب!$C$5:$C$44,MATCH($D89,الطلاب!$A$5:$A$44,0)),"")</f>
        <v>المقرأة الأولى</v>
      </c>
      <c r="C89" s="49" t="str">
        <f>IFERROR(INDEX(الطلاب!$D$5:$D$44,MATCH($D89,الطلاب!$A$5:$A$44,0)),"")</f>
        <v xml:space="preserve">عبدالرحمن بن النعمان </v>
      </c>
      <c r="D89" s="49">
        <v>5</v>
      </c>
      <c r="E89" s="50" t="str">
        <f>IFERROR(INDEX(الطلاب!$B$5:$B$44,MATCH($D89,الطلاب!$A$5:$A$44,0)),"")</f>
        <v>زياد الدخيل الله</v>
      </c>
      <c r="F89" s="40"/>
      <c r="G89" s="40"/>
      <c r="H89" s="40"/>
      <c r="I89" s="40"/>
      <c r="J89" s="40"/>
      <c r="K89" s="36"/>
      <c r="L89" s="43">
        <f>IF(AND($A89='أفضل 5 طلاب'!$C$3,$B89=الإعدادات!$C$8,$N89=1,ISNUMBER($G89)),$G89*100000+N($H89)*100+N($I89)+(1000-ROW())/10000,0)</f>
        <v>0</v>
      </c>
      <c r="M89" s="43">
        <f>IF(AND($A89='أفضل 5 طلاب'!$C$3,$B89=الإعدادات!$C$9,$N89=1,ISNUMBER($G89)),$G89*100000+N($H89)*100+N($I89)+(1000-ROW())/10000,0)</f>
        <v>0</v>
      </c>
      <c r="N89" s="43">
        <f t="shared" si="3"/>
        <v>0</v>
      </c>
      <c r="O89" s="43" t="str">
        <f t="shared" si="5"/>
        <v/>
      </c>
      <c r="P89" s="43">
        <f t="shared" si="4"/>
        <v>0</v>
      </c>
    </row>
    <row r="90" spans="1:16">
      <c r="A90" s="48">
        <v>3</v>
      </c>
      <c r="B90" s="49" t="str">
        <f>IFERROR(INDEX(الطلاب!$C$5:$C$44,MATCH($D90,الطلاب!$A$5:$A$44,0)),"")</f>
        <v>المقرأة الأولى</v>
      </c>
      <c r="C90" s="49" t="str">
        <f>IFERROR(INDEX(الطلاب!$D$5:$D$44,MATCH($D90,الطلاب!$A$5:$A$44,0)),"")</f>
        <v xml:space="preserve">ابن رجب </v>
      </c>
      <c r="D90" s="49">
        <v>6</v>
      </c>
      <c r="E90" s="50" t="str">
        <f>IFERROR(INDEX(الطلاب!$B$5:$B$44,MATCH($D90,الطلاب!$A$5:$A$44,0)),"")</f>
        <v xml:space="preserve">عاصم الضبيعي </v>
      </c>
      <c r="F90" s="40"/>
      <c r="G90" s="40"/>
      <c r="H90" s="40"/>
      <c r="I90" s="40"/>
      <c r="J90" s="40"/>
      <c r="K90" s="36"/>
      <c r="L90" s="43">
        <f>IF(AND($A90='أفضل 5 طلاب'!$C$3,$B90=الإعدادات!$C$8,$N90=1,ISNUMBER($G90)),$G90*100000+N($H90)*100+N($I90)+(1000-ROW())/10000,0)</f>
        <v>0</v>
      </c>
      <c r="M90" s="43">
        <f>IF(AND($A90='أفضل 5 طلاب'!$C$3,$B90=الإعدادات!$C$9,$N90=1,ISNUMBER($G90)),$G90*100000+N($H90)*100+N($I90)+(1000-ROW())/10000,0)</f>
        <v>0</v>
      </c>
      <c r="N90" s="43">
        <f t="shared" si="3"/>
        <v>0</v>
      </c>
      <c r="O90" s="43" t="str">
        <f t="shared" si="5"/>
        <v/>
      </c>
      <c r="P90" s="43">
        <f t="shared" si="4"/>
        <v>0</v>
      </c>
    </row>
    <row r="91" spans="1:16">
      <c r="A91" s="48">
        <v>3</v>
      </c>
      <c r="B91" s="49" t="str">
        <f>IFERROR(INDEX(الطلاب!$C$5:$C$44,MATCH($D91,الطلاب!$A$5:$A$44,0)),"")</f>
        <v>المقرأة الأولى</v>
      </c>
      <c r="C91" s="49" t="str">
        <f>IFERROR(INDEX(الطلاب!$D$5:$D$44,MATCH($D91,الطلاب!$A$5:$A$44,0)),"")</f>
        <v xml:space="preserve">ابن رجب </v>
      </c>
      <c r="D91" s="49">
        <v>7</v>
      </c>
      <c r="E91" s="50" t="str">
        <f>IFERROR(INDEX(الطلاب!$B$5:$B$44,MATCH($D91,الطلاب!$A$5:$A$44,0)),"")</f>
        <v>محمد السعوي</v>
      </c>
      <c r="F91" s="40"/>
      <c r="G91" s="40"/>
      <c r="H91" s="40"/>
      <c r="I91" s="40"/>
      <c r="J91" s="40"/>
      <c r="K91" s="36"/>
      <c r="L91" s="43">
        <f>IF(AND($A91='أفضل 5 طلاب'!$C$3,$B91=الإعدادات!$C$8,$N91=1,ISNUMBER($G91)),$G91*100000+N($H91)*100+N($I91)+(1000-ROW())/10000,0)</f>
        <v>0</v>
      </c>
      <c r="M91" s="43">
        <f>IF(AND($A91='أفضل 5 طلاب'!$C$3,$B91=الإعدادات!$C$9,$N91=1,ISNUMBER($G91)),$G91*100000+N($H91)*100+N($I91)+(1000-ROW())/10000,0)</f>
        <v>0</v>
      </c>
      <c r="N91" s="43">
        <f t="shared" si="3"/>
        <v>0</v>
      </c>
      <c r="O91" s="43" t="str">
        <f t="shared" si="5"/>
        <v/>
      </c>
      <c r="P91" s="43">
        <f t="shared" si="4"/>
        <v>0</v>
      </c>
    </row>
    <row r="92" spans="1:16">
      <c r="A92" s="48">
        <v>3</v>
      </c>
      <c r="B92" s="49" t="str">
        <f>IFERROR(INDEX(الطلاب!$C$5:$C$44,MATCH($D92,الطلاب!$A$5:$A$44,0)),"")</f>
        <v>المقرأة الأولى</v>
      </c>
      <c r="C92" s="49" t="str">
        <f>IFERROR(INDEX(الطلاب!$D$5:$D$44,MATCH($D92,الطلاب!$A$5:$A$44,0)),"")</f>
        <v xml:space="preserve">ابن رجب </v>
      </c>
      <c r="D92" s="49">
        <v>8</v>
      </c>
      <c r="E92" s="50" t="str">
        <f>IFERROR(INDEX(الطلاب!$B$5:$B$44,MATCH($D92,الطلاب!$A$5:$A$44,0)),"")</f>
        <v>هشام المخلف</v>
      </c>
      <c r="F92" s="40"/>
      <c r="G92" s="40"/>
      <c r="H92" s="40"/>
      <c r="I92" s="40"/>
      <c r="J92" s="40"/>
      <c r="K92" s="36"/>
      <c r="L92" s="43">
        <f>IF(AND($A92='أفضل 5 طلاب'!$C$3,$B92=الإعدادات!$C$8,$N92=1,ISNUMBER($G92)),$G92*100000+N($H92)*100+N($I92)+(1000-ROW())/10000,0)</f>
        <v>0</v>
      </c>
      <c r="M92" s="43">
        <f>IF(AND($A92='أفضل 5 طلاب'!$C$3,$B92=الإعدادات!$C$9,$N92=1,ISNUMBER($G92)),$G92*100000+N($H92)*100+N($I92)+(1000-ROW())/10000,0)</f>
        <v>0</v>
      </c>
      <c r="N92" s="43">
        <f t="shared" si="3"/>
        <v>0</v>
      </c>
      <c r="O92" s="43" t="str">
        <f t="shared" si="5"/>
        <v/>
      </c>
      <c r="P92" s="43">
        <f t="shared" si="4"/>
        <v>0</v>
      </c>
    </row>
    <row r="93" spans="1:16">
      <c r="A93" s="48">
        <v>3</v>
      </c>
      <c r="B93" s="49" t="str">
        <f>IFERROR(INDEX(الطلاب!$C$5:$C$44,MATCH($D93,الطلاب!$A$5:$A$44,0)),"")</f>
        <v>المقرأة الأولى</v>
      </c>
      <c r="C93" s="49" t="str">
        <f>IFERROR(INDEX(الطلاب!$D$5:$D$44,MATCH($D93,الطلاب!$A$5:$A$44,0)),"")</f>
        <v xml:space="preserve">ابن رجب </v>
      </c>
      <c r="D93" s="49">
        <v>9</v>
      </c>
      <c r="E93" s="50" t="str">
        <f>IFERROR(INDEX(الطلاب!$B$5:$B$44,MATCH($D93,الطلاب!$A$5:$A$44,0)),"")</f>
        <v xml:space="preserve">اسامة السعدون </v>
      </c>
      <c r="F93" s="40"/>
      <c r="G93" s="40"/>
      <c r="H93" s="40"/>
      <c r="I93" s="40"/>
      <c r="J93" s="40"/>
      <c r="K93" s="36"/>
      <c r="L93" s="43">
        <f>IF(AND($A93='أفضل 5 طلاب'!$C$3,$B93=الإعدادات!$C$8,$N93=1,ISNUMBER($G93)),$G93*100000+N($H93)*100+N($I93)+(1000-ROW())/10000,0)</f>
        <v>0</v>
      </c>
      <c r="M93" s="43">
        <f>IF(AND($A93='أفضل 5 طلاب'!$C$3,$B93=الإعدادات!$C$9,$N93=1,ISNUMBER($G93)),$G93*100000+N($H93)*100+N($I93)+(1000-ROW())/10000,0)</f>
        <v>0</v>
      </c>
      <c r="N93" s="43">
        <f t="shared" si="3"/>
        <v>0</v>
      </c>
      <c r="O93" s="43" t="str">
        <f t="shared" si="5"/>
        <v/>
      </c>
      <c r="P93" s="43">
        <f t="shared" si="4"/>
        <v>0</v>
      </c>
    </row>
    <row r="94" spans="1:16">
      <c r="A94" s="48">
        <v>3</v>
      </c>
      <c r="B94" s="49" t="str">
        <f>IFERROR(INDEX(الطلاب!$C$5:$C$44,MATCH($D94,الطلاب!$A$5:$A$44,0)),"")</f>
        <v>المقرأة الأولى</v>
      </c>
      <c r="C94" s="49" t="str">
        <f>IFERROR(INDEX(الطلاب!$D$5:$D$44,MATCH($D94,الطلاب!$A$5:$A$44,0)),"")</f>
        <v xml:space="preserve">حسان بن ثابت </v>
      </c>
      <c r="D94" s="49">
        <v>10</v>
      </c>
      <c r="E94" s="50" t="str">
        <f>IFERROR(INDEX(الطلاب!$B$5:$B$44,MATCH($D94,الطلاب!$A$5:$A$44,0)),"")</f>
        <v xml:space="preserve">محمد الثنيان </v>
      </c>
      <c r="F94" s="40"/>
      <c r="G94" s="40"/>
      <c r="H94" s="40"/>
      <c r="I94" s="40"/>
      <c r="J94" s="40"/>
      <c r="K94" s="36"/>
      <c r="L94" s="43">
        <f>IF(AND($A94='أفضل 5 طلاب'!$C$3,$B94=الإعدادات!$C$8,$N94=1,ISNUMBER($G94)),$G94*100000+N($H94)*100+N($I94)+(1000-ROW())/10000,0)</f>
        <v>0</v>
      </c>
      <c r="M94" s="43">
        <f>IF(AND($A94='أفضل 5 طلاب'!$C$3,$B94=الإعدادات!$C$9,$N94=1,ISNUMBER($G94)),$G94*100000+N($H94)*100+N($I94)+(1000-ROW())/10000,0)</f>
        <v>0</v>
      </c>
      <c r="N94" s="43">
        <f t="shared" si="3"/>
        <v>0</v>
      </c>
      <c r="O94" s="43" t="str">
        <f t="shared" si="5"/>
        <v/>
      </c>
      <c r="P94" s="43">
        <f t="shared" si="4"/>
        <v>0</v>
      </c>
    </row>
    <row r="95" spans="1:16">
      <c r="A95" s="48">
        <v>3</v>
      </c>
      <c r="B95" s="49" t="str">
        <f>IFERROR(INDEX(الطلاب!$C$5:$C$44,MATCH($D95,الطلاب!$A$5:$A$44,0)),"")</f>
        <v>المقرأة الأولى</v>
      </c>
      <c r="C95" s="49" t="str">
        <f>IFERROR(INDEX(الطلاب!$D$5:$D$44,MATCH($D95,الطلاب!$A$5:$A$44,0)),"")</f>
        <v xml:space="preserve">حسان بن ثابت </v>
      </c>
      <c r="D95" s="49">
        <v>11</v>
      </c>
      <c r="E95" s="50" t="str">
        <f>IFERROR(INDEX(الطلاب!$B$5:$B$44,MATCH($D95,الطلاب!$A$5:$A$44,0)),"")</f>
        <v xml:space="preserve">كنان الجريفاني </v>
      </c>
      <c r="F95" s="40"/>
      <c r="G95" s="40"/>
      <c r="H95" s="40"/>
      <c r="I95" s="40"/>
      <c r="J95" s="40"/>
      <c r="K95" s="36"/>
      <c r="L95" s="43">
        <f>IF(AND($A95='أفضل 5 طلاب'!$C$3,$B95=الإعدادات!$C$8,$N95=1,ISNUMBER($G95)),$G95*100000+N($H95)*100+N($I95)+(1000-ROW())/10000,0)</f>
        <v>0</v>
      </c>
      <c r="M95" s="43">
        <f>IF(AND($A95='أفضل 5 طلاب'!$C$3,$B95=الإعدادات!$C$9,$N95=1,ISNUMBER($G95)),$G95*100000+N($H95)*100+N($I95)+(1000-ROW())/10000,0)</f>
        <v>0</v>
      </c>
      <c r="N95" s="43">
        <f t="shared" si="3"/>
        <v>0</v>
      </c>
      <c r="O95" s="43" t="str">
        <f t="shared" si="5"/>
        <v/>
      </c>
      <c r="P95" s="43">
        <f t="shared" si="4"/>
        <v>0</v>
      </c>
    </row>
    <row r="96" spans="1:16">
      <c r="A96" s="48">
        <v>3</v>
      </c>
      <c r="B96" s="49" t="str">
        <f>IFERROR(INDEX(الطلاب!$C$5:$C$44,MATCH($D96,الطلاب!$A$5:$A$44,0)),"")</f>
        <v>المقرأة الأولى</v>
      </c>
      <c r="C96" s="49" t="str">
        <f>IFERROR(INDEX(الطلاب!$D$5:$D$44,MATCH($D96,الطلاب!$A$5:$A$44,0)),"")</f>
        <v xml:space="preserve">حسان بن ثابت </v>
      </c>
      <c r="D96" s="49">
        <v>12</v>
      </c>
      <c r="E96" s="50" t="str">
        <f>IFERROR(INDEX(الطلاب!$B$5:$B$44,MATCH($D96,الطلاب!$A$5:$A$44,0)),"")</f>
        <v xml:space="preserve">عبدالمجيد الربعي </v>
      </c>
      <c r="F96" s="40"/>
      <c r="G96" s="40"/>
      <c r="H96" s="40"/>
      <c r="I96" s="40"/>
      <c r="J96" s="40"/>
      <c r="K96" s="36"/>
      <c r="L96" s="43">
        <f>IF(AND($A96='أفضل 5 طلاب'!$C$3,$B96=الإعدادات!$C$8,$N96=1,ISNUMBER($G96)),$G96*100000+N($H96)*100+N($I96)+(1000-ROW())/10000,0)</f>
        <v>0</v>
      </c>
      <c r="M96" s="43">
        <f>IF(AND($A96='أفضل 5 طلاب'!$C$3,$B96=الإعدادات!$C$9,$N96=1,ISNUMBER($G96)),$G96*100000+N($H96)*100+N($I96)+(1000-ROW())/10000,0)</f>
        <v>0</v>
      </c>
      <c r="N96" s="43">
        <f t="shared" si="3"/>
        <v>0</v>
      </c>
      <c r="O96" s="43" t="str">
        <f t="shared" si="5"/>
        <v/>
      </c>
      <c r="P96" s="43">
        <f t="shared" si="4"/>
        <v>0</v>
      </c>
    </row>
    <row r="97" spans="1:16">
      <c r="A97" s="48">
        <v>3</v>
      </c>
      <c r="B97" s="49" t="str">
        <f>IFERROR(INDEX(الطلاب!$C$5:$C$44,MATCH($D97,الطلاب!$A$5:$A$44,0)),"")</f>
        <v>المقرأة الأولى</v>
      </c>
      <c r="C97" s="49" t="str">
        <f>IFERROR(INDEX(الطلاب!$D$5:$D$44,MATCH($D97,الطلاب!$A$5:$A$44,0)),"")</f>
        <v xml:space="preserve">حسان بن ثابت </v>
      </c>
      <c r="D97" s="49">
        <v>13</v>
      </c>
      <c r="E97" s="50" t="str">
        <f>IFERROR(INDEX(الطلاب!$B$5:$B$44,MATCH($D97,الطلاب!$A$5:$A$44,0)),"")</f>
        <v xml:space="preserve">عبدالله التويجري </v>
      </c>
      <c r="F97" s="40"/>
      <c r="G97" s="40"/>
      <c r="H97" s="40"/>
      <c r="I97" s="40"/>
      <c r="J97" s="40"/>
      <c r="K97" s="36"/>
      <c r="L97" s="43">
        <f>IF(AND($A97='أفضل 5 طلاب'!$C$3,$B97=الإعدادات!$C$8,$N97=1,ISNUMBER($G97)),$G97*100000+N($H97)*100+N($I97)+(1000-ROW())/10000,0)</f>
        <v>0</v>
      </c>
      <c r="M97" s="43">
        <f>IF(AND($A97='أفضل 5 طلاب'!$C$3,$B97=الإعدادات!$C$9,$N97=1,ISNUMBER($G97)),$G97*100000+N($H97)*100+N($I97)+(1000-ROW())/10000,0)</f>
        <v>0</v>
      </c>
      <c r="N97" s="43">
        <f t="shared" si="3"/>
        <v>0</v>
      </c>
      <c r="O97" s="43" t="str">
        <f t="shared" si="5"/>
        <v/>
      </c>
      <c r="P97" s="43">
        <f t="shared" si="4"/>
        <v>0</v>
      </c>
    </row>
    <row r="98" spans="1:16">
      <c r="A98" s="48">
        <v>3</v>
      </c>
      <c r="B98" s="49" t="str">
        <f>IFERROR(INDEX(الطلاب!$C$5:$C$44,MATCH($D98,الطلاب!$A$5:$A$44,0)),"")</f>
        <v>المقرأة الأولى</v>
      </c>
      <c r="C98" s="49" t="str">
        <f>IFERROR(INDEX(الطلاب!$D$5:$D$44,MATCH($D98,الطلاب!$A$5:$A$44,0)),"")</f>
        <v xml:space="preserve">حسان بن ثابت </v>
      </c>
      <c r="D98" s="49">
        <v>14</v>
      </c>
      <c r="E98" s="50" t="str">
        <f>IFERROR(INDEX(الطلاب!$B$5:$B$44,MATCH($D98,الطلاب!$A$5:$A$44,0)),"")</f>
        <v xml:space="preserve">حسام التويجري </v>
      </c>
      <c r="F98" s="40"/>
      <c r="G98" s="40"/>
      <c r="H98" s="40"/>
      <c r="I98" s="40"/>
      <c r="J98" s="40"/>
      <c r="K98" s="36"/>
      <c r="L98" s="43">
        <f>IF(AND($A98='أفضل 5 طلاب'!$C$3,$B98=الإعدادات!$C$8,$N98=1,ISNUMBER($G98)),$G98*100000+N($H98)*100+N($I98)+(1000-ROW())/10000,0)</f>
        <v>0</v>
      </c>
      <c r="M98" s="43">
        <f>IF(AND($A98='أفضل 5 طلاب'!$C$3,$B98=الإعدادات!$C$9,$N98=1,ISNUMBER($G98)),$G98*100000+N($H98)*100+N($I98)+(1000-ROW())/10000,0)</f>
        <v>0</v>
      </c>
      <c r="N98" s="43">
        <f t="shared" si="3"/>
        <v>0</v>
      </c>
      <c r="O98" s="43" t="str">
        <f t="shared" si="5"/>
        <v/>
      </c>
      <c r="P98" s="43">
        <f t="shared" si="4"/>
        <v>0</v>
      </c>
    </row>
    <row r="99" spans="1:16">
      <c r="A99" s="48">
        <v>3</v>
      </c>
      <c r="B99" s="49" t="str">
        <f>IFERROR(INDEX(الطلاب!$C$5:$C$44,MATCH($D99,الطلاب!$A$5:$A$44,0)),"")</f>
        <v>المقرأة الأولى</v>
      </c>
      <c r="C99" s="49" t="str">
        <f>IFERROR(INDEX(الطلاب!$D$5:$D$44,MATCH($D99,الطلاب!$A$5:$A$44,0)),"")</f>
        <v xml:space="preserve">حسان بن ثابت </v>
      </c>
      <c r="D99" s="49">
        <v>15</v>
      </c>
      <c r="E99" s="50" t="str">
        <f>IFERROR(INDEX(الطلاب!$B$5:$B$44,MATCH($D99,الطلاب!$A$5:$A$44,0)),"")</f>
        <v xml:space="preserve">عبدالرحمن البريدي </v>
      </c>
      <c r="F99" s="40"/>
      <c r="G99" s="40"/>
      <c r="H99" s="40"/>
      <c r="I99" s="40"/>
      <c r="J99" s="40"/>
      <c r="K99" s="36"/>
      <c r="L99" s="43">
        <f>IF(AND($A99='أفضل 5 طلاب'!$C$3,$B99=الإعدادات!$C$8,$N99=1,ISNUMBER($G99)),$G99*100000+N($H99)*100+N($I99)+(1000-ROW())/10000,0)</f>
        <v>0</v>
      </c>
      <c r="M99" s="43">
        <f>IF(AND($A99='أفضل 5 طلاب'!$C$3,$B99=الإعدادات!$C$9,$N99=1,ISNUMBER($G99)),$G99*100000+N($H99)*100+N($I99)+(1000-ROW())/10000,0)</f>
        <v>0</v>
      </c>
      <c r="N99" s="43">
        <f t="shared" si="3"/>
        <v>0</v>
      </c>
      <c r="O99" s="43" t="str">
        <f t="shared" si="5"/>
        <v/>
      </c>
      <c r="P99" s="43">
        <f t="shared" si="4"/>
        <v>0</v>
      </c>
    </row>
    <row r="100" spans="1:16">
      <c r="A100" s="48">
        <v>3</v>
      </c>
      <c r="B100" s="49" t="str">
        <f>IFERROR(INDEX(الطلاب!$C$5:$C$44,MATCH($D100,الطلاب!$A$5:$A$44,0)),"")</f>
        <v>المقرأة الأولى</v>
      </c>
      <c r="C100" s="49" t="str">
        <f>IFERROR(INDEX(الطلاب!$D$5:$D$44,MATCH($D100,الطلاب!$A$5:$A$44,0)),"")</f>
        <v xml:space="preserve">حسان بن ثابت </v>
      </c>
      <c r="D100" s="49">
        <v>16</v>
      </c>
      <c r="E100" s="50" t="str">
        <f>IFERROR(INDEX(الطلاب!$B$5:$B$44,MATCH($D100,الطلاب!$A$5:$A$44,0)),"")</f>
        <v>عبدالرحمن بازرعة</v>
      </c>
      <c r="F100" s="40"/>
      <c r="G100" s="40"/>
      <c r="H100" s="40"/>
      <c r="I100" s="40"/>
      <c r="J100" s="40"/>
      <c r="K100" s="36"/>
      <c r="L100" s="43">
        <f>IF(AND($A100='أفضل 5 طلاب'!$C$3,$B100=الإعدادات!$C$8,$N100=1,ISNUMBER($G100)),$G100*100000+N($H100)*100+N($I100)+(1000-ROW())/10000,0)</f>
        <v>0</v>
      </c>
      <c r="M100" s="43">
        <f>IF(AND($A100='أفضل 5 طلاب'!$C$3,$B100=الإعدادات!$C$9,$N100=1,ISNUMBER($G100)),$G100*100000+N($H100)*100+N($I100)+(1000-ROW())/10000,0)</f>
        <v>0</v>
      </c>
      <c r="N100" s="43">
        <f t="shared" si="3"/>
        <v>0</v>
      </c>
      <c r="O100" s="43" t="str">
        <f t="shared" si="5"/>
        <v/>
      </c>
      <c r="P100" s="43">
        <f t="shared" si="4"/>
        <v>0</v>
      </c>
    </row>
    <row r="101" spans="1:16">
      <c r="A101" s="48">
        <v>3</v>
      </c>
      <c r="B101" s="49" t="str">
        <f>IFERROR(INDEX(الطلاب!$C$5:$C$44,MATCH($D101,الطلاب!$A$5:$A$44,0)),"")</f>
        <v>المقرأة الأولى</v>
      </c>
      <c r="C101" s="49" t="str">
        <f>IFERROR(INDEX(الطلاب!$D$5:$D$44,MATCH($D101,الطلاب!$A$5:$A$44,0)),"")</f>
        <v xml:space="preserve">حسان بن ثابت </v>
      </c>
      <c r="D101" s="49">
        <v>17</v>
      </c>
      <c r="E101" s="50" t="str">
        <f>IFERROR(INDEX(الطلاب!$B$5:$B$44,MATCH($D101,الطلاب!$A$5:$A$44,0)),"")</f>
        <v xml:space="preserve">عبدالله الضحيان </v>
      </c>
      <c r="F101" s="40"/>
      <c r="G101" s="40"/>
      <c r="H101" s="40"/>
      <c r="I101" s="40"/>
      <c r="J101" s="40"/>
      <c r="K101" s="36"/>
      <c r="L101" s="43">
        <f>IF(AND($A101='أفضل 5 طلاب'!$C$3,$B101=الإعدادات!$C$8,$N101=1,ISNUMBER($G101)),$G101*100000+N($H101)*100+N($I101)+(1000-ROW())/10000,0)</f>
        <v>0</v>
      </c>
      <c r="M101" s="43">
        <f>IF(AND($A101='أفضل 5 طلاب'!$C$3,$B101=الإعدادات!$C$9,$N101=1,ISNUMBER($G101)),$G101*100000+N($H101)*100+N($I101)+(1000-ROW())/10000,0)</f>
        <v>0</v>
      </c>
      <c r="N101" s="43">
        <f t="shared" si="3"/>
        <v>0</v>
      </c>
      <c r="O101" s="43" t="str">
        <f t="shared" si="5"/>
        <v/>
      </c>
      <c r="P101" s="43">
        <f t="shared" si="4"/>
        <v>0</v>
      </c>
    </row>
    <row r="102" spans="1:16">
      <c r="A102" s="48">
        <v>3</v>
      </c>
      <c r="B102" s="49" t="str">
        <f>IFERROR(INDEX(الطلاب!$C$5:$C$44,MATCH($D102,الطلاب!$A$5:$A$44,0)),"")</f>
        <v>المقرأة الأولى</v>
      </c>
      <c r="C102" s="49" t="str">
        <f>IFERROR(INDEX(الطلاب!$D$5:$D$44,MATCH($D102,الطلاب!$A$5:$A$44,0)),"")</f>
        <v xml:space="preserve">حسان بن ثابت </v>
      </c>
      <c r="D102" s="49">
        <v>18</v>
      </c>
      <c r="E102" s="50" t="str">
        <f>IFERROR(INDEX(الطلاب!$B$5:$B$44,MATCH($D102,الطلاب!$A$5:$A$44,0)),"")</f>
        <v xml:space="preserve">فيصل الدخيل </v>
      </c>
      <c r="F102" s="40"/>
      <c r="G102" s="40"/>
      <c r="H102" s="40"/>
      <c r="I102" s="40"/>
      <c r="J102" s="40"/>
      <c r="K102" s="36"/>
      <c r="L102" s="43">
        <f>IF(AND($A102='أفضل 5 طلاب'!$C$3,$B102=الإعدادات!$C$8,$N102=1,ISNUMBER($G102)),$G102*100000+N($H102)*100+N($I102)+(1000-ROW())/10000,0)</f>
        <v>0</v>
      </c>
      <c r="M102" s="43">
        <f>IF(AND($A102='أفضل 5 طلاب'!$C$3,$B102=الإعدادات!$C$9,$N102=1,ISNUMBER($G102)),$G102*100000+N($H102)*100+N($I102)+(1000-ROW())/10000,0)</f>
        <v>0</v>
      </c>
      <c r="N102" s="43">
        <f t="shared" si="3"/>
        <v>0</v>
      </c>
      <c r="O102" s="43" t="str">
        <f t="shared" si="5"/>
        <v/>
      </c>
      <c r="P102" s="43">
        <f t="shared" si="4"/>
        <v>0</v>
      </c>
    </row>
    <row r="103" spans="1:16">
      <c r="A103" s="48">
        <v>3</v>
      </c>
      <c r="B103" s="49" t="str">
        <f>IFERROR(INDEX(الطلاب!$C$5:$C$44,MATCH($D103,الطلاب!$A$5:$A$44,0)),"")</f>
        <v>المقرأة الأولى</v>
      </c>
      <c r="C103" s="49" t="str">
        <f>IFERROR(INDEX(الطلاب!$D$5:$D$44,MATCH($D103,الطلاب!$A$5:$A$44,0)),"")</f>
        <v xml:space="preserve">حسان بن ثابت </v>
      </c>
      <c r="D103" s="49">
        <v>19</v>
      </c>
      <c r="E103" s="50" t="str">
        <f>IFERROR(INDEX(الطلاب!$B$5:$B$44,MATCH($D103,الطلاب!$A$5:$A$44,0)),"")</f>
        <v xml:space="preserve">سليمان المحيميد </v>
      </c>
      <c r="F103" s="40"/>
      <c r="G103" s="40"/>
      <c r="H103" s="40"/>
      <c r="I103" s="40"/>
      <c r="J103" s="40"/>
      <c r="K103" s="36"/>
      <c r="L103" s="43">
        <f>IF(AND($A103='أفضل 5 طلاب'!$C$3,$B103=الإعدادات!$C$8,$N103=1,ISNUMBER($G103)),$G103*100000+N($H103)*100+N($I103)+(1000-ROW())/10000,0)</f>
        <v>0</v>
      </c>
      <c r="M103" s="43">
        <f>IF(AND($A103='أفضل 5 طلاب'!$C$3,$B103=الإعدادات!$C$9,$N103=1,ISNUMBER($G103)),$G103*100000+N($H103)*100+N($I103)+(1000-ROW())/10000,0)</f>
        <v>0</v>
      </c>
      <c r="N103" s="43">
        <f t="shared" si="3"/>
        <v>0</v>
      </c>
      <c r="O103" s="43" t="str">
        <f t="shared" si="5"/>
        <v/>
      </c>
      <c r="P103" s="43">
        <f t="shared" si="4"/>
        <v>0</v>
      </c>
    </row>
    <row r="104" spans="1:16">
      <c r="A104" s="48">
        <v>3</v>
      </c>
      <c r="B104" s="49" t="str">
        <f>IFERROR(INDEX(الطلاب!$C$5:$C$44,MATCH($D104,الطلاب!$A$5:$A$44,0)),"")</f>
        <v>المقرأة الثانية</v>
      </c>
      <c r="C104" s="49" t="str">
        <f>IFERROR(INDEX(الطلاب!$D$5:$D$44,MATCH($D104,الطلاب!$A$5:$A$44,0)),"")</f>
        <v xml:space="preserve">ابن رجب </v>
      </c>
      <c r="D104" s="49">
        <v>20</v>
      </c>
      <c r="E104" s="50" t="str">
        <f>IFERROR(INDEX(الطلاب!$B$5:$B$44,MATCH($D104,الطلاب!$A$5:$A$44,0)),"")</f>
        <v xml:space="preserve">اصيل التويجري </v>
      </c>
      <c r="F104" s="40"/>
      <c r="G104" s="40"/>
      <c r="H104" s="40"/>
      <c r="I104" s="40"/>
      <c r="J104" s="40"/>
      <c r="K104" s="36"/>
      <c r="L104" s="43">
        <f>IF(AND($A104='أفضل 5 طلاب'!$C$3,$B104=الإعدادات!$C$8,$N104=1,ISNUMBER($G104)),$G104*100000+N($H104)*100+N($I104)+(1000-ROW())/10000,0)</f>
        <v>0</v>
      </c>
      <c r="M104" s="43">
        <f>IF(AND($A104='أفضل 5 طلاب'!$C$3,$B104=الإعدادات!$C$9,$N104=1,ISNUMBER($G104)),$G104*100000+N($H104)*100+N($I104)+(1000-ROW())/10000,0)</f>
        <v>0</v>
      </c>
      <c r="N104" s="43">
        <f t="shared" si="3"/>
        <v>0</v>
      </c>
      <c r="O104" s="43" t="str">
        <f t="shared" si="5"/>
        <v/>
      </c>
      <c r="P104" s="43">
        <f t="shared" si="4"/>
        <v>0</v>
      </c>
    </row>
    <row r="105" spans="1:16">
      <c r="A105" s="48">
        <v>3</v>
      </c>
      <c r="B105" s="49" t="str">
        <f>IFERROR(INDEX(الطلاب!$C$5:$C$44,MATCH($D105,الطلاب!$A$5:$A$44,0)),"")</f>
        <v>المقرأة الثانية</v>
      </c>
      <c r="C105" s="49" t="str">
        <f>IFERROR(INDEX(الطلاب!$D$5:$D$44,MATCH($D105,الطلاب!$A$5:$A$44,0)),"")</f>
        <v xml:space="preserve">ابن رجب </v>
      </c>
      <c r="D105" s="49">
        <v>21</v>
      </c>
      <c r="E105" s="50" t="str">
        <f>IFERROR(INDEX(الطلاب!$B$5:$B$44,MATCH($D105,الطلاب!$A$5:$A$44,0)),"")</f>
        <v xml:space="preserve">جواد الرفيعي </v>
      </c>
      <c r="F105" s="40"/>
      <c r="G105" s="40"/>
      <c r="H105" s="40"/>
      <c r="I105" s="40"/>
      <c r="J105" s="40"/>
      <c r="K105" s="36"/>
      <c r="L105" s="43">
        <f>IF(AND($A105='أفضل 5 طلاب'!$C$3,$B105=الإعدادات!$C$8,$N105=1,ISNUMBER($G105)),$G105*100000+N($H105)*100+N($I105)+(1000-ROW())/10000,0)</f>
        <v>0</v>
      </c>
      <c r="M105" s="43">
        <f>IF(AND($A105='أفضل 5 طلاب'!$C$3,$B105=الإعدادات!$C$9,$N105=1,ISNUMBER($G105)),$G105*100000+N($H105)*100+N($I105)+(1000-ROW())/10000,0)</f>
        <v>0</v>
      </c>
      <c r="N105" s="43">
        <f t="shared" si="3"/>
        <v>0</v>
      </c>
      <c r="O105" s="43" t="str">
        <f t="shared" si="5"/>
        <v/>
      </c>
      <c r="P105" s="43">
        <f t="shared" si="4"/>
        <v>0</v>
      </c>
    </row>
    <row r="106" spans="1:16">
      <c r="A106" s="48">
        <v>3</v>
      </c>
      <c r="B106" s="49" t="str">
        <f>IFERROR(INDEX(الطلاب!$C$5:$C$44,MATCH($D106,الطلاب!$A$5:$A$44,0)),"")</f>
        <v>المقرأة الثانية</v>
      </c>
      <c r="C106" s="49" t="str">
        <f>IFERROR(INDEX(الطلاب!$D$5:$D$44,MATCH($D106,الطلاب!$A$5:$A$44,0)),"")</f>
        <v xml:space="preserve">ابن رجب </v>
      </c>
      <c r="D106" s="49">
        <v>22</v>
      </c>
      <c r="E106" s="50" t="str">
        <f>IFERROR(INDEX(الطلاب!$B$5:$B$44,MATCH($D106,الطلاب!$A$5:$A$44,0)),"")</f>
        <v xml:space="preserve">سفيان السبيعي </v>
      </c>
      <c r="F106" s="40"/>
      <c r="G106" s="40"/>
      <c r="H106" s="40"/>
      <c r="I106" s="40"/>
      <c r="J106" s="40"/>
      <c r="K106" s="36"/>
      <c r="L106" s="43">
        <f>IF(AND($A106='أفضل 5 طلاب'!$C$3,$B106=الإعدادات!$C$8,$N106=1,ISNUMBER($G106)),$G106*100000+N($H106)*100+N($I106)+(1000-ROW())/10000,0)</f>
        <v>0</v>
      </c>
      <c r="M106" s="43">
        <f>IF(AND($A106='أفضل 5 طلاب'!$C$3,$B106=الإعدادات!$C$9,$N106=1,ISNUMBER($G106)),$G106*100000+N($H106)*100+N($I106)+(1000-ROW())/10000,0)</f>
        <v>0</v>
      </c>
      <c r="N106" s="43">
        <f t="shared" si="3"/>
        <v>0</v>
      </c>
      <c r="O106" s="43" t="str">
        <f t="shared" si="5"/>
        <v/>
      </c>
      <c r="P106" s="43">
        <f t="shared" si="4"/>
        <v>0</v>
      </c>
    </row>
    <row r="107" spans="1:16">
      <c r="A107" s="48">
        <v>3</v>
      </c>
      <c r="B107" s="49" t="str">
        <f>IFERROR(INDEX(الطلاب!$C$5:$C$44,MATCH($D107,الطلاب!$A$5:$A$44,0)),"")</f>
        <v>المقرأة الثانية</v>
      </c>
      <c r="C107" s="49" t="str">
        <f>IFERROR(INDEX(الطلاب!$D$5:$D$44,MATCH($D107,الطلاب!$A$5:$A$44,0)),"")</f>
        <v xml:space="preserve">ابن رجب </v>
      </c>
      <c r="D107" s="49">
        <v>23</v>
      </c>
      <c r="E107" s="50" t="str">
        <f>IFERROR(INDEX(الطلاب!$B$5:$B$44,MATCH($D107,الطلاب!$A$5:$A$44,0)),"")</f>
        <v xml:space="preserve">عمار الفضل </v>
      </c>
      <c r="F107" s="40"/>
      <c r="G107" s="40"/>
      <c r="H107" s="40"/>
      <c r="I107" s="40"/>
      <c r="J107" s="40"/>
      <c r="K107" s="36"/>
      <c r="L107" s="43">
        <f>IF(AND($A107='أفضل 5 طلاب'!$C$3,$B107=الإعدادات!$C$8,$N107=1,ISNUMBER($G107)),$G107*100000+N($H107)*100+N($I107)+(1000-ROW())/10000,0)</f>
        <v>0</v>
      </c>
      <c r="M107" s="43">
        <f>IF(AND($A107='أفضل 5 طلاب'!$C$3,$B107=الإعدادات!$C$9,$N107=1,ISNUMBER($G107)),$G107*100000+N($H107)*100+N($I107)+(1000-ROW())/10000,0)</f>
        <v>0</v>
      </c>
      <c r="N107" s="43">
        <f t="shared" si="3"/>
        <v>0</v>
      </c>
      <c r="O107" s="43" t="str">
        <f t="shared" si="5"/>
        <v/>
      </c>
      <c r="P107" s="43">
        <f t="shared" si="4"/>
        <v>0</v>
      </c>
    </row>
    <row r="108" spans="1:16">
      <c r="A108" s="48">
        <v>3</v>
      </c>
      <c r="B108" s="49" t="str">
        <f>IFERROR(INDEX(الطلاب!$C$5:$C$44,MATCH($D108,الطلاب!$A$5:$A$44,0)),"")</f>
        <v>المقرأة الثانية</v>
      </c>
      <c r="C108" s="49" t="str">
        <f>IFERROR(INDEX(الطلاب!$D$5:$D$44,MATCH($D108,الطلاب!$A$5:$A$44,0)),"")</f>
        <v xml:space="preserve">ابن رجب </v>
      </c>
      <c r="D108" s="49">
        <v>24</v>
      </c>
      <c r="E108" s="50" t="str">
        <f>IFERROR(INDEX(الطلاب!$B$5:$B$44,MATCH($D108,الطلاب!$A$5:$A$44,0)),"")</f>
        <v xml:space="preserve">مروان المهوس </v>
      </c>
      <c r="F108" s="40"/>
      <c r="G108" s="40"/>
      <c r="H108" s="40"/>
      <c r="I108" s="40"/>
      <c r="J108" s="40"/>
      <c r="K108" s="36"/>
      <c r="L108" s="43">
        <f>IF(AND($A108='أفضل 5 طلاب'!$C$3,$B108=الإعدادات!$C$8,$N108=1,ISNUMBER($G108)),$G108*100000+N($H108)*100+N($I108)+(1000-ROW())/10000,0)</f>
        <v>0</v>
      </c>
      <c r="M108" s="43">
        <f>IF(AND($A108='أفضل 5 طلاب'!$C$3,$B108=الإعدادات!$C$9,$N108=1,ISNUMBER($G108)),$G108*100000+N($H108)*100+N($I108)+(1000-ROW())/10000,0)</f>
        <v>0</v>
      </c>
      <c r="N108" s="43">
        <f t="shared" si="3"/>
        <v>0</v>
      </c>
      <c r="O108" s="43" t="str">
        <f t="shared" si="5"/>
        <v/>
      </c>
      <c r="P108" s="43">
        <f t="shared" si="4"/>
        <v>0</v>
      </c>
    </row>
    <row r="109" spans="1:16">
      <c r="A109" s="48">
        <v>3</v>
      </c>
      <c r="B109" s="49" t="str">
        <f>IFERROR(INDEX(الطلاب!$C$5:$C$44,MATCH($D109,الطلاب!$A$5:$A$44,0)),"")</f>
        <v>المقرأة الثانية</v>
      </c>
      <c r="C109" s="49" t="str">
        <f>IFERROR(INDEX(الطلاب!$D$5:$D$44,MATCH($D109,الطلاب!$A$5:$A$44,0)),"")</f>
        <v xml:space="preserve">ابن رجب </v>
      </c>
      <c r="D109" s="49">
        <v>25</v>
      </c>
      <c r="E109" s="50" t="str">
        <f>IFERROR(INDEX(الطلاب!$B$5:$B$44,MATCH($D109,الطلاب!$A$5:$A$44,0)),"")</f>
        <v>جهاد الجدعان</v>
      </c>
      <c r="F109" s="40"/>
      <c r="G109" s="40"/>
      <c r="H109" s="40"/>
      <c r="I109" s="40"/>
      <c r="J109" s="40"/>
      <c r="K109" s="36"/>
      <c r="L109" s="43">
        <f>IF(AND($A109='أفضل 5 طلاب'!$C$3,$B109=الإعدادات!$C$8,$N109=1,ISNUMBER($G109)),$G109*100000+N($H109)*100+N($I109)+(1000-ROW())/10000,0)</f>
        <v>0</v>
      </c>
      <c r="M109" s="43">
        <f>IF(AND($A109='أفضل 5 طلاب'!$C$3,$B109=الإعدادات!$C$9,$N109=1,ISNUMBER($G109)),$G109*100000+N($H109)*100+N($I109)+(1000-ROW())/10000,0)</f>
        <v>0</v>
      </c>
      <c r="N109" s="43">
        <f t="shared" si="3"/>
        <v>0</v>
      </c>
      <c r="O109" s="43" t="str">
        <f t="shared" si="5"/>
        <v/>
      </c>
      <c r="P109" s="43">
        <f t="shared" si="4"/>
        <v>0</v>
      </c>
    </row>
    <row r="110" spans="1:16">
      <c r="A110" s="48">
        <v>3</v>
      </c>
      <c r="B110" s="49" t="str">
        <f>IFERROR(INDEX(الطلاب!$C$5:$C$44,MATCH($D110,الطلاب!$A$5:$A$44,0)),"")</f>
        <v>المقرأة الثانية</v>
      </c>
      <c r="C110" s="49" t="str">
        <f>IFERROR(INDEX(الطلاب!$D$5:$D$44,MATCH($D110,الطلاب!$A$5:$A$44,0)),"")</f>
        <v xml:space="preserve">ابن رجب </v>
      </c>
      <c r="D110" s="49">
        <v>26</v>
      </c>
      <c r="E110" s="50" t="str">
        <f>IFERROR(INDEX(الطلاب!$B$5:$B$44,MATCH($D110,الطلاب!$A$5:$A$44,0)),"")</f>
        <v>صلاح مسعد</v>
      </c>
      <c r="F110" s="40"/>
      <c r="G110" s="40"/>
      <c r="H110" s="40"/>
      <c r="I110" s="40"/>
      <c r="J110" s="40"/>
      <c r="K110" s="36"/>
      <c r="L110" s="43">
        <f>IF(AND($A110='أفضل 5 طلاب'!$C$3,$B110=الإعدادات!$C$8,$N110=1,ISNUMBER($G110)),$G110*100000+N($H110)*100+N($I110)+(1000-ROW())/10000,0)</f>
        <v>0</v>
      </c>
      <c r="M110" s="43">
        <f>IF(AND($A110='أفضل 5 طلاب'!$C$3,$B110=الإعدادات!$C$9,$N110=1,ISNUMBER($G110)),$G110*100000+N($H110)*100+N($I110)+(1000-ROW())/10000,0)</f>
        <v>0</v>
      </c>
      <c r="N110" s="43">
        <f t="shared" si="3"/>
        <v>0</v>
      </c>
      <c r="O110" s="43" t="str">
        <f t="shared" si="5"/>
        <v/>
      </c>
      <c r="P110" s="43">
        <f t="shared" si="4"/>
        <v>0</v>
      </c>
    </row>
    <row r="111" spans="1:16">
      <c r="A111" s="48">
        <v>3</v>
      </c>
      <c r="B111" s="49" t="str">
        <f>IFERROR(INDEX(الطلاب!$C$5:$C$44,MATCH($D111,الطلاب!$A$5:$A$44,0)),"")</f>
        <v>المقرأة الثانية</v>
      </c>
      <c r="C111" s="49" t="str">
        <f>IFERROR(INDEX(الطلاب!$D$5:$D$44,MATCH($D111,الطلاب!$A$5:$A$44,0)),"")</f>
        <v xml:space="preserve">ابي بن مالك </v>
      </c>
      <c r="D111" s="49">
        <v>27</v>
      </c>
      <c r="E111" s="50" t="str">
        <f>IFERROR(INDEX(الطلاب!$B$5:$B$44,MATCH($D111,الطلاب!$A$5:$A$44,0)),"")</f>
        <v>سالم بانوير</v>
      </c>
      <c r="F111" s="40"/>
      <c r="G111" s="40"/>
      <c r="H111" s="40"/>
      <c r="I111" s="40"/>
      <c r="J111" s="40"/>
      <c r="K111" s="36"/>
      <c r="L111" s="43">
        <f>IF(AND($A111='أفضل 5 طلاب'!$C$3,$B111=الإعدادات!$C$8,$N111=1,ISNUMBER($G111)),$G111*100000+N($H111)*100+N($I111)+(1000-ROW())/10000,0)</f>
        <v>0</v>
      </c>
      <c r="M111" s="43">
        <f>IF(AND($A111='أفضل 5 طلاب'!$C$3,$B111=الإعدادات!$C$9,$N111=1,ISNUMBER($G111)),$G111*100000+N($H111)*100+N($I111)+(1000-ROW())/10000,0)</f>
        <v>0</v>
      </c>
      <c r="N111" s="43">
        <f t="shared" si="3"/>
        <v>0</v>
      </c>
      <c r="O111" s="43" t="str">
        <f t="shared" si="5"/>
        <v/>
      </c>
      <c r="P111" s="43">
        <f t="shared" si="4"/>
        <v>0</v>
      </c>
    </row>
    <row r="112" spans="1:16">
      <c r="A112" s="48">
        <v>3</v>
      </c>
      <c r="B112" s="49" t="str">
        <f>IFERROR(INDEX(الطلاب!$C$5:$C$44,MATCH($D112,الطلاب!$A$5:$A$44,0)),"")</f>
        <v>المقرأة الثانية</v>
      </c>
      <c r="C112" s="49" t="str">
        <f>IFERROR(INDEX(الطلاب!$D$5:$D$44,MATCH($D112,الطلاب!$A$5:$A$44,0)),"")</f>
        <v xml:space="preserve">ابي بن مالك </v>
      </c>
      <c r="D112" s="49">
        <v>28</v>
      </c>
      <c r="E112" s="50" t="str">
        <f>IFERROR(INDEX(الطلاب!$B$5:$B$44,MATCH($D112,الطلاب!$A$5:$A$44,0)),"")</f>
        <v xml:space="preserve">عبدالعزيز الصقعبي </v>
      </c>
      <c r="F112" s="40"/>
      <c r="G112" s="40"/>
      <c r="H112" s="40"/>
      <c r="I112" s="40"/>
      <c r="J112" s="40"/>
      <c r="K112" s="36"/>
      <c r="L112" s="43">
        <f>IF(AND($A112='أفضل 5 طلاب'!$C$3,$B112=الإعدادات!$C$8,$N112=1,ISNUMBER($G112)),$G112*100000+N($H112)*100+N($I112)+(1000-ROW())/10000,0)</f>
        <v>0</v>
      </c>
      <c r="M112" s="43">
        <f>IF(AND($A112='أفضل 5 طلاب'!$C$3,$B112=الإعدادات!$C$9,$N112=1,ISNUMBER($G112)),$G112*100000+N($H112)*100+N($I112)+(1000-ROW())/10000,0)</f>
        <v>0</v>
      </c>
      <c r="N112" s="43">
        <f t="shared" si="3"/>
        <v>0</v>
      </c>
      <c r="O112" s="43" t="str">
        <f t="shared" si="5"/>
        <v/>
      </c>
      <c r="P112" s="43">
        <f t="shared" si="4"/>
        <v>0</v>
      </c>
    </row>
    <row r="113" spans="1:16">
      <c r="A113" s="48">
        <v>3</v>
      </c>
      <c r="B113" s="49" t="str">
        <f>IFERROR(INDEX(الطلاب!$C$5:$C$44,MATCH($D113,الطلاب!$A$5:$A$44,0)),"")</f>
        <v>المقرأة الثانية</v>
      </c>
      <c r="C113" s="49" t="str">
        <f>IFERROR(INDEX(الطلاب!$D$5:$D$44,MATCH($D113,الطلاب!$A$5:$A$44,0)),"")</f>
        <v xml:space="preserve">ابي بن مالك </v>
      </c>
      <c r="D113" s="49">
        <v>29</v>
      </c>
      <c r="E113" s="50" t="str">
        <f>IFERROR(INDEX(الطلاب!$B$5:$B$44,MATCH($D113,الطلاب!$A$5:$A$44,0)),"")</f>
        <v xml:space="preserve">عبدالله المجيدل </v>
      </c>
      <c r="F113" s="40"/>
      <c r="G113" s="40"/>
      <c r="H113" s="40"/>
      <c r="I113" s="40"/>
      <c r="J113" s="40"/>
      <c r="K113" s="36"/>
      <c r="L113" s="43">
        <f>IF(AND($A113='أفضل 5 طلاب'!$C$3,$B113=الإعدادات!$C$8,$N113=1,ISNUMBER($G113)),$G113*100000+N($H113)*100+N($I113)+(1000-ROW())/10000,0)</f>
        <v>0</v>
      </c>
      <c r="M113" s="43">
        <f>IF(AND($A113='أفضل 5 طلاب'!$C$3,$B113=الإعدادات!$C$9,$N113=1,ISNUMBER($G113)),$G113*100000+N($H113)*100+N($I113)+(1000-ROW())/10000,0)</f>
        <v>0</v>
      </c>
      <c r="N113" s="43">
        <f t="shared" si="3"/>
        <v>0</v>
      </c>
      <c r="O113" s="43" t="str">
        <f t="shared" si="5"/>
        <v/>
      </c>
      <c r="P113" s="43">
        <f t="shared" si="4"/>
        <v>0</v>
      </c>
    </row>
    <row r="114" spans="1:16">
      <c r="A114" s="48">
        <v>3</v>
      </c>
      <c r="B114" s="49" t="str">
        <f>IFERROR(INDEX(الطلاب!$C$5:$C$44,MATCH($D114,الطلاب!$A$5:$A$44,0)),"")</f>
        <v>المقرأة الثانية</v>
      </c>
      <c r="C114" s="49" t="str">
        <f>IFERROR(INDEX(الطلاب!$D$5:$D$44,MATCH($D114,الطلاب!$A$5:$A$44,0)),"")</f>
        <v xml:space="preserve">ابي بن مالك </v>
      </c>
      <c r="D114" s="49">
        <v>30</v>
      </c>
      <c r="E114" s="50" t="str">
        <f>IFERROR(INDEX(الطلاب!$B$5:$B$44,MATCH($D114,الطلاب!$A$5:$A$44,0)),"")</f>
        <v>فواز الشدوخي</v>
      </c>
      <c r="F114" s="40"/>
      <c r="G114" s="40"/>
      <c r="H114" s="40"/>
      <c r="I114" s="40"/>
      <c r="J114" s="40"/>
      <c r="K114" s="36"/>
      <c r="L114" s="43">
        <f>IF(AND($A114='أفضل 5 طلاب'!$C$3,$B114=الإعدادات!$C$8,$N114=1,ISNUMBER($G114)),$G114*100000+N($H114)*100+N($I114)+(1000-ROW())/10000,0)</f>
        <v>0</v>
      </c>
      <c r="M114" s="43">
        <f>IF(AND($A114='أفضل 5 طلاب'!$C$3,$B114=الإعدادات!$C$9,$N114=1,ISNUMBER($G114)),$G114*100000+N($H114)*100+N($I114)+(1000-ROW())/10000,0)</f>
        <v>0</v>
      </c>
      <c r="N114" s="43">
        <f t="shared" si="3"/>
        <v>0</v>
      </c>
      <c r="O114" s="43" t="str">
        <f t="shared" si="5"/>
        <v/>
      </c>
      <c r="P114" s="43">
        <f t="shared" si="4"/>
        <v>0</v>
      </c>
    </row>
    <row r="115" spans="1:16">
      <c r="A115" s="48">
        <v>3</v>
      </c>
      <c r="B115" s="49" t="str">
        <f>IFERROR(INDEX(الطلاب!$C$5:$C$44,MATCH($D115,الطلاب!$A$5:$A$44,0)),"")</f>
        <v>المقرأة الثانية</v>
      </c>
      <c r="C115" s="49" t="str">
        <f>IFERROR(INDEX(الطلاب!$D$5:$D$44,MATCH($D115,الطلاب!$A$5:$A$44,0)),"")</f>
        <v xml:space="preserve">ابي بن مالك </v>
      </c>
      <c r="D115" s="49">
        <v>31</v>
      </c>
      <c r="E115" s="50" t="str">
        <f>IFERROR(INDEX(الطلاب!$B$5:$B$44,MATCH($D115,الطلاب!$A$5:$A$44,0)),"")</f>
        <v>محمد الطامي</v>
      </c>
      <c r="F115" s="40"/>
      <c r="G115" s="40"/>
      <c r="H115" s="40"/>
      <c r="I115" s="40"/>
      <c r="J115" s="40"/>
      <c r="K115" s="36"/>
      <c r="L115" s="43">
        <f>IF(AND($A115='أفضل 5 طلاب'!$C$3,$B115=الإعدادات!$C$8,$N115=1,ISNUMBER($G115)),$G115*100000+N($H115)*100+N($I115)+(1000-ROW())/10000,0)</f>
        <v>0</v>
      </c>
      <c r="M115" s="43">
        <f>IF(AND($A115='أفضل 5 طلاب'!$C$3,$B115=الإعدادات!$C$9,$N115=1,ISNUMBER($G115)),$G115*100000+N($H115)*100+N($I115)+(1000-ROW())/10000,0)</f>
        <v>0</v>
      </c>
      <c r="N115" s="43">
        <f t="shared" si="3"/>
        <v>0</v>
      </c>
      <c r="O115" s="43" t="str">
        <f t="shared" si="5"/>
        <v/>
      </c>
      <c r="P115" s="43">
        <f t="shared" si="4"/>
        <v>0</v>
      </c>
    </row>
    <row r="116" spans="1:16">
      <c r="A116" s="48">
        <v>3</v>
      </c>
      <c r="B116" s="49" t="str">
        <f>IFERROR(INDEX(الطلاب!$C$5:$C$44,MATCH($D116,الطلاب!$A$5:$A$44,0)),"")</f>
        <v>المقرأة الثانية</v>
      </c>
      <c r="C116" s="49" t="str">
        <f>IFERROR(INDEX(الطلاب!$D$5:$D$44,MATCH($D116,الطلاب!$A$5:$A$44,0)),"")</f>
        <v xml:space="preserve">ابي بن مالك </v>
      </c>
      <c r="D116" s="49">
        <v>32</v>
      </c>
      <c r="E116" s="50" t="str">
        <f>IFERROR(INDEX(الطلاب!$B$5:$B$44,MATCH($D116,الطلاب!$A$5:$A$44,0)),"")</f>
        <v xml:space="preserve">مهند الغماس </v>
      </c>
      <c r="F116" s="40"/>
      <c r="G116" s="40"/>
      <c r="H116" s="40"/>
      <c r="I116" s="40"/>
      <c r="J116" s="40"/>
      <c r="K116" s="36"/>
      <c r="L116" s="43">
        <f>IF(AND($A116='أفضل 5 طلاب'!$C$3,$B116=الإعدادات!$C$8,$N116=1,ISNUMBER($G116)),$G116*100000+N($H116)*100+N($I116)+(1000-ROW())/10000,0)</f>
        <v>0</v>
      </c>
      <c r="M116" s="43">
        <f>IF(AND($A116='أفضل 5 طلاب'!$C$3,$B116=الإعدادات!$C$9,$N116=1,ISNUMBER($G116)),$G116*100000+N($H116)*100+N($I116)+(1000-ROW())/10000,0)</f>
        <v>0</v>
      </c>
      <c r="N116" s="43">
        <f t="shared" si="3"/>
        <v>0</v>
      </c>
      <c r="O116" s="43" t="str">
        <f t="shared" si="5"/>
        <v/>
      </c>
      <c r="P116" s="43">
        <f t="shared" si="4"/>
        <v>0</v>
      </c>
    </row>
    <row r="117" spans="1:16">
      <c r="A117" s="48">
        <v>3</v>
      </c>
      <c r="B117" s="49" t="str">
        <f>IFERROR(INDEX(الطلاب!$C$5:$C$44,MATCH($D117,الطلاب!$A$5:$A$44,0)),"")</f>
        <v>المقرأة الثانية</v>
      </c>
      <c r="C117" s="49" t="str">
        <f>IFERROR(INDEX(الطلاب!$D$5:$D$44,MATCH($D117,الطلاب!$A$5:$A$44,0)),"")</f>
        <v xml:space="preserve">ابي بن مالك </v>
      </c>
      <c r="D117" s="49">
        <v>33</v>
      </c>
      <c r="E117" s="50" t="str">
        <f>IFERROR(INDEX(الطلاب!$B$5:$B$44,MATCH($D117,الطلاب!$A$5:$A$44,0)),"")</f>
        <v>يوسف الحربي</v>
      </c>
      <c r="F117" s="40"/>
      <c r="G117" s="40"/>
      <c r="H117" s="40"/>
      <c r="I117" s="40"/>
      <c r="J117" s="40"/>
      <c r="K117" s="36"/>
      <c r="L117" s="43">
        <f>IF(AND($A117='أفضل 5 طلاب'!$C$3,$B117=الإعدادات!$C$8,$N117=1,ISNUMBER($G117)),$G117*100000+N($H117)*100+N($I117)+(1000-ROW())/10000,0)</f>
        <v>0</v>
      </c>
      <c r="M117" s="43">
        <f>IF(AND($A117='أفضل 5 طلاب'!$C$3,$B117=الإعدادات!$C$9,$N117=1,ISNUMBER($G117)),$G117*100000+N($H117)*100+N($I117)+(1000-ROW())/10000,0)</f>
        <v>0</v>
      </c>
      <c r="N117" s="43">
        <f t="shared" si="3"/>
        <v>0</v>
      </c>
      <c r="O117" s="43" t="str">
        <f t="shared" si="5"/>
        <v/>
      </c>
      <c r="P117" s="43">
        <f t="shared" si="4"/>
        <v>0</v>
      </c>
    </row>
    <row r="118" spans="1:16">
      <c r="A118" s="48">
        <v>3</v>
      </c>
      <c r="B118" s="49" t="str">
        <f>IFERROR(INDEX(الطلاب!$C$5:$C$44,MATCH($D118,الطلاب!$A$5:$A$44,0)),"")</f>
        <v>المقرأة الثانية</v>
      </c>
      <c r="C118" s="49" t="str">
        <f>IFERROR(INDEX(الطلاب!$D$5:$D$44,MATCH($D118,الطلاب!$A$5:$A$44,0)),"")</f>
        <v xml:space="preserve">ابي بن مالك </v>
      </c>
      <c r="D118" s="49">
        <v>34</v>
      </c>
      <c r="E118" s="50" t="str">
        <f>IFERROR(INDEX(الطلاب!$B$5:$B$44,MATCH($D118,الطلاب!$A$5:$A$44,0)),"")</f>
        <v xml:space="preserve">عدي الفريح </v>
      </c>
      <c r="F118" s="40"/>
      <c r="G118" s="40"/>
      <c r="H118" s="40"/>
      <c r="I118" s="40"/>
      <c r="J118" s="40"/>
      <c r="K118" s="36"/>
      <c r="L118" s="43">
        <f>IF(AND($A118='أفضل 5 طلاب'!$C$3,$B118=الإعدادات!$C$8,$N118=1,ISNUMBER($G118)),$G118*100000+N($H118)*100+N($I118)+(1000-ROW())/10000,0)</f>
        <v>0</v>
      </c>
      <c r="M118" s="43">
        <f>IF(AND($A118='أفضل 5 طلاب'!$C$3,$B118=الإعدادات!$C$9,$N118=1,ISNUMBER($G118)),$G118*100000+N($H118)*100+N($I118)+(1000-ROW())/10000,0)</f>
        <v>0</v>
      </c>
      <c r="N118" s="43">
        <f t="shared" si="3"/>
        <v>0</v>
      </c>
      <c r="O118" s="43" t="str">
        <f t="shared" si="5"/>
        <v/>
      </c>
      <c r="P118" s="43">
        <f t="shared" si="4"/>
        <v>0</v>
      </c>
    </row>
    <row r="119" spans="1:16">
      <c r="A119" s="48">
        <v>3</v>
      </c>
      <c r="B119" s="49" t="str">
        <f>IFERROR(INDEX(الطلاب!$C$5:$C$44,MATCH($D119,الطلاب!$A$5:$A$44,0)),"")</f>
        <v>المقرأة الثانية</v>
      </c>
      <c r="C119" s="49" t="str">
        <f>IFERROR(INDEX(الطلاب!$D$5:$D$44,MATCH($D119,الطلاب!$A$5:$A$44,0)),"")</f>
        <v xml:space="preserve">ابي بن مالك </v>
      </c>
      <c r="D119" s="49">
        <v>35</v>
      </c>
      <c r="E119" s="50" t="str">
        <f>IFERROR(INDEX(الطلاب!$B$5:$B$44,MATCH($D119,الطلاب!$A$5:$A$44,0)),"")</f>
        <v xml:space="preserve">عبدالله الفايزي </v>
      </c>
      <c r="F119" s="40"/>
      <c r="G119" s="40"/>
      <c r="H119" s="40"/>
      <c r="I119" s="40"/>
      <c r="J119" s="40"/>
      <c r="K119" s="36"/>
      <c r="L119" s="43">
        <f>IF(AND($A119='أفضل 5 طلاب'!$C$3,$B119=الإعدادات!$C$8,$N119=1,ISNUMBER($G119)),$G119*100000+N($H119)*100+N($I119)+(1000-ROW())/10000,0)</f>
        <v>0</v>
      </c>
      <c r="M119" s="43">
        <f>IF(AND($A119='أفضل 5 طلاب'!$C$3,$B119=الإعدادات!$C$9,$N119=1,ISNUMBER($G119)),$G119*100000+N($H119)*100+N($I119)+(1000-ROW())/10000,0)</f>
        <v>0</v>
      </c>
      <c r="N119" s="43">
        <f t="shared" si="3"/>
        <v>0</v>
      </c>
      <c r="O119" s="43" t="str">
        <f t="shared" si="5"/>
        <v/>
      </c>
      <c r="P119" s="43">
        <f t="shared" si="4"/>
        <v>0</v>
      </c>
    </row>
    <row r="120" spans="1:16">
      <c r="A120" s="48">
        <v>3</v>
      </c>
      <c r="B120" s="49">
        <f>IFERROR(INDEX(الطلاب!$C$5:$C$44,MATCH($D120,الطلاب!$A$5:$A$44,0)),"")</f>
        <v>0</v>
      </c>
      <c r="C120" s="49">
        <f>IFERROR(INDEX(الطلاب!$D$5:$D$44,MATCH($D120,الطلاب!$A$5:$A$44,0)),"")</f>
        <v>0</v>
      </c>
      <c r="D120" s="49">
        <v>36</v>
      </c>
      <c r="E120" s="50" t="str">
        <f>IFERROR(INDEX(الطلاب!$B$5:$B$44,MATCH($D120,الطلاب!$A$5:$A$44,0)),"")</f>
        <v xml:space="preserve">عزام الحسن </v>
      </c>
      <c r="F120" s="40"/>
      <c r="G120" s="40"/>
      <c r="H120" s="40"/>
      <c r="I120" s="40"/>
      <c r="J120" s="40"/>
      <c r="K120" s="36"/>
      <c r="L120" s="43">
        <f>IF(AND($A120='أفضل 5 طلاب'!$C$3,$B120=الإعدادات!$C$8,$N120=1,ISNUMBER($G120)),$G120*100000+N($H120)*100+N($I120)+(1000-ROW())/10000,0)</f>
        <v>0</v>
      </c>
      <c r="M120" s="43">
        <f>IF(AND($A120='أفضل 5 طلاب'!$C$3,$B120=الإعدادات!$C$9,$N120=1,ISNUMBER($G120)),$G120*100000+N($H120)*100+N($I120)+(1000-ROW())/10000,0)</f>
        <v>0</v>
      </c>
      <c r="N120" s="43">
        <f t="shared" si="3"/>
        <v>0</v>
      </c>
      <c r="O120" s="43" t="str">
        <f t="shared" si="5"/>
        <v/>
      </c>
      <c r="P120" s="43">
        <f t="shared" si="4"/>
        <v>0</v>
      </c>
    </row>
    <row r="121" spans="1:16">
      <c r="A121" s="48">
        <v>3</v>
      </c>
      <c r="B121" s="49" t="str">
        <f>IFERROR(INDEX(الطلاب!$C$5:$C$44,MATCH($D121,الطلاب!$A$5:$A$44,0)),"")</f>
        <v>المقرأة الأولى</v>
      </c>
      <c r="C121" s="49" t="str">
        <f>IFERROR(INDEX(الطلاب!$D$5:$D$44,MATCH($D121,الطلاب!$A$5:$A$44,0)),"")</f>
        <v xml:space="preserve">عبدالرحمن بن النعمان </v>
      </c>
      <c r="D121" s="49">
        <v>37</v>
      </c>
      <c r="E121" s="50" t="str">
        <f>IFERROR(INDEX(الطلاب!$B$5:$B$44,MATCH($D121,الطلاب!$A$5:$A$44,0)),"")</f>
        <v xml:space="preserve">أسامة السعوي </v>
      </c>
      <c r="F121" s="40"/>
      <c r="G121" s="40"/>
      <c r="H121" s="40"/>
      <c r="I121" s="40"/>
      <c r="J121" s="40"/>
      <c r="K121" s="36"/>
      <c r="L121" s="43">
        <f>IF(AND($A121='أفضل 5 طلاب'!$C$3,$B121=الإعدادات!$C$8,$N121=1,ISNUMBER($G121)),$G121*100000+N($H121)*100+N($I121)+(1000-ROW())/10000,0)</f>
        <v>0</v>
      </c>
      <c r="M121" s="43">
        <f>IF(AND($A121='أفضل 5 طلاب'!$C$3,$B121=الإعدادات!$C$9,$N121=1,ISNUMBER($G121)),$G121*100000+N($H121)*100+N($I121)+(1000-ROW())/10000,0)</f>
        <v>0</v>
      </c>
      <c r="N121" s="43">
        <f t="shared" si="3"/>
        <v>0</v>
      </c>
      <c r="O121" s="43" t="str">
        <f t="shared" si="5"/>
        <v/>
      </c>
      <c r="P121" s="43">
        <f t="shared" si="4"/>
        <v>0</v>
      </c>
    </row>
    <row r="122" spans="1:16">
      <c r="A122" s="48">
        <v>3</v>
      </c>
      <c r="B122" s="49" t="str">
        <f>IFERROR(INDEX(الطلاب!$C$5:$C$44,MATCH($D122,الطلاب!$A$5:$A$44,0)),"")</f>
        <v>المقرأة الأولى</v>
      </c>
      <c r="C122" s="49" t="str">
        <f>IFERROR(INDEX(الطلاب!$D$5:$D$44,MATCH($D122,الطلاب!$A$5:$A$44,0)),"")</f>
        <v xml:space="preserve">حسان بن ثابت </v>
      </c>
      <c r="D122" s="49">
        <v>38</v>
      </c>
      <c r="E122" s="50" t="str">
        <f>IFERROR(INDEX(الطلاب!$B$5:$B$44,MATCH($D122,الطلاب!$A$5:$A$44,0)),"")</f>
        <v xml:space="preserve">عاصم الضالع </v>
      </c>
      <c r="F122" s="40"/>
      <c r="G122" s="40"/>
      <c r="H122" s="40"/>
      <c r="I122" s="40"/>
      <c r="J122" s="40"/>
      <c r="K122" s="36"/>
      <c r="L122" s="43">
        <f>IF(AND($A122='أفضل 5 طلاب'!$C$3,$B122=الإعدادات!$C$8,$N122=1,ISNUMBER($G122)),$G122*100000+N($H122)*100+N($I122)+(1000-ROW())/10000,0)</f>
        <v>0</v>
      </c>
      <c r="M122" s="43">
        <f>IF(AND($A122='أفضل 5 طلاب'!$C$3,$B122=الإعدادات!$C$9,$N122=1,ISNUMBER($G122)),$G122*100000+N($H122)*100+N($I122)+(1000-ROW())/10000,0)</f>
        <v>0</v>
      </c>
      <c r="N122" s="43">
        <f t="shared" si="3"/>
        <v>0</v>
      </c>
      <c r="O122" s="43" t="str">
        <f t="shared" si="5"/>
        <v/>
      </c>
      <c r="P122" s="43">
        <f t="shared" si="4"/>
        <v>0</v>
      </c>
    </row>
    <row r="123" spans="1:16">
      <c r="A123" s="48">
        <v>3</v>
      </c>
      <c r="B123" s="49">
        <f>IFERROR(INDEX(الطلاب!$C$5:$C$44,MATCH($D123,الطلاب!$A$5:$A$44,0)),"")</f>
        <v>0</v>
      </c>
      <c r="C123" s="49">
        <f>IFERROR(INDEX(الطلاب!$D$5:$D$44,MATCH($D123,الطلاب!$A$5:$A$44,0)),"")</f>
        <v>0</v>
      </c>
      <c r="D123" s="49">
        <v>39</v>
      </c>
      <c r="E123" s="50">
        <f>IFERROR(INDEX(الطلاب!$B$5:$B$44,MATCH($D123,الطلاب!$A$5:$A$44,0)),"")</f>
        <v>0</v>
      </c>
      <c r="F123" s="40"/>
      <c r="G123" s="40"/>
      <c r="H123" s="40"/>
      <c r="I123" s="40"/>
      <c r="J123" s="40"/>
      <c r="K123" s="36"/>
      <c r="L123" s="43">
        <f>IF(AND($A123='أفضل 5 طلاب'!$C$3,$B123=الإعدادات!$C$8,$N123=1,ISNUMBER($G123)),$G123*100000+N($H123)*100+N($I123)+(1000-ROW())/10000,0)</f>
        <v>0</v>
      </c>
      <c r="M123" s="43">
        <f>IF(AND($A123='أفضل 5 طلاب'!$C$3,$B123=الإعدادات!$C$9,$N123=1,ISNUMBER($G123)),$G123*100000+N($H123)*100+N($I123)+(1000-ROW())/10000,0)</f>
        <v>0</v>
      </c>
      <c r="N123" s="43">
        <f t="shared" si="3"/>
        <v>0</v>
      </c>
      <c r="O123" s="43" t="str">
        <f t="shared" si="5"/>
        <v/>
      </c>
      <c r="P123" s="43">
        <f t="shared" si="4"/>
        <v>0</v>
      </c>
    </row>
    <row r="124" spans="1:16" ht="15.95" thickBot="1">
      <c r="A124" s="48">
        <v>3</v>
      </c>
      <c r="B124" s="49">
        <f>IFERROR(INDEX(الطلاب!$C$5:$C$44,MATCH($D124,الطلاب!$A$5:$A$44,0)),"")</f>
        <v>0</v>
      </c>
      <c r="C124" s="49">
        <f>IFERROR(INDEX(الطلاب!$D$5:$D$44,MATCH($D124,الطلاب!$A$5:$A$44,0)),"")</f>
        <v>0</v>
      </c>
      <c r="D124" s="49">
        <v>40</v>
      </c>
      <c r="E124" s="50">
        <f>IFERROR(INDEX(الطلاب!$B$5:$B$44,MATCH($D124,الطلاب!$A$5:$A$44,0)),"")</f>
        <v>0</v>
      </c>
      <c r="F124" s="40"/>
      <c r="G124" s="40"/>
      <c r="H124" s="40"/>
      <c r="I124" s="40"/>
      <c r="J124" s="40"/>
      <c r="K124" s="36"/>
      <c r="L124" s="43">
        <f>IF(AND($A124='أفضل 5 طلاب'!$C$3,$B124=الإعدادات!$C$8,$N124=1,ISNUMBER($G124)),$G124*100000+N($H124)*100+N($I124)+(1000-ROW())/10000,0)</f>
        <v>0</v>
      </c>
      <c r="M124" s="43">
        <f>IF(AND($A124='أفضل 5 طلاب'!$C$3,$B124=الإعدادات!$C$9,$N124=1,ISNUMBER($G124)),$G124*100000+N($H124)*100+N($I124)+(1000-ROW())/10000,0)</f>
        <v>0</v>
      </c>
      <c r="N124" s="43">
        <f t="shared" si="3"/>
        <v>0</v>
      </c>
      <c r="O124" s="43" t="str">
        <f t="shared" si="5"/>
        <v/>
      </c>
      <c r="P124" s="43">
        <f t="shared" si="4"/>
        <v>0</v>
      </c>
    </row>
    <row r="125" spans="1:16">
      <c r="A125" s="52">
        <v>4</v>
      </c>
      <c r="B125" s="54" t="str">
        <f>IFERROR(INDEX(الطلاب!$C$5:$C$44,MATCH($D125,الطلاب!$A$5:$A$44,0)),"")</f>
        <v>المقرأة الأولى</v>
      </c>
      <c r="C125" s="54" t="str">
        <f>IFERROR(INDEX(الطلاب!$D$5:$D$44,MATCH($D125,الطلاب!$A$5:$A$44,0)),"")</f>
        <v xml:space="preserve">عبدالرحمن بن النعمان </v>
      </c>
      <c r="D125" s="54">
        <v>1</v>
      </c>
      <c r="E125" s="56" t="str">
        <f>IFERROR(INDEX(الطلاب!$B$5:$B$44,MATCH($D125,الطلاب!$A$5:$A$44,0)),"")</f>
        <v>غسان اليحيى</v>
      </c>
      <c r="F125" s="47"/>
      <c r="G125" s="47"/>
      <c r="H125" s="47"/>
      <c r="I125" s="47"/>
      <c r="J125" s="47"/>
      <c r="K125" s="36"/>
      <c r="L125" s="43">
        <f>IF(AND($A125='أفضل 5 طلاب'!$C$3,$B125=الإعدادات!$C$8,$N125=1,ISNUMBER($G125)),$G125*100000+N($H125)*100+N($I125)+(1000-ROW())/10000,0)</f>
        <v>0</v>
      </c>
      <c r="M125" s="43">
        <f>IF(AND($A125='أفضل 5 طلاب'!$C$3,$B125=الإعدادات!$C$9,$N125=1,ISNUMBER($G125)),$G125*100000+N($H125)*100+N($I125)+(1000-ROW())/10000,0)</f>
        <v>0</v>
      </c>
      <c r="N125" s="43">
        <f t="shared" si="3"/>
        <v>0</v>
      </c>
      <c r="O125" s="43" t="str">
        <f t="shared" si="5"/>
        <v/>
      </c>
      <c r="P125" s="43">
        <f t="shared" si="4"/>
        <v>0</v>
      </c>
    </row>
    <row r="126" spans="1:16">
      <c r="A126" s="58">
        <v>4</v>
      </c>
      <c r="B126" s="59" t="str">
        <f>IFERROR(INDEX(الطلاب!$C$5:$C$44,MATCH($D126,الطلاب!$A$5:$A$44,0)),"")</f>
        <v>المقرأة الأولى</v>
      </c>
      <c r="C126" s="59" t="str">
        <f>IFERROR(INDEX(الطلاب!$D$5:$D$44,MATCH($D126,الطلاب!$A$5:$A$44,0)),"")</f>
        <v xml:space="preserve">عبدالرحمن بن النعمان </v>
      </c>
      <c r="D126" s="59">
        <v>2</v>
      </c>
      <c r="E126" s="60" t="str">
        <f>IFERROR(INDEX(الطلاب!$B$5:$B$44,MATCH($D126,الطلاب!$A$5:$A$44,0)),"")</f>
        <v xml:space="preserve">صالح الشريف </v>
      </c>
      <c r="F126" s="40"/>
      <c r="G126" s="40"/>
      <c r="H126" s="40"/>
      <c r="I126" s="40"/>
      <c r="J126" s="40"/>
      <c r="K126" s="36"/>
      <c r="L126" s="43">
        <f>IF(AND($A126='أفضل 5 طلاب'!$C$3,$B126=الإعدادات!$C$8,$N126=1,ISNUMBER($G126)),$G126*100000+N($H126)*100+N($I126)+(1000-ROW())/10000,0)</f>
        <v>0</v>
      </c>
      <c r="M126" s="43">
        <f>IF(AND($A126='أفضل 5 طلاب'!$C$3,$B126=الإعدادات!$C$9,$N126=1,ISNUMBER($G126)),$G126*100000+N($H126)*100+N($I126)+(1000-ROW())/10000,0)</f>
        <v>0</v>
      </c>
      <c r="N126" s="43">
        <f t="shared" si="3"/>
        <v>0</v>
      </c>
      <c r="O126" s="43" t="str">
        <f t="shared" si="5"/>
        <v/>
      </c>
      <c r="P126" s="43">
        <f t="shared" si="4"/>
        <v>0</v>
      </c>
    </row>
    <row r="127" spans="1:16">
      <c r="A127" s="58">
        <v>4</v>
      </c>
      <c r="B127" s="59" t="str">
        <f>IFERROR(INDEX(الطلاب!$C$5:$C$44,MATCH($D127,الطلاب!$A$5:$A$44,0)),"")</f>
        <v>المقرأة الأولى</v>
      </c>
      <c r="C127" s="59" t="str">
        <f>IFERROR(INDEX(الطلاب!$D$5:$D$44,MATCH($D127,الطلاب!$A$5:$A$44,0)),"")</f>
        <v xml:space="preserve">عبدالرحمن بن النعمان </v>
      </c>
      <c r="D127" s="59">
        <v>3</v>
      </c>
      <c r="E127" s="60" t="str">
        <f>IFERROR(INDEX(الطلاب!$B$5:$B$44,MATCH($D127,الطلاب!$A$5:$A$44,0)),"")</f>
        <v xml:space="preserve">فهد المشيقح </v>
      </c>
      <c r="F127" s="40"/>
      <c r="G127" s="40"/>
      <c r="H127" s="40"/>
      <c r="I127" s="40"/>
      <c r="J127" s="40"/>
      <c r="K127" s="36"/>
      <c r="L127" s="43">
        <f>IF(AND($A127='أفضل 5 طلاب'!$C$3,$B127=الإعدادات!$C$8,$N127=1,ISNUMBER($G127)),$G127*100000+N($H127)*100+N($I127)+(1000-ROW())/10000,0)</f>
        <v>0</v>
      </c>
      <c r="M127" s="43">
        <f>IF(AND($A127='أفضل 5 طلاب'!$C$3,$B127=الإعدادات!$C$9,$N127=1,ISNUMBER($G127)),$G127*100000+N($H127)*100+N($I127)+(1000-ROW())/10000,0)</f>
        <v>0</v>
      </c>
      <c r="N127" s="43">
        <f t="shared" si="3"/>
        <v>0</v>
      </c>
      <c r="O127" s="43" t="str">
        <f t="shared" si="5"/>
        <v/>
      </c>
      <c r="P127" s="43">
        <f t="shared" si="4"/>
        <v>0</v>
      </c>
    </row>
    <row r="128" spans="1:16">
      <c r="A128" s="58">
        <v>4</v>
      </c>
      <c r="B128" s="59" t="str">
        <f>IFERROR(INDEX(الطلاب!$C$5:$C$44,MATCH($D128,الطلاب!$A$5:$A$44,0)),"")</f>
        <v>المقرأة الأولى</v>
      </c>
      <c r="C128" s="59" t="str">
        <f>IFERROR(INDEX(الطلاب!$D$5:$D$44,MATCH($D128,الطلاب!$A$5:$A$44,0)),"")</f>
        <v xml:space="preserve">عبدالرحمن بن النعمان </v>
      </c>
      <c r="D128" s="59">
        <v>4</v>
      </c>
      <c r="E128" s="60" t="str">
        <f>IFERROR(INDEX(الطلاب!$B$5:$B$44,MATCH($D128,الطلاب!$A$5:$A$44,0)),"")</f>
        <v>عبدالله الحفير</v>
      </c>
      <c r="F128" s="40"/>
      <c r="G128" s="40"/>
      <c r="H128" s="40"/>
      <c r="I128" s="40"/>
      <c r="J128" s="40"/>
      <c r="K128" s="36"/>
      <c r="L128" s="43">
        <f>IF(AND($A128='أفضل 5 طلاب'!$C$3,$B128=الإعدادات!$C$8,$N128=1,ISNUMBER($G128)),$G128*100000+N($H128)*100+N($I128)+(1000-ROW())/10000,0)</f>
        <v>0</v>
      </c>
      <c r="M128" s="43">
        <f>IF(AND($A128='أفضل 5 طلاب'!$C$3,$B128=الإعدادات!$C$9,$N128=1,ISNUMBER($G128)),$G128*100000+N($H128)*100+N($I128)+(1000-ROW())/10000,0)</f>
        <v>0</v>
      </c>
      <c r="N128" s="43">
        <f t="shared" si="3"/>
        <v>0</v>
      </c>
      <c r="O128" s="43" t="str">
        <f t="shared" si="5"/>
        <v/>
      </c>
      <c r="P128" s="43">
        <f t="shared" si="4"/>
        <v>0</v>
      </c>
    </row>
    <row r="129" spans="1:16">
      <c r="A129" s="58">
        <v>4</v>
      </c>
      <c r="B129" s="59" t="str">
        <f>IFERROR(INDEX(الطلاب!$C$5:$C$44,MATCH($D129,الطلاب!$A$5:$A$44,0)),"")</f>
        <v>المقرأة الأولى</v>
      </c>
      <c r="C129" s="59" t="str">
        <f>IFERROR(INDEX(الطلاب!$D$5:$D$44,MATCH($D129,الطلاب!$A$5:$A$44,0)),"")</f>
        <v xml:space="preserve">عبدالرحمن بن النعمان </v>
      </c>
      <c r="D129" s="59">
        <v>5</v>
      </c>
      <c r="E129" s="60" t="str">
        <f>IFERROR(INDEX(الطلاب!$B$5:$B$44,MATCH($D129,الطلاب!$A$5:$A$44,0)),"")</f>
        <v>زياد الدخيل الله</v>
      </c>
      <c r="F129" s="40"/>
      <c r="G129" s="40"/>
      <c r="H129" s="40"/>
      <c r="I129" s="40"/>
      <c r="J129" s="40"/>
      <c r="K129" s="36"/>
      <c r="L129" s="43">
        <f>IF(AND($A129='أفضل 5 طلاب'!$C$3,$B129=الإعدادات!$C$8,$N129=1,ISNUMBER($G129)),$G129*100000+N($H129)*100+N($I129)+(1000-ROW())/10000,0)</f>
        <v>0</v>
      </c>
      <c r="M129" s="43">
        <f>IF(AND($A129='أفضل 5 طلاب'!$C$3,$B129=الإعدادات!$C$9,$N129=1,ISNUMBER($G129)),$G129*100000+N($H129)*100+N($I129)+(1000-ROW())/10000,0)</f>
        <v>0</v>
      </c>
      <c r="N129" s="43">
        <f t="shared" si="3"/>
        <v>0</v>
      </c>
      <c r="O129" s="43" t="str">
        <f t="shared" si="5"/>
        <v/>
      </c>
      <c r="P129" s="43">
        <f t="shared" si="4"/>
        <v>0</v>
      </c>
    </row>
    <row r="130" spans="1:16">
      <c r="A130" s="58">
        <v>4</v>
      </c>
      <c r="B130" s="59" t="str">
        <f>IFERROR(INDEX(الطلاب!$C$5:$C$44,MATCH($D130,الطلاب!$A$5:$A$44,0)),"")</f>
        <v>المقرأة الأولى</v>
      </c>
      <c r="C130" s="59" t="str">
        <f>IFERROR(INDEX(الطلاب!$D$5:$D$44,MATCH($D130,الطلاب!$A$5:$A$44,0)),"")</f>
        <v xml:space="preserve">ابن رجب </v>
      </c>
      <c r="D130" s="59">
        <v>6</v>
      </c>
      <c r="E130" s="60" t="str">
        <f>IFERROR(INDEX(الطلاب!$B$5:$B$44,MATCH($D130,الطلاب!$A$5:$A$44,0)),"")</f>
        <v xml:space="preserve">عاصم الضبيعي </v>
      </c>
      <c r="F130" s="40"/>
      <c r="G130" s="40"/>
      <c r="H130" s="40"/>
      <c r="I130" s="40"/>
      <c r="J130" s="40"/>
      <c r="K130" s="36"/>
      <c r="L130" s="43">
        <f>IF(AND($A130='أفضل 5 طلاب'!$C$3,$B130=الإعدادات!$C$8,$N130=1,ISNUMBER($G130)),$G130*100000+N($H130)*100+N($I130)+(1000-ROW())/10000,0)</f>
        <v>0</v>
      </c>
      <c r="M130" s="43">
        <f>IF(AND($A130='أفضل 5 طلاب'!$C$3,$B130=الإعدادات!$C$9,$N130=1,ISNUMBER($G130)),$G130*100000+N($H130)*100+N($I130)+(1000-ROW())/10000,0)</f>
        <v>0</v>
      </c>
      <c r="N130" s="43">
        <f t="shared" si="3"/>
        <v>0</v>
      </c>
      <c r="O130" s="43" t="str">
        <f t="shared" si="5"/>
        <v/>
      </c>
      <c r="P130" s="43">
        <f t="shared" si="4"/>
        <v>0</v>
      </c>
    </row>
    <row r="131" spans="1:16">
      <c r="A131" s="58">
        <v>4</v>
      </c>
      <c r="B131" s="59" t="str">
        <f>IFERROR(INDEX(الطلاب!$C$5:$C$44,MATCH($D131,الطلاب!$A$5:$A$44,0)),"")</f>
        <v>المقرأة الأولى</v>
      </c>
      <c r="C131" s="59" t="str">
        <f>IFERROR(INDEX(الطلاب!$D$5:$D$44,MATCH($D131,الطلاب!$A$5:$A$44,0)),"")</f>
        <v xml:space="preserve">ابن رجب </v>
      </c>
      <c r="D131" s="59">
        <v>7</v>
      </c>
      <c r="E131" s="60" t="str">
        <f>IFERROR(INDEX(الطلاب!$B$5:$B$44,MATCH($D131,الطلاب!$A$5:$A$44,0)),"")</f>
        <v>محمد السعوي</v>
      </c>
      <c r="F131" s="40"/>
      <c r="G131" s="40"/>
      <c r="H131" s="40"/>
      <c r="I131" s="40"/>
      <c r="J131" s="40"/>
      <c r="K131" s="36"/>
      <c r="L131" s="43">
        <f>IF(AND($A131='أفضل 5 طلاب'!$C$3,$B131=الإعدادات!$C$8,$N131=1,ISNUMBER($G131)),$G131*100000+N($H131)*100+N($I131)+(1000-ROW())/10000,0)</f>
        <v>0</v>
      </c>
      <c r="M131" s="43">
        <f>IF(AND($A131='أفضل 5 طلاب'!$C$3,$B131=الإعدادات!$C$9,$N131=1,ISNUMBER($G131)),$G131*100000+N($H131)*100+N($I131)+(1000-ROW())/10000,0)</f>
        <v>0</v>
      </c>
      <c r="N131" s="43">
        <f t="shared" si="3"/>
        <v>0</v>
      </c>
      <c r="O131" s="43" t="str">
        <f t="shared" si="5"/>
        <v/>
      </c>
      <c r="P131" s="43">
        <f t="shared" si="4"/>
        <v>0</v>
      </c>
    </row>
    <row r="132" spans="1:16">
      <c r="A132" s="58">
        <v>4</v>
      </c>
      <c r="B132" s="59" t="str">
        <f>IFERROR(INDEX(الطلاب!$C$5:$C$44,MATCH($D132,الطلاب!$A$5:$A$44,0)),"")</f>
        <v>المقرأة الأولى</v>
      </c>
      <c r="C132" s="59" t="str">
        <f>IFERROR(INDEX(الطلاب!$D$5:$D$44,MATCH($D132,الطلاب!$A$5:$A$44,0)),"")</f>
        <v xml:space="preserve">ابن رجب </v>
      </c>
      <c r="D132" s="59">
        <v>8</v>
      </c>
      <c r="E132" s="60" t="str">
        <f>IFERROR(INDEX(الطلاب!$B$5:$B$44,MATCH($D132,الطلاب!$A$5:$A$44,0)),"")</f>
        <v>هشام المخلف</v>
      </c>
      <c r="F132" s="40"/>
      <c r="G132" s="40"/>
      <c r="H132" s="40"/>
      <c r="I132" s="40"/>
      <c r="J132" s="40"/>
      <c r="K132" s="36"/>
      <c r="L132" s="43">
        <f>IF(AND($A132='أفضل 5 طلاب'!$C$3,$B132=الإعدادات!$C$8,$N132=1,ISNUMBER($G132)),$G132*100000+N($H132)*100+N($I132)+(1000-ROW())/10000,0)</f>
        <v>0</v>
      </c>
      <c r="M132" s="43">
        <f>IF(AND($A132='أفضل 5 طلاب'!$C$3,$B132=الإعدادات!$C$9,$N132=1,ISNUMBER($G132)),$G132*100000+N($H132)*100+N($I132)+(1000-ROW())/10000,0)</f>
        <v>0</v>
      </c>
      <c r="N132" s="43">
        <f t="shared" si="3"/>
        <v>0</v>
      </c>
      <c r="O132" s="43" t="str">
        <f t="shared" si="5"/>
        <v/>
      </c>
      <c r="P132" s="43">
        <f t="shared" si="4"/>
        <v>0</v>
      </c>
    </row>
    <row r="133" spans="1:16">
      <c r="A133" s="58">
        <v>4</v>
      </c>
      <c r="B133" s="59" t="str">
        <f>IFERROR(INDEX(الطلاب!$C$5:$C$44,MATCH($D133,الطلاب!$A$5:$A$44,0)),"")</f>
        <v>المقرأة الأولى</v>
      </c>
      <c r="C133" s="59" t="str">
        <f>IFERROR(INDEX(الطلاب!$D$5:$D$44,MATCH($D133,الطلاب!$A$5:$A$44,0)),"")</f>
        <v xml:space="preserve">ابن رجب </v>
      </c>
      <c r="D133" s="59">
        <v>9</v>
      </c>
      <c r="E133" s="60" t="str">
        <f>IFERROR(INDEX(الطلاب!$B$5:$B$44,MATCH($D133,الطلاب!$A$5:$A$44,0)),"")</f>
        <v xml:space="preserve">اسامة السعدون </v>
      </c>
      <c r="F133" s="40"/>
      <c r="G133" s="40"/>
      <c r="H133" s="40"/>
      <c r="I133" s="40"/>
      <c r="J133" s="40"/>
      <c r="K133" s="36"/>
      <c r="L133" s="43">
        <f>IF(AND($A133='أفضل 5 طلاب'!$C$3,$B133=الإعدادات!$C$8,$N133=1,ISNUMBER($G133)),$G133*100000+N($H133)*100+N($I133)+(1000-ROW())/10000,0)</f>
        <v>0</v>
      </c>
      <c r="M133" s="43">
        <f>IF(AND($A133='أفضل 5 طلاب'!$C$3,$B133=الإعدادات!$C$9,$N133=1,ISNUMBER($G133)),$G133*100000+N($H133)*100+N($I133)+(1000-ROW())/10000,0)</f>
        <v>0</v>
      </c>
      <c r="N133" s="43">
        <f t="shared" ref="N133:N196" si="6">IF(OR($F133="حاضر",$F133="متأخر"),1,0)</f>
        <v>0</v>
      </c>
      <c r="O133" s="43" t="str">
        <f t="shared" si="5"/>
        <v/>
      </c>
      <c r="P133" s="43">
        <f t="shared" ref="P133:P196" si="7">IF(ISNUMBER($O133),1,0)</f>
        <v>0</v>
      </c>
    </row>
    <row r="134" spans="1:16">
      <c r="A134" s="58">
        <v>4</v>
      </c>
      <c r="B134" s="59" t="str">
        <f>IFERROR(INDEX(الطلاب!$C$5:$C$44,MATCH($D134,الطلاب!$A$5:$A$44,0)),"")</f>
        <v>المقرأة الأولى</v>
      </c>
      <c r="C134" s="59" t="str">
        <f>IFERROR(INDEX(الطلاب!$D$5:$D$44,MATCH($D134,الطلاب!$A$5:$A$44,0)),"")</f>
        <v xml:space="preserve">حسان بن ثابت </v>
      </c>
      <c r="D134" s="59">
        <v>10</v>
      </c>
      <c r="E134" s="60" t="str">
        <f>IFERROR(INDEX(الطلاب!$B$5:$B$44,MATCH($D134,الطلاب!$A$5:$A$44,0)),"")</f>
        <v xml:space="preserve">محمد الثنيان </v>
      </c>
      <c r="F134" s="40"/>
      <c r="G134" s="40"/>
      <c r="H134" s="40"/>
      <c r="I134" s="40"/>
      <c r="J134" s="40"/>
      <c r="K134" s="36"/>
      <c r="L134" s="43">
        <f>IF(AND($A134='أفضل 5 طلاب'!$C$3,$B134=الإعدادات!$C$8,$N134=1,ISNUMBER($G134)),$G134*100000+N($H134)*100+N($I134)+(1000-ROW())/10000,0)</f>
        <v>0</v>
      </c>
      <c r="M134" s="43">
        <f>IF(AND($A134='أفضل 5 طلاب'!$C$3,$B134=الإعدادات!$C$9,$N134=1,ISNUMBER($G134)),$G134*100000+N($H134)*100+N($I134)+(1000-ROW())/10000,0)</f>
        <v>0</v>
      </c>
      <c r="N134" s="43">
        <f t="shared" si="6"/>
        <v>0</v>
      </c>
      <c r="O134" s="43" t="str">
        <f t="shared" ref="O134:O197" si="8">IF(OR($N134=1,$F134="معتذر",$F134="غائب"),IF(ISNUMBER($G134),$G134,IF($N134=1,"",0)),"")</f>
        <v/>
      </c>
      <c r="P134" s="43">
        <f t="shared" si="7"/>
        <v>0</v>
      </c>
    </row>
    <row r="135" spans="1:16">
      <c r="A135" s="58">
        <v>4</v>
      </c>
      <c r="B135" s="59" t="str">
        <f>IFERROR(INDEX(الطلاب!$C$5:$C$44,MATCH($D135,الطلاب!$A$5:$A$44,0)),"")</f>
        <v>المقرأة الأولى</v>
      </c>
      <c r="C135" s="59" t="str">
        <f>IFERROR(INDEX(الطلاب!$D$5:$D$44,MATCH($D135,الطلاب!$A$5:$A$44,0)),"")</f>
        <v xml:space="preserve">حسان بن ثابت </v>
      </c>
      <c r="D135" s="59">
        <v>11</v>
      </c>
      <c r="E135" s="60" t="str">
        <f>IFERROR(INDEX(الطلاب!$B$5:$B$44,MATCH($D135,الطلاب!$A$5:$A$44,0)),"")</f>
        <v xml:space="preserve">كنان الجريفاني </v>
      </c>
      <c r="F135" s="40"/>
      <c r="G135" s="40"/>
      <c r="H135" s="40"/>
      <c r="I135" s="40"/>
      <c r="J135" s="40"/>
      <c r="K135" s="36"/>
      <c r="L135" s="43">
        <f>IF(AND($A135='أفضل 5 طلاب'!$C$3,$B135=الإعدادات!$C$8,$N135=1,ISNUMBER($G135)),$G135*100000+N($H135)*100+N($I135)+(1000-ROW())/10000,0)</f>
        <v>0</v>
      </c>
      <c r="M135" s="43">
        <f>IF(AND($A135='أفضل 5 طلاب'!$C$3,$B135=الإعدادات!$C$9,$N135=1,ISNUMBER($G135)),$G135*100000+N($H135)*100+N($I135)+(1000-ROW())/10000,0)</f>
        <v>0</v>
      </c>
      <c r="N135" s="43">
        <f t="shared" si="6"/>
        <v>0</v>
      </c>
      <c r="O135" s="43" t="str">
        <f t="shared" si="8"/>
        <v/>
      </c>
      <c r="P135" s="43">
        <f t="shared" si="7"/>
        <v>0</v>
      </c>
    </row>
    <row r="136" spans="1:16">
      <c r="A136" s="58">
        <v>4</v>
      </c>
      <c r="B136" s="59" t="str">
        <f>IFERROR(INDEX(الطلاب!$C$5:$C$44,MATCH($D136,الطلاب!$A$5:$A$44,0)),"")</f>
        <v>المقرأة الأولى</v>
      </c>
      <c r="C136" s="59" t="str">
        <f>IFERROR(INDEX(الطلاب!$D$5:$D$44,MATCH($D136,الطلاب!$A$5:$A$44,0)),"")</f>
        <v xml:space="preserve">حسان بن ثابت </v>
      </c>
      <c r="D136" s="59">
        <v>12</v>
      </c>
      <c r="E136" s="60" t="str">
        <f>IFERROR(INDEX(الطلاب!$B$5:$B$44,MATCH($D136,الطلاب!$A$5:$A$44,0)),"")</f>
        <v xml:space="preserve">عبدالمجيد الربعي </v>
      </c>
      <c r="F136" s="40"/>
      <c r="G136" s="40"/>
      <c r="H136" s="40"/>
      <c r="I136" s="40"/>
      <c r="J136" s="40"/>
      <c r="K136" s="36"/>
      <c r="L136" s="43">
        <f>IF(AND($A136='أفضل 5 طلاب'!$C$3,$B136=الإعدادات!$C$8,$N136=1,ISNUMBER($G136)),$G136*100000+N($H136)*100+N($I136)+(1000-ROW())/10000,0)</f>
        <v>0</v>
      </c>
      <c r="M136" s="43">
        <f>IF(AND($A136='أفضل 5 طلاب'!$C$3,$B136=الإعدادات!$C$9,$N136=1,ISNUMBER($G136)),$G136*100000+N($H136)*100+N($I136)+(1000-ROW())/10000,0)</f>
        <v>0</v>
      </c>
      <c r="N136" s="43">
        <f t="shared" si="6"/>
        <v>0</v>
      </c>
      <c r="O136" s="43" t="str">
        <f t="shared" si="8"/>
        <v/>
      </c>
      <c r="P136" s="43">
        <f t="shared" si="7"/>
        <v>0</v>
      </c>
    </row>
    <row r="137" spans="1:16">
      <c r="A137" s="58">
        <v>4</v>
      </c>
      <c r="B137" s="59" t="str">
        <f>IFERROR(INDEX(الطلاب!$C$5:$C$44,MATCH($D137,الطلاب!$A$5:$A$44,0)),"")</f>
        <v>المقرأة الأولى</v>
      </c>
      <c r="C137" s="59" t="str">
        <f>IFERROR(INDEX(الطلاب!$D$5:$D$44,MATCH($D137,الطلاب!$A$5:$A$44,0)),"")</f>
        <v xml:space="preserve">حسان بن ثابت </v>
      </c>
      <c r="D137" s="59">
        <v>13</v>
      </c>
      <c r="E137" s="60" t="str">
        <f>IFERROR(INDEX(الطلاب!$B$5:$B$44,MATCH($D137,الطلاب!$A$5:$A$44,0)),"")</f>
        <v xml:space="preserve">عبدالله التويجري </v>
      </c>
      <c r="F137" s="40"/>
      <c r="G137" s="40"/>
      <c r="H137" s="40"/>
      <c r="I137" s="40"/>
      <c r="J137" s="40"/>
      <c r="K137" s="36"/>
      <c r="L137" s="43">
        <f>IF(AND($A137='أفضل 5 طلاب'!$C$3,$B137=الإعدادات!$C$8,$N137=1,ISNUMBER($G137)),$G137*100000+N($H137)*100+N($I137)+(1000-ROW())/10000,0)</f>
        <v>0</v>
      </c>
      <c r="M137" s="43">
        <f>IF(AND($A137='أفضل 5 طلاب'!$C$3,$B137=الإعدادات!$C$9,$N137=1,ISNUMBER($G137)),$G137*100000+N($H137)*100+N($I137)+(1000-ROW())/10000,0)</f>
        <v>0</v>
      </c>
      <c r="N137" s="43">
        <f t="shared" si="6"/>
        <v>0</v>
      </c>
      <c r="O137" s="43" t="str">
        <f t="shared" si="8"/>
        <v/>
      </c>
      <c r="P137" s="43">
        <f t="shared" si="7"/>
        <v>0</v>
      </c>
    </row>
    <row r="138" spans="1:16">
      <c r="A138" s="58">
        <v>4</v>
      </c>
      <c r="B138" s="59" t="str">
        <f>IFERROR(INDEX(الطلاب!$C$5:$C$44,MATCH($D138,الطلاب!$A$5:$A$44,0)),"")</f>
        <v>المقرأة الأولى</v>
      </c>
      <c r="C138" s="59" t="str">
        <f>IFERROR(INDEX(الطلاب!$D$5:$D$44,MATCH($D138,الطلاب!$A$5:$A$44,0)),"")</f>
        <v xml:space="preserve">حسان بن ثابت </v>
      </c>
      <c r="D138" s="59">
        <v>14</v>
      </c>
      <c r="E138" s="60" t="str">
        <f>IFERROR(INDEX(الطلاب!$B$5:$B$44,MATCH($D138,الطلاب!$A$5:$A$44,0)),"")</f>
        <v xml:space="preserve">حسام التويجري </v>
      </c>
      <c r="F138" s="40"/>
      <c r="G138" s="40"/>
      <c r="H138" s="40"/>
      <c r="I138" s="40"/>
      <c r="J138" s="40"/>
      <c r="K138" s="36"/>
      <c r="L138" s="43">
        <f>IF(AND($A138='أفضل 5 طلاب'!$C$3,$B138=الإعدادات!$C$8,$N138=1,ISNUMBER($G138)),$G138*100000+N($H138)*100+N($I138)+(1000-ROW())/10000,0)</f>
        <v>0</v>
      </c>
      <c r="M138" s="43">
        <f>IF(AND($A138='أفضل 5 طلاب'!$C$3,$B138=الإعدادات!$C$9,$N138=1,ISNUMBER($G138)),$G138*100000+N($H138)*100+N($I138)+(1000-ROW())/10000,0)</f>
        <v>0</v>
      </c>
      <c r="N138" s="43">
        <f t="shared" si="6"/>
        <v>0</v>
      </c>
      <c r="O138" s="43" t="str">
        <f t="shared" si="8"/>
        <v/>
      </c>
      <c r="P138" s="43">
        <f t="shared" si="7"/>
        <v>0</v>
      </c>
    </row>
    <row r="139" spans="1:16">
      <c r="A139" s="58">
        <v>4</v>
      </c>
      <c r="B139" s="59" t="str">
        <f>IFERROR(INDEX(الطلاب!$C$5:$C$44,MATCH($D139,الطلاب!$A$5:$A$44,0)),"")</f>
        <v>المقرأة الأولى</v>
      </c>
      <c r="C139" s="59" t="str">
        <f>IFERROR(INDEX(الطلاب!$D$5:$D$44,MATCH($D139,الطلاب!$A$5:$A$44,0)),"")</f>
        <v xml:space="preserve">حسان بن ثابت </v>
      </c>
      <c r="D139" s="59">
        <v>15</v>
      </c>
      <c r="E139" s="60" t="str">
        <f>IFERROR(INDEX(الطلاب!$B$5:$B$44,MATCH($D139,الطلاب!$A$5:$A$44,0)),"")</f>
        <v xml:space="preserve">عبدالرحمن البريدي </v>
      </c>
      <c r="F139" s="40"/>
      <c r="G139" s="40"/>
      <c r="H139" s="40"/>
      <c r="I139" s="40"/>
      <c r="J139" s="40"/>
      <c r="K139" s="36"/>
      <c r="L139" s="43">
        <f>IF(AND($A139='أفضل 5 طلاب'!$C$3,$B139=الإعدادات!$C$8,$N139=1,ISNUMBER($G139)),$G139*100000+N($H139)*100+N($I139)+(1000-ROW())/10000,0)</f>
        <v>0</v>
      </c>
      <c r="M139" s="43">
        <f>IF(AND($A139='أفضل 5 طلاب'!$C$3,$B139=الإعدادات!$C$9,$N139=1,ISNUMBER($G139)),$G139*100000+N($H139)*100+N($I139)+(1000-ROW())/10000,0)</f>
        <v>0</v>
      </c>
      <c r="N139" s="43">
        <f t="shared" si="6"/>
        <v>0</v>
      </c>
      <c r="O139" s="43" t="str">
        <f t="shared" si="8"/>
        <v/>
      </c>
      <c r="P139" s="43">
        <f t="shared" si="7"/>
        <v>0</v>
      </c>
    </row>
    <row r="140" spans="1:16">
      <c r="A140" s="58">
        <v>4</v>
      </c>
      <c r="B140" s="59" t="str">
        <f>IFERROR(INDEX(الطلاب!$C$5:$C$44,MATCH($D140,الطلاب!$A$5:$A$44,0)),"")</f>
        <v>المقرأة الأولى</v>
      </c>
      <c r="C140" s="59" t="str">
        <f>IFERROR(INDEX(الطلاب!$D$5:$D$44,MATCH($D140,الطلاب!$A$5:$A$44,0)),"")</f>
        <v xml:space="preserve">حسان بن ثابت </v>
      </c>
      <c r="D140" s="59">
        <v>16</v>
      </c>
      <c r="E140" s="60" t="str">
        <f>IFERROR(INDEX(الطلاب!$B$5:$B$44,MATCH($D140,الطلاب!$A$5:$A$44,0)),"")</f>
        <v>عبدالرحمن بازرعة</v>
      </c>
      <c r="F140" s="40"/>
      <c r="G140" s="40"/>
      <c r="H140" s="40"/>
      <c r="I140" s="40"/>
      <c r="J140" s="40"/>
      <c r="K140" s="36"/>
      <c r="L140" s="43">
        <f>IF(AND($A140='أفضل 5 طلاب'!$C$3,$B140=الإعدادات!$C$8,$N140=1,ISNUMBER($G140)),$G140*100000+N($H140)*100+N($I140)+(1000-ROW())/10000,0)</f>
        <v>0</v>
      </c>
      <c r="M140" s="43">
        <f>IF(AND($A140='أفضل 5 طلاب'!$C$3,$B140=الإعدادات!$C$9,$N140=1,ISNUMBER($G140)),$G140*100000+N($H140)*100+N($I140)+(1000-ROW())/10000,0)</f>
        <v>0</v>
      </c>
      <c r="N140" s="43">
        <f t="shared" si="6"/>
        <v>0</v>
      </c>
      <c r="O140" s="43" t="str">
        <f t="shared" si="8"/>
        <v/>
      </c>
      <c r="P140" s="43">
        <f t="shared" si="7"/>
        <v>0</v>
      </c>
    </row>
    <row r="141" spans="1:16">
      <c r="A141" s="58">
        <v>4</v>
      </c>
      <c r="B141" s="59" t="str">
        <f>IFERROR(INDEX(الطلاب!$C$5:$C$44,MATCH($D141,الطلاب!$A$5:$A$44,0)),"")</f>
        <v>المقرأة الأولى</v>
      </c>
      <c r="C141" s="59" t="str">
        <f>IFERROR(INDEX(الطلاب!$D$5:$D$44,MATCH($D141,الطلاب!$A$5:$A$44,0)),"")</f>
        <v xml:space="preserve">حسان بن ثابت </v>
      </c>
      <c r="D141" s="59">
        <v>17</v>
      </c>
      <c r="E141" s="60" t="str">
        <f>IFERROR(INDEX(الطلاب!$B$5:$B$44,MATCH($D141,الطلاب!$A$5:$A$44,0)),"")</f>
        <v xml:space="preserve">عبدالله الضحيان </v>
      </c>
      <c r="F141" s="40"/>
      <c r="G141" s="40"/>
      <c r="H141" s="40"/>
      <c r="I141" s="40"/>
      <c r="J141" s="40"/>
      <c r="K141" s="36"/>
      <c r="L141" s="43">
        <f>IF(AND($A141='أفضل 5 طلاب'!$C$3,$B141=الإعدادات!$C$8,$N141=1,ISNUMBER($G141)),$G141*100000+N($H141)*100+N($I141)+(1000-ROW())/10000,0)</f>
        <v>0</v>
      </c>
      <c r="M141" s="43">
        <f>IF(AND($A141='أفضل 5 طلاب'!$C$3,$B141=الإعدادات!$C$9,$N141=1,ISNUMBER($G141)),$G141*100000+N($H141)*100+N($I141)+(1000-ROW())/10000,0)</f>
        <v>0</v>
      </c>
      <c r="N141" s="43">
        <f t="shared" si="6"/>
        <v>0</v>
      </c>
      <c r="O141" s="43" t="str">
        <f t="shared" si="8"/>
        <v/>
      </c>
      <c r="P141" s="43">
        <f t="shared" si="7"/>
        <v>0</v>
      </c>
    </row>
    <row r="142" spans="1:16">
      <c r="A142" s="58">
        <v>4</v>
      </c>
      <c r="B142" s="59" t="str">
        <f>IFERROR(INDEX(الطلاب!$C$5:$C$44,MATCH($D142,الطلاب!$A$5:$A$44,0)),"")</f>
        <v>المقرأة الأولى</v>
      </c>
      <c r="C142" s="59" t="str">
        <f>IFERROR(INDEX(الطلاب!$D$5:$D$44,MATCH($D142,الطلاب!$A$5:$A$44,0)),"")</f>
        <v xml:space="preserve">حسان بن ثابت </v>
      </c>
      <c r="D142" s="59">
        <v>18</v>
      </c>
      <c r="E142" s="60" t="str">
        <f>IFERROR(INDEX(الطلاب!$B$5:$B$44,MATCH($D142,الطلاب!$A$5:$A$44,0)),"")</f>
        <v xml:space="preserve">فيصل الدخيل </v>
      </c>
      <c r="F142" s="40"/>
      <c r="G142" s="40"/>
      <c r="H142" s="40"/>
      <c r="I142" s="40"/>
      <c r="J142" s="40"/>
      <c r="K142" s="36"/>
      <c r="L142" s="43">
        <f>IF(AND($A142='أفضل 5 طلاب'!$C$3,$B142=الإعدادات!$C$8,$N142=1,ISNUMBER($G142)),$G142*100000+N($H142)*100+N($I142)+(1000-ROW())/10000,0)</f>
        <v>0</v>
      </c>
      <c r="M142" s="43">
        <f>IF(AND($A142='أفضل 5 طلاب'!$C$3,$B142=الإعدادات!$C$9,$N142=1,ISNUMBER($G142)),$G142*100000+N($H142)*100+N($I142)+(1000-ROW())/10000,0)</f>
        <v>0</v>
      </c>
      <c r="N142" s="43">
        <f t="shared" si="6"/>
        <v>0</v>
      </c>
      <c r="O142" s="43" t="str">
        <f t="shared" si="8"/>
        <v/>
      </c>
      <c r="P142" s="43">
        <f t="shared" si="7"/>
        <v>0</v>
      </c>
    </row>
    <row r="143" spans="1:16">
      <c r="A143" s="58">
        <v>4</v>
      </c>
      <c r="B143" s="59" t="str">
        <f>IFERROR(INDEX(الطلاب!$C$5:$C$44,MATCH($D143,الطلاب!$A$5:$A$44,0)),"")</f>
        <v>المقرأة الأولى</v>
      </c>
      <c r="C143" s="59" t="str">
        <f>IFERROR(INDEX(الطلاب!$D$5:$D$44,MATCH($D143,الطلاب!$A$5:$A$44,0)),"")</f>
        <v xml:space="preserve">حسان بن ثابت </v>
      </c>
      <c r="D143" s="59">
        <v>19</v>
      </c>
      <c r="E143" s="60" t="str">
        <f>IFERROR(INDEX(الطلاب!$B$5:$B$44,MATCH($D143,الطلاب!$A$5:$A$44,0)),"")</f>
        <v xml:space="preserve">سليمان المحيميد </v>
      </c>
      <c r="F143" s="40"/>
      <c r="G143" s="40"/>
      <c r="H143" s="40"/>
      <c r="I143" s="40"/>
      <c r="J143" s="40"/>
      <c r="K143" s="36"/>
      <c r="L143" s="43">
        <f>IF(AND($A143='أفضل 5 طلاب'!$C$3,$B143=الإعدادات!$C$8,$N143=1,ISNUMBER($G143)),$G143*100000+N($H143)*100+N($I143)+(1000-ROW())/10000,0)</f>
        <v>0</v>
      </c>
      <c r="M143" s="43">
        <f>IF(AND($A143='أفضل 5 طلاب'!$C$3,$B143=الإعدادات!$C$9,$N143=1,ISNUMBER($G143)),$G143*100000+N($H143)*100+N($I143)+(1000-ROW())/10000,0)</f>
        <v>0</v>
      </c>
      <c r="N143" s="43">
        <f t="shared" si="6"/>
        <v>0</v>
      </c>
      <c r="O143" s="43" t="str">
        <f t="shared" si="8"/>
        <v/>
      </c>
      <c r="P143" s="43">
        <f t="shared" si="7"/>
        <v>0</v>
      </c>
    </row>
    <row r="144" spans="1:16">
      <c r="A144" s="58">
        <v>4</v>
      </c>
      <c r="B144" s="59" t="str">
        <f>IFERROR(INDEX(الطلاب!$C$5:$C$44,MATCH($D144,الطلاب!$A$5:$A$44,0)),"")</f>
        <v>المقرأة الثانية</v>
      </c>
      <c r="C144" s="59" t="str">
        <f>IFERROR(INDEX(الطلاب!$D$5:$D$44,MATCH($D144,الطلاب!$A$5:$A$44,0)),"")</f>
        <v xml:space="preserve">ابن رجب </v>
      </c>
      <c r="D144" s="59">
        <v>20</v>
      </c>
      <c r="E144" s="60" t="str">
        <f>IFERROR(INDEX(الطلاب!$B$5:$B$44,MATCH($D144,الطلاب!$A$5:$A$44,0)),"")</f>
        <v xml:space="preserve">اصيل التويجري </v>
      </c>
      <c r="F144" s="40"/>
      <c r="G144" s="40"/>
      <c r="H144" s="40"/>
      <c r="I144" s="40"/>
      <c r="J144" s="40"/>
      <c r="K144" s="36"/>
      <c r="L144" s="43">
        <f>IF(AND($A144='أفضل 5 طلاب'!$C$3,$B144=الإعدادات!$C$8,$N144=1,ISNUMBER($G144)),$G144*100000+N($H144)*100+N($I144)+(1000-ROW())/10000,0)</f>
        <v>0</v>
      </c>
      <c r="M144" s="43">
        <f>IF(AND($A144='أفضل 5 طلاب'!$C$3,$B144=الإعدادات!$C$9,$N144=1,ISNUMBER($G144)),$G144*100000+N($H144)*100+N($I144)+(1000-ROW())/10000,0)</f>
        <v>0</v>
      </c>
      <c r="N144" s="43">
        <f t="shared" si="6"/>
        <v>0</v>
      </c>
      <c r="O144" s="43" t="str">
        <f t="shared" si="8"/>
        <v/>
      </c>
      <c r="P144" s="43">
        <f t="shared" si="7"/>
        <v>0</v>
      </c>
    </row>
    <row r="145" spans="1:16">
      <c r="A145" s="58">
        <v>4</v>
      </c>
      <c r="B145" s="59" t="str">
        <f>IFERROR(INDEX(الطلاب!$C$5:$C$44,MATCH($D145,الطلاب!$A$5:$A$44,0)),"")</f>
        <v>المقرأة الثانية</v>
      </c>
      <c r="C145" s="59" t="str">
        <f>IFERROR(INDEX(الطلاب!$D$5:$D$44,MATCH($D145,الطلاب!$A$5:$A$44,0)),"")</f>
        <v xml:space="preserve">ابن رجب </v>
      </c>
      <c r="D145" s="59">
        <v>21</v>
      </c>
      <c r="E145" s="60" t="str">
        <f>IFERROR(INDEX(الطلاب!$B$5:$B$44,MATCH($D145,الطلاب!$A$5:$A$44,0)),"")</f>
        <v xml:space="preserve">جواد الرفيعي </v>
      </c>
      <c r="F145" s="40"/>
      <c r="G145" s="40"/>
      <c r="H145" s="40"/>
      <c r="I145" s="40"/>
      <c r="J145" s="40"/>
      <c r="K145" s="36"/>
      <c r="L145" s="43">
        <f>IF(AND($A145='أفضل 5 طلاب'!$C$3,$B145=الإعدادات!$C$8,$N145=1,ISNUMBER($G145)),$G145*100000+N($H145)*100+N($I145)+(1000-ROW())/10000,0)</f>
        <v>0</v>
      </c>
      <c r="M145" s="43">
        <f>IF(AND($A145='أفضل 5 طلاب'!$C$3,$B145=الإعدادات!$C$9,$N145=1,ISNUMBER($G145)),$G145*100000+N($H145)*100+N($I145)+(1000-ROW())/10000,0)</f>
        <v>0</v>
      </c>
      <c r="N145" s="43">
        <f t="shared" si="6"/>
        <v>0</v>
      </c>
      <c r="O145" s="43" t="str">
        <f t="shared" si="8"/>
        <v/>
      </c>
      <c r="P145" s="43">
        <f t="shared" si="7"/>
        <v>0</v>
      </c>
    </row>
    <row r="146" spans="1:16">
      <c r="A146" s="58">
        <v>4</v>
      </c>
      <c r="B146" s="59" t="str">
        <f>IFERROR(INDEX(الطلاب!$C$5:$C$44,MATCH($D146,الطلاب!$A$5:$A$44,0)),"")</f>
        <v>المقرأة الثانية</v>
      </c>
      <c r="C146" s="59" t="str">
        <f>IFERROR(INDEX(الطلاب!$D$5:$D$44,MATCH($D146,الطلاب!$A$5:$A$44,0)),"")</f>
        <v xml:space="preserve">ابن رجب </v>
      </c>
      <c r="D146" s="59">
        <v>22</v>
      </c>
      <c r="E146" s="60" t="str">
        <f>IFERROR(INDEX(الطلاب!$B$5:$B$44,MATCH($D146,الطلاب!$A$5:$A$44,0)),"")</f>
        <v xml:space="preserve">سفيان السبيعي </v>
      </c>
      <c r="F146" s="40"/>
      <c r="G146" s="40"/>
      <c r="H146" s="40"/>
      <c r="I146" s="40"/>
      <c r="J146" s="40"/>
      <c r="K146" s="36"/>
      <c r="L146" s="43">
        <f>IF(AND($A146='أفضل 5 طلاب'!$C$3,$B146=الإعدادات!$C$8,$N146=1,ISNUMBER($G146)),$G146*100000+N($H146)*100+N($I146)+(1000-ROW())/10000,0)</f>
        <v>0</v>
      </c>
      <c r="M146" s="43">
        <f>IF(AND($A146='أفضل 5 طلاب'!$C$3,$B146=الإعدادات!$C$9,$N146=1,ISNUMBER($G146)),$G146*100000+N($H146)*100+N($I146)+(1000-ROW())/10000,0)</f>
        <v>0</v>
      </c>
      <c r="N146" s="43">
        <f t="shared" si="6"/>
        <v>0</v>
      </c>
      <c r="O146" s="43" t="str">
        <f t="shared" si="8"/>
        <v/>
      </c>
      <c r="P146" s="43">
        <f t="shared" si="7"/>
        <v>0</v>
      </c>
    </row>
    <row r="147" spans="1:16">
      <c r="A147" s="58">
        <v>4</v>
      </c>
      <c r="B147" s="59" t="str">
        <f>IFERROR(INDEX(الطلاب!$C$5:$C$44,MATCH($D147,الطلاب!$A$5:$A$44,0)),"")</f>
        <v>المقرأة الثانية</v>
      </c>
      <c r="C147" s="59" t="str">
        <f>IFERROR(INDEX(الطلاب!$D$5:$D$44,MATCH($D147,الطلاب!$A$5:$A$44,0)),"")</f>
        <v xml:space="preserve">ابن رجب </v>
      </c>
      <c r="D147" s="59">
        <v>23</v>
      </c>
      <c r="E147" s="60" t="str">
        <f>IFERROR(INDEX(الطلاب!$B$5:$B$44,MATCH($D147,الطلاب!$A$5:$A$44,0)),"")</f>
        <v xml:space="preserve">عمار الفضل </v>
      </c>
      <c r="F147" s="40"/>
      <c r="G147" s="40"/>
      <c r="H147" s="40"/>
      <c r="I147" s="40"/>
      <c r="J147" s="40"/>
      <c r="K147" s="36"/>
      <c r="L147" s="43">
        <f>IF(AND($A147='أفضل 5 طلاب'!$C$3,$B147=الإعدادات!$C$8,$N147=1,ISNUMBER($G147)),$G147*100000+N($H147)*100+N($I147)+(1000-ROW())/10000,0)</f>
        <v>0</v>
      </c>
      <c r="M147" s="43">
        <f>IF(AND($A147='أفضل 5 طلاب'!$C$3,$B147=الإعدادات!$C$9,$N147=1,ISNUMBER($G147)),$G147*100000+N($H147)*100+N($I147)+(1000-ROW())/10000,0)</f>
        <v>0</v>
      </c>
      <c r="N147" s="43">
        <f t="shared" si="6"/>
        <v>0</v>
      </c>
      <c r="O147" s="43" t="str">
        <f t="shared" si="8"/>
        <v/>
      </c>
      <c r="P147" s="43">
        <f t="shared" si="7"/>
        <v>0</v>
      </c>
    </row>
    <row r="148" spans="1:16">
      <c r="A148" s="58">
        <v>4</v>
      </c>
      <c r="B148" s="59" t="str">
        <f>IFERROR(INDEX(الطلاب!$C$5:$C$44,MATCH($D148,الطلاب!$A$5:$A$44,0)),"")</f>
        <v>المقرأة الثانية</v>
      </c>
      <c r="C148" s="59" t="str">
        <f>IFERROR(INDEX(الطلاب!$D$5:$D$44,MATCH($D148,الطلاب!$A$5:$A$44,0)),"")</f>
        <v xml:space="preserve">ابن رجب </v>
      </c>
      <c r="D148" s="59">
        <v>24</v>
      </c>
      <c r="E148" s="60" t="str">
        <f>IFERROR(INDEX(الطلاب!$B$5:$B$44,MATCH($D148,الطلاب!$A$5:$A$44,0)),"")</f>
        <v xml:space="preserve">مروان المهوس </v>
      </c>
      <c r="F148" s="40"/>
      <c r="G148" s="40"/>
      <c r="H148" s="40"/>
      <c r="I148" s="40"/>
      <c r="J148" s="40"/>
      <c r="K148" s="36"/>
      <c r="L148" s="43">
        <f>IF(AND($A148='أفضل 5 طلاب'!$C$3,$B148=الإعدادات!$C$8,$N148=1,ISNUMBER($G148)),$G148*100000+N($H148)*100+N($I148)+(1000-ROW())/10000,0)</f>
        <v>0</v>
      </c>
      <c r="M148" s="43">
        <f>IF(AND($A148='أفضل 5 طلاب'!$C$3,$B148=الإعدادات!$C$9,$N148=1,ISNUMBER($G148)),$G148*100000+N($H148)*100+N($I148)+(1000-ROW())/10000,0)</f>
        <v>0</v>
      </c>
      <c r="N148" s="43">
        <f t="shared" si="6"/>
        <v>0</v>
      </c>
      <c r="O148" s="43" t="str">
        <f t="shared" si="8"/>
        <v/>
      </c>
      <c r="P148" s="43">
        <f t="shared" si="7"/>
        <v>0</v>
      </c>
    </row>
    <row r="149" spans="1:16">
      <c r="A149" s="58">
        <v>4</v>
      </c>
      <c r="B149" s="59" t="str">
        <f>IFERROR(INDEX(الطلاب!$C$5:$C$44,MATCH($D149,الطلاب!$A$5:$A$44,0)),"")</f>
        <v>المقرأة الثانية</v>
      </c>
      <c r="C149" s="59" t="str">
        <f>IFERROR(INDEX(الطلاب!$D$5:$D$44,MATCH($D149,الطلاب!$A$5:$A$44,0)),"")</f>
        <v xml:space="preserve">ابن رجب </v>
      </c>
      <c r="D149" s="59">
        <v>25</v>
      </c>
      <c r="E149" s="60" t="str">
        <f>IFERROR(INDEX(الطلاب!$B$5:$B$44,MATCH($D149,الطلاب!$A$5:$A$44,0)),"")</f>
        <v>جهاد الجدعان</v>
      </c>
      <c r="F149" s="40"/>
      <c r="G149" s="40"/>
      <c r="H149" s="40"/>
      <c r="I149" s="40"/>
      <c r="J149" s="40"/>
      <c r="K149" s="36"/>
      <c r="L149" s="43">
        <f>IF(AND($A149='أفضل 5 طلاب'!$C$3,$B149=الإعدادات!$C$8,$N149=1,ISNUMBER($G149)),$G149*100000+N($H149)*100+N($I149)+(1000-ROW())/10000,0)</f>
        <v>0</v>
      </c>
      <c r="M149" s="43">
        <f>IF(AND($A149='أفضل 5 طلاب'!$C$3,$B149=الإعدادات!$C$9,$N149=1,ISNUMBER($G149)),$G149*100000+N($H149)*100+N($I149)+(1000-ROW())/10000,0)</f>
        <v>0</v>
      </c>
      <c r="N149" s="43">
        <f t="shared" si="6"/>
        <v>0</v>
      </c>
      <c r="O149" s="43" t="str">
        <f t="shared" si="8"/>
        <v/>
      </c>
      <c r="P149" s="43">
        <f t="shared" si="7"/>
        <v>0</v>
      </c>
    </row>
    <row r="150" spans="1:16">
      <c r="A150" s="58">
        <v>4</v>
      </c>
      <c r="B150" s="59" t="str">
        <f>IFERROR(INDEX(الطلاب!$C$5:$C$44,MATCH($D150,الطلاب!$A$5:$A$44,0)),"")</f>
        <v>المقرأة الثانية</v>
      </c>
      <c r="C150" s="59" t="str">
        <f>IFERROR(INDEX(الطلاب!$D$5:$D$44,MATCH($D150,الطلاب!$A$5:$A$44,0)),"")</f>
        <v xml:space="preserve">ابن رجب </v>
      </c>
      <c r="D150" s="59">
        <v>26</v>
      </c>
      <c r="E150" s="60" t="str">
        <f>IFERROR(INDEX(الطلاب!$B$5:$B$44,MATCH($D150,الطلاب!$A$5:$A$44,0)),"")</f>
        <v>صلاح مسعد</v>
      </c>
      <c r="F150" s="40"/>
      <c r="G150" s="40"/>
      <c r="H150" s="40"/>
      <c r="I150" s="40"/>
      <c r="J150" s="40"/>
      <c r="K150" s="36"/>
      <c r="L150" s="43">
        <f>IF(AND($A150='أفضل 5 طلاب'!$C$3,$B150=الإعدادات!$C$8,$N150=1,ISNUMBER($G150)),$G150*100000+N($H150)*100+N($I150)+(1000-ROW())/10000,0)</f>
        <v>0</v>
      </c>
      <c r="M150" s="43">
        <f>IF(AND($A150='أفضل 5 طلاب'!$C$3,$B150=الإعدادات!$C$9,$N150=1,ISNUMBER($G150)),$G150*100000+N($H150)*100+N($I150)+(1000-ROW())/10000,0)</f>
        <v>0</v>
      </c>
      <c r="N150" s="43">
        <f t="shared" si="6"/>
        <v>0</v>
      </c>
      <c r="O150" s="43" t="str">
        <f t="shared" si="8"/>
        <v/>
      </c>
      <c r="P150" s="43">
        <f t="shared" si="7"/>
        <v>0</v>
      </c>
    </row>
    <row r="151" spans="1:16">
      <c r="A151" s="58">
        <v>4</v>
      </c>
      <c r="B151" s="59" t="str">
        <f>IFERROR(INDEX(الطلاب!$C$5:$C$44,MATCH($D151,الطلاب!$A$5:$A$44,0)),"")</f>
        <v>المقرأة الثانية</v>
      </c>
      <c r="C151" s="59" t="str">
        <f>IFERROR(INDEX(الطلاب!$D$5:$D$44,MATCH($D151,الطلاب!$A$5:$A$44,0)),"")</f>
        <v xml:space="preserve">ابي بن مالك </v>
      </c>
      <c r="D151" s="59">
        <v>27</v>
      </c>
      <c r="E151" s="60" t="str">
        <f>IFERROR(INDEX(الطلاب!$B$5:$B$44,MATCH($D151,الطلاب!$A$5:$A$44,0)),"")</f>
        <v>سالم بانوير</v>
      </c>
      <c r="F151" s="40"/>
      <c r="G151" s="40"/>
      <c r="H151" s="40"/>
      <c r="I151" s="40"/>
      <c r="J151" s="40"/>
      <c r="K151" s="36"/>
      <c r="L151" s="43">
        <f>IF(AND($A151='أفضل 5 طلاب'!$C$3,$B151=الإعدادات!$C$8,$N151=1,ISNUMBER($G151)),$G151*100000+N($H151)*100+N($I151)+(1000-ROW())/10000,0)</f>
        <v>0</v>
      </c>
      <c r="M151" s="43">
        <f>IF(AND($A151='أفضل 5 طلاب'!$C$3,$B151=الإعدادات!$C$9,$N151=1,ISNUMBER($G151)),$G151*100000+N($H151)*100+N($I151)+(1000-ROW())/10000,0)</f>
        <v>0</v>
      </c>
      <c r="N151" s="43">
        <f t="shared" si="6"/>
        <v>0</v>
      </c>
      <c r="O151" s="43" t="str">
        <f t="shared" si="8"/>
        <v/>
      </c>
      <c r="P151" s="43">
        <f t="shared" si="7"/>
        <v>0</v>
      </c>
    </row>
    <row r="152" spans="1:16">
      <c r="A152" s="58">
        <v>4</v>
      </c>
      <c r="B152" s="59" t="str">
        <f>IFERROR(INDEX(الطلاب!$C$5:$C$44,MATCH($D152,الطلاب!$A$5:$A$44,0)),"")</f>
        <v>المقرأة الثانية</v>
      </c>
      <c r="C152" s="59" t="str">
        <f>IFERROR(INDEX(الطلاب!$D$5:$D$44,MATCH($D152,الطلاب!$A$5:$A$44,0)),"")</f>
        <v xml:space="preserve">ابي بن مالك </v>
      </c>
      <c r="D152" s="59">
        <v>28</v>
      </c>
      <c r="E152" s="60" t="str">
        <f>IFERROR(INDEX(الطلاب!$B$5:$B$44,MATCH($D152,الطلاب!$A$5:$A$44,0)),"")</f>
        <v xml:space="preserve">عبدالعزيز الصقعبي </v>
      </c>
      <c r="F152" s="40"/>
      <c r="G152" s="40"/>
      <c r="H152" s="40"/>
      <c r="I152" s="40"/>
      <c r="J152" s="40"/>
      <c r="K152" s="36"/>
      <c r="L152" s="43">
        <f>IF(AND($A152='أفضل 5 طلاب'!$C$3,$B152=الإعدادات!$C$8,$N152=1,ISNUMBER($G152)),$G152*100000+N($H152)*100+N($I152)+(1000-ROW())/10000,0)</f>
        <v>0</v>
      </c>
      <c r="M152" s="43">
        <f>IF(AND($A152='أفضل 5 طلاب'!$C$3,$B152=الإعدادات!$C$9,$N152=1,ISNUMBER($G152)),$G152*100000+N($H152)*100+N($I152)+(1000-ROW())/10000,0)</f>
        <v>0</v>
      </c>
      <c r="N152" s="43">
        <f t="shared" si="6"/>
        <v>0</v>
      </c>
      <c r="O152" s="43" t="str">
        <f t="shared" si="8"/>
        <v/>
      </c>
      <c r="P152" s="43">
        <f t="shared" si="7"/>
        <v>0</v>
      </c>
    </row>
    <row r="153" spans="1:16">
      <c r="A153" s="58">
        <v>4</v>
      </c>
      <c r="B153" s="59" t="str">
        <f>IFERROR(INDEX(الطلاب!$C$5:$C$44,MATCH($D153,الطلاب!$A$5:$A$44,0)),"")</f>
        <v>المقرأة الثانية</v>
      </c>
      <c r="C153" s="59" t="str">
        <f>IFERROR(INDEX(الطلاب!$D$5:$D$44,MATCH($D153,الطلاب!$A$5:$A$44,0)),"")</f>
        <v xml:space="preserve">ابي بن مالك </v>
      </c>
      <c r="D153" s="59">
        <v>29</v>
      </c>
      <c r="E153" s="60" t="str">
        <f>IFERROR(INDEX(الطلاب!$B$5:$B$44,MATCH($D153,الطلاب!$A$5:$A$44,0)),"")</f>
        <v xml:space="preserve">عبدالله المجيدل </v>
      </c>
      <c r="F153" s="40"/>
      <c r="G153" s="40"/>
      <c r="H153" s="40"/>
      <c r="I153" s="40"/>
      <c r="J153" s="40"/>
      <c r="K153" s="36"/>
      <c r="L153" s="43">
        <f>IF(AND($A153='أفضل 5 طلاب'!$C$3,$B153=الإعدادات!$C$8,$N153=1,ISNUMBER($G153)),$G153*100000+N($H153)*100+N($I153)+(1000-ROW())/10000,0)</f>
        <v>0</v>
      </c>
      <c r="M153" s="43">
        <f>IF(AND($A153='أفضل 5 طلاب'!$C$3,$B153=الإعدادات!$C$9,$N153=1,ISNUMBER($G153)),$G153*100000+N($H153)*100+N($I153)+(1000-ROW())/10000,0)</f>
        <v>0</v>
      </c>
      <c r="N153" s="43">
        <f t="shared" si="6"/>
        <v>0</v>
      </c>
      <c r="O153" s="43" t="str">
        <f t="shared" si="8"/>
        <v/>
      </c>
      <c r="P153" s="43">
        <f t="shared" si="7"/>
        <v>0</v>
      </c>
    </row>
    <row r="154" spans="1:16">
      <c r="A154" s="58">
        <v>4</v>
      </c>
      <c r="B154" s="59" t="str">
        <f>IFERROR(INDEX(الطلاب!$C$5:$C$44,MATCH($D154,الطلاب!$A$5:$A$44,0)),"")</f>
        <v>المقرأة الثانية</v>
      </c>
      <c r="C154" s="59" t="str">
        <f>IFERROR(INDEX(الطلاب!$D$5:$D$44,MATCH($D154,الطلاب!$A$5:$A$44,0)),"")</f>
        <v xml:space="preserve">ابي بن مالك </v>
      </c>
      <c r="D154" s="59">
        <v>30</v>
      </c>
      <c r="E154" s="60" t="str">
        <f>IFERROR(INDEX(الطلاب!$B$5:$B$44,MATCH($D154,الطلاب!$A$5:$A$44,0)),"")</f>
        <v>فواز الشدوخي</v>
      </c>
      <c r="F154" s="40"/>
      <c r="G154" s="40"/>
      <c r="H154" s="40"/>
      <c r="I154" s="40"/>
      <c r="J154" s="40"/>
      <c r="K154" s="36"/>
      <c r="L154" s="43">
        <f>IF(AND($A154='أفضل 5 طلاب'!$C$3,$B154=الإعدادات!$C$8,$N154=1,ISNUMBER($G154)),$G154*100000+N($H154)*100+N($I154)+(1000-ROW())/10000,0)</f>
        <v>0</v>
      </c>
      <c r="M154" s="43">
        <f>IF(AND($A154='أفضل 5 طلاب'!$C$3,$B154=الإعدادات!$C$9,$N154=1,ISNUMBER($G154)),$G154*100000+N($H154)*100+N($I154)+(1000-ROW())/10000,0)</f>
        <v>0</v>
      </c>
      <c r="N154" s="43">
        <f t="shared" si="6"/>
        <v>0</v>
      </c>
      <c r="O154" s="43" t="str">
        <f t="shared" si="8"/>
        <v/>
      </c>
      <c r="P154" s="43">
        <f t="shared" si="7"/>
        <v>0</v>
      </c>
    </row>
    <row r="155" spans="1:16">
      <c r="A155" s="58">
        <v>4</v>
      </c>
      <c r="B155" s="59" t="str">
        <f>IFERROR(INDEX(الطلاب!$C$5:$C$44,MATCH($D155,الطلاب!$A$5:$A$44,0)),"")</f>
        <v>المقرأة الثانية</v>
      </c>
      <c r="C155" s="59" t="str">
        <f>IFERROR(INDEX(الطلاب!$D$5:$D$44,MATCH($D155,الطلاب!$A$5:$A$44,0)),"")</f>
        <v xml:space="preserve">ابي بن مالك </v>
      </c>
      <c r="D155" s="59">
        <v>31</v>
      </c>
      <c r="E155" s="60" t="str">
        <f>IFERROR(INDEX(الطلاب!$B$5:$B$44,MATCH($D155,الطلاب!$A$5:$A$44,0)),"")</f>
        <v>محمد الطامي</v>
      </c>
      <c r="F155" s="40"/>
      <c r="G155" s="40"/>
      <c r="H155" s="40"/>
      <c r="I155" s="40"/>
      <c r="J155" s="40"/>
      <c r="K155" s="36"/>
      <c r="L155" s="43">
        <f>IF(AND($A155='أفضل 5 طلاب'!$C$3,$B155=الإعدادات!$C$8,$N155=1,ISNUMBER($G155)),$G155*100000+N($H155)*100+N($I155)+(1000-ROW())/10000,0)</f>
        <v>0</v>
      </c>
      <c r="M155" s="43">
        <f>IF(AND($A155='أفضل 5 طلاب'!$C$3,$B155=الإعدادات!$C$9,$N155=1,ISNUMBER($G155)),$G155*100000+N($H155)*100+N($I155)+(1000-ROW())/10000,0)</f>
        <v>0</v>
      </c>
      <c r="N155" s="43">
        <f t="shared" si="6"/>
        <v>0</v>
      </c>
      <c r="O155" s="43" t="str">
        <f t="shared" si="8"/>
        <v/>
      </c>
      <c r="P155" s="43">
        <f t="shared" si="7"/>
        <v>0</v>
      </c>
    </row>
    <row r="156" spans="1:16">
      <c r="A156" s="58">
        <v>4</v>
      </c>
      <c r="B156" s="59" t="str">
        <f>IFERROR(INDEX(الطلاب!$C$5:$C$44,MATCH($D156,الطلاب!$A$5:$A$44,0)),"")</f>
        <v>المقرأة الثانية</v>
      </c>
      <c r="C156" s="59" t="str">
        <f>IFERROR(INDEX(الطلاب!$D$5:$D$44,MATCH($D156,الطلاب!$A$5:$A$44,0)),"")</f>
        <v xml:space="preserve">ابي بن مالك </v>
      </c>
      <c r="D156" s="59">
        <v>32</v>
      </c>
      <c r="E156" s="60" t="str">
        <f>IFERROR(INDEX(الطلاب!$B$5:$B$44,MATCH($D156,الطلاب!$A$5:$A$44,0)),"")</f>
        <v xml:space="preserve">مهند الغماس </v>
      </c>
      <c r="F156" s="40"/>
      <c r="G156" s="40"/>
      <c r="H156" s="40"/>
      <c r="I156" s="40"/>
      <c r="J156" s="40"/>
      <c r="K156" s="36"/>
      <c r="L156" s="43">
        <f>IF(AND($A156='أفضل 5 طلاب'!$C$3,$B156=الإعدادات!$C$8,$N156=1,ISNUMBER($G156)),$G156*100000+N($H156)*100+N($I156)+(1000-ROW())/10000,0)</f>
        <v>0</v>
      </c>
      <c r="M156" s="43">
        <f>IF(AND($A156='أفضل 5 طلاب'!$C$3,$B156=الإعدادات!$C$9,$N156=1,ISNUMBER($G156)),$G156*100000+N($H156)*100+N($I156)+(1000-ROW())/10000,0)</f>
        <v>0</v>
      </c>
      <c r="N156" s="43">
        <f t="shared" si="6"/>
        <v>0</v>
      </c>
      <c r="O156" s="43" t="str">
        <f t="shared" si="8"/>
        <v/>
      </c>
      <c r="P156" s="43">
        <f t="shared" si="7"/>
        <v>0</v>
      </c>
    </row>
    <row r="157" spans="1:16">
      <c r="A157" s="58">
        <v>4</v>
      </c>
      <c r="B157" s="59" t="str">
        <f>IFERROR(INDEX(الطلاب!$C$5:$C$44,MATCH($D157,الطلاب!$A$5:$A$44,0)),"")</f>
        <v>المقرأة الثانية</v>
      </c>
      <c r="C157" s="59" t="str">
        <f>IFERROR(INDEX(الطلاب!$D$5:$D$44,MATCH($D157,الطلاب!$A$5:$A$44,0)),"")</f>
        <v xml:space="preserve">ابي بن مالك </v>
      </c>
      <c r="D157" s="59">
        <v>33</v>
      </c>
      <c r="E157" s="60" t="str">
        <f>IFERROR(INDEX(الطلاب!$B$5:$B$44,MATCH($D157,الطلاب!$A$5:$A$44,0)),"")</f>
        <v>يوسف الحربي</v>
      </c>
      <c r="F157" s="40"/>
      <c r="G157" s="40"/>
      <c r="H157" s="40"/>
      <c r="I157" s="40"/>
      <c r="J157" s="40"/>
      <c r="K157" s="36"/>
      <c r="L157" s="43">
        <f>IF(AND($A157='أفضل 5 طلاب'!$C$3,$B157=الإعدادات!$C$8,$N157=1,ISNUMBER($G157)),$G157*100000+N($H157)*100+N($I157)+(1000-ROW())/10000,0)</f>
        <v>0</v>
      </c>
      <c r="M157" s="43">
        <f>IF(AND($A157='أفضل 5 طلاب'!$C$3,$B157=الإعدادات!$C$9,$N157=1,ISNUMBER($G157)),$G157*100000+N($H157)*100+N($I157)+(1000-ROW())/10000,0)</f>
        <v>0</v>
      </c>
      <c r="N157" s="43">
        <f t="shared" si="6"/>
        <v>0</v>
      </c>
      <c r="O157" s="43" t="str">
        <f t="shared" si="8"/>
        <v/>
      </c>
      <c r="P157" s="43">
        <f t="shared" si="7"/>
        <v>0</v>
      </c>
    </row>
    <row r="158" spans="1:16">
      <c r="A158" s="58">
        <v>4</v>
      </c>
      <c r="B158" s="59" t="str">
        <f>IFERROR(INDEX(الطلاب!$C$5:$C$44,MATCH($D158,الطلاب!$A$5:$A$44,0)),"")</f>
        <v>المقرأة الثانية</v>
      </c>
      <c r="C158" s="59" t="str">
        <f>IFERROR(INDEX(الطلاب!$D$5:$D$44,MATCH($D158,الطلاب!$A$5:$A$44,0)),"")</f>
        <v xml:space="preserve">ابي بن مالك </v>
      </c>
      <c r="D158" s="59">
        <v>34</v>
      </c>
      <c r="E158" s="60" t="str">
        <f>IFERROR(INDEX(الطلاب!$B$5:$B$44,MATCH($D158,الطلاب!$A$5:$A$44,0)),"")</f>
        <v xml:space="preserve">عدي الفريح </v>
      </c>
      <c r="F158" s="40"/>
      <c r="G158" s="40"/>
      <c r="H158" s="40"/>
      <c r="I158" s="40"/>
      <c r="J158" s="40"/>
      <c r="K158" s="36"/>
      <c r="L158" s="43">
        <f>IF(AND($A158='أفضل 5 طلاب'!$C$3,$B158=الإعدادات!$C$8,$N158=1,ISNUMBER($G158)),$G158*100000+N($H158)*100+N($I158)+(1000-ROW())/10000,0)</f>
        <v>0</v>
      </c>
      <c r="M158" s="43">
        <f>IF(AND($A158='أفضل 5 طلاب'!$C$3,$B158=الإعدادات!$C$9,$N158=1,ISNUMBER($G158)),$G158*100000+N($H158)*100+N($I158)+(1000-ROW())/10000,0)</f>
        <v>0</v>
      </c>
      <c r="N158" s="43">
        <f t="shared" si="6"/>
        <v>0</v>
      </c>
      <c r="O158" s="43" t="str">
        <f t="shared" si="8"/>
        <v/>
      </c>
      <c r="P158" s="43">
        <f t="shared" si="7"/>
        <v>0</v>
      </c>
    </row>
    <row r="159" spans="1:16">
      <c r="A159" s="58">
        <v>4</v>
      </c>
      <c r="B159" s="59" t="str">
        <f>IFERROR(INDEX(الطلاب!$C$5:$C$44,MATCH($D159,الطلاب!$A$5:$A$44,0)),"")</f>
        <v>المقرأة الثانية</v>
      </c>
      <c r="C159" s="59" t="str">
        <f>IFERROR(INDEX(الطلاب!$D$5:$D$44,MATCH($D159,الطلاب!$A$5:$A$44,0)),"")</f>
        <v xml:space="preserve">ابي بن مالك </v>
      </c>
      <c r="D159" s="59">
        <v>35</v>
      </c>
      <c r="E159" s="60" t="str">
        <f>IFERROR(INDEX(الطلاب!$B$5:$B$44,MATCH($D159,الطلاب!$A$5:$A$44,0)),"")</f>
        <v xml:space="preserve">عبدالله الفايزي </v>
      </c>
      <c r="F159" s="40"/>
      <c r="G159" s="40"/>
      <c r="H159" s="40"/>
      <c r="I159" s="40"/>
      <c r="J159" s="40"/>
      <c r="K159" s="36"/>
      <c r="L159" s="43">
        <f>IF(AND($A159='أفضل 5 طلاب'!$C$3,$B159=الإعدادات!$C$8,$N159=1,ISNUMBER($G159)),$G159*100000+N($H159)*100+N($I159)+(1000-ROW())/10000,0)</f>
        <v>0</v>
      </c>
      <c r="M159" s="43">
        <f>IF(AND($A159='أفضل 5 طلاب'!$C$3,$B159=الإعدادات!$C$9,$N159=1,ISNUMBER($G159)),$G159*100000+N($H159)*100+N($I159)+(1000-ROW())/10000,0)</f>
        <v>0</v>
      </c>
      <c r="N159" s="43">
        <f t="shared" si="6"/>
        <v>0</v>
      </c>
      <c r="O159" s="43" t="str">
        <f t="shared" si="8"/>
        <v/>
      </c>
      <c r="P159" s="43">
        <f t="shared" si="7"/>
        <v>0</v>
      </c>
    </row>
    <row r="160" spans="1:16">
      <c r="A160" s="58">
        <v>4</v>
      </c>
      <c r="B160" s="59">
        <f>IFERROR(INDEX(الطلاب!$C$5:$C$44,MATCH($D160,الطلاب!$A$5:$A$44,0)),"")</f>
        <v>0</v>
      </c>
      <c r="C160" s="59">
        <f>IFERROR(INDEX(الطلاب!$D$5:$D$44,MATCH($D160,الطلاب!$A$5:$A$44,0)),"")</f>
        <v>0</v>
      </c>
      <c r="D160" s="59">
        <v>36</v>
      </c>
      <c r="E160" s="60" t="str">
        <f>IFERROR(INDEX(الطلاب!$B$5:$B$44,MATCH($D160,الطلاب!$A$5:$A$44,0)),"")</f>
        <v xml:space="preserve">عزام الحسن </v>
      </c>
      <c r="F160" s="40"/>
      <c r="G160" s="40"/>
      <c r="H160" s="40"/>
      <c r="I160" s="40"/>
      <c r="J160" s="40"/>
      <c r="K160" s="36"/>
      <c r="L160" s="43">
        <f>IF(AND($A160='أفضل 5 طلاب'!$C$3,$B160=الإعدادات!$C$8,$N160=1,ISNUMBER($G160)),$G160*100000+N($H160)*100+N($I160)+(1000-ROW())/10000,0)</f>
        <v>0</v>
      </c>
      <c r="M160" s="43">
        <f>IF(AND($A160='أفضل 5 طلاب'!$C$3,$B160=الإعدادات!$C$9,$N160=1,ISNUMBER($G160)),$G160*100000+N($H160)*100+N($I160)+(1000-ROW())/10000,0)</f>
        <v>0</v>
      </c>
      <c r="N160" s="43">
        <f t="shared" si="6"/>
        <v>0</v>
      </c>
      <c r="O160" s="43" t="str">
        <f t="shared" si="8"/>
        <v/>
      </c>
      <c r="P160" s="43">
        <f t="shared" si="7"/>
        <v>0</v>
      </c>
    </row>
    <row r="161" spans="1:16">
      <c r="A161" s="58">
        <v>4</v>
      </c>
      <c r="B161" s="59" t="str">
        <f>IFERROR(INDEX(الطلاب!$C$5:$C$44,MATCH($D161,الطلاب!$A$5:$A$44,0)),"")</f>
        <v>المقرأة الأولى</v>
      </c>
      <c r="C161" s="59" t="str">
        <f>IFERROR(INDEX(الطلاب!$D$5:$D$44,MATCH($D161,الطلاب!$A$5:$A$44,0)),"")</f>
        <v xml:space="preserve">عبدالرحمن بن النعمان </v>
      </c>
      <c r="D161" s="59">
        <v>37</v>
      </c>
      <c r="E161" s="60" t="str">
        <f>IFERROR(INDEX(الطلاب!$B$5:$B$44,MATCH($D161,الطلاب!$A$5:$A$44,0)),"")</f>
        <v xml:space="preserve">أسامة السعوي </v>
      </c>
      <c r="F161" s="40"/>
      <c r="G161" s="40"/>
      <c r="H161" s="40"/>
      <c r="I161" s="40"/>
      <c r="J161" s="40"/>
      <c r="K161" s="36"/>
      <c r="L161" s="43">
        <f>IF(AND($A161='أفضل 5 طلاب'!$C$3,$B161=الإعدادات!$C$8,$N161=1,ISNUMBER($G161)),$G161*100000+N($H161)*100+N($I161)+(1000-ROW())/10000,0)</f>
        <v>0</v>
      </c>
      <c r="M161" s="43">
        <f>IF(AND($A161='أفضل 5 طلاب'!$C$3,$B161=الإعدادات!$C$9,$N161=1,ISNUMBER($G161)),$G161*100000+N($H161)*100+N($I161)+(1000-ROW())/10000,0)</f>
        <v>0</v>
      </c>
      <c r="N161" s="43">
        <f t="shared" si="6"/>
        <v>0</v>
      </c>
      <c r="O161" s="43" t="str">
        <f t="shared" si="8"/>
        <v/>
      </c>
      <c r="P161" s="43">
        <f t="shared" si="7"/>
        <v>0</v>
      </c>
    </row>
    <row r="162" spans="1:16">
      <c r="A162" s="58">
        <v>4</v>
      </c>
      <c r="B162" s="59" t="str">
        <f>IFERROR(INDEX(الطلاب!$C$5:$C$44,MATCH($D162,الطلاب!$A$5:$A$44,0)),"")</f>
        <v>المقرأة الأولى</v>
      </c>
      <c r="C162" s="59" t="str">
        <f>IFERROR(INDEX(الطلاب!$D$5:$D$44,MATCH($D162,الطلاب!$A$5:$A$44,0)),"")</f>
        <v xml:space="preserve">حسان بن ثابت </v>
      </c>
      <c r="D162" s="59">
        <v>38</v>
      </c>
      <c r="E162" s="60" t="str">
        <f>IFERROR(INDEX(الطلاب!$B$5:$B$44,MATCH($D162,الطلاب!$A$5:$A$44,0)),"")</f>
        <v xml:space="preserve">عاصم الضالع </v>
      </c>
      <c r="F162" s="40"/>
      <c r="G162" s="40"/>
      <c r="H162" s="40"/>
      <c r="I162" s="40"/>
      <c r="J162" s="40"/>
      <c r="K162" s="36"/>
      <c r="L162" s="43">
        <f>IF(AND($A162='أفضل 5 طلاب'!$C$3,$B162=الإعدادات!$C$8,$N162=1,ISNUMBER($G162)),$G162*100000+N($H162)*100+N($I162)+(1000-ROW())/10000,0)</f>
        <v>0</v>
      </c>
      <c r="M162" s="43">
        <f>IF(AND($A162='أفضل 5 طلاب'!$C$3,$B162=الإعدادات!$C$9,$N162=1,ISNUMBER($G162)),$G162*100000+N($H162)*100+N($I162)+(1000-ROW())/10000,0)</f>
        <v>0</v>
      </c>
      <c r="N162" s="43">
        <f t="shared" si="6"/>
        <v>0</v>
      </c>
      <c r="O162" s="43" t="str">
        <f t="shared" si="8"/>
        <v/>
      </c>
      <c r="P162" s="43">
        <f t="shared" si="7"/>
        <v>0</v>
      </c>
    </row>
    <row r="163" spans="1:16">
      <c r="A163" s="58">
        <v>4</v>
      </c>
      <c r="B163" s="59">
        <f>IFERROR(INDEX(الطلاب!$C$5:$C$44,MATCH($D163,الطلاب!$A$5:$A$44,0)),"")</f>
        <v>0</v>
      </c>
      <c r="C163" s="59">
        <f>IFERROR(INDEX(الطلاب!$D$5:$D$44,MATCH($D163,الطلاب!$A$5:$A$44,0)),"")</f>
        <v>0</v>
      </c>
      <c r="D163" s="59">
        <v>39</v>
      </c>
      <c r="E163" s="60">
        <f>IFERROR(INDEX(الطلاب!$B$5:$B$44,MATCH($D163,الطلاب!$A$5:$A$44,0)),"")</f>
        <v>0</v>
      </c>
      <c r="F163" s="40"/>
      <c r="G163" s="40"/>
      <c r="H163" s="40"/>
      <c r="I163" s="40"/>
      <c r="J163" s="40"/>
      <c r="K163" s="36"/>
      <c r="L163" s="43">
        <f>IF(AND($A163='أفضل 5 طلاب'!$C$3,$B163=الإعدادات!$C$8,$N163=1,ISNUMBER($G163)),$G163*100000+N($H163)*100+N($I163)+(1000-ROW())/10000,0)</f>
        <v>0</v>
      </c>
      <c r="M163" s="43">
        <f>IF(AND($A163='أفضل 5 طلاب'!$C$3,$B163=الإعدادات!$C$9,$N163=1,ISNUMBER($G163)),$G163*100000+N($H163)*100+N($I163)+(1000-ROW())/10000,0)</f>
        <v>0</v>
      </c>
      <c r="N163" s="43">
        <f t="shared" si="6"/>
        <v>0</v>
      </c>
      <c r="O163" s="43" t="str">
        <f t="shared" si="8"/>
        <v/>
      </c>
      <c r="P163" s="43">
        <f t="shared" si="7"/>
        <v>0</v>
      </c>
    </row>
    <row r="164" spans="1:16" ht="15.95" thickBot="1">
      <c r="A164" s="58">
        <v>4</v>
      </c>
      <c r="B164" s="59">
        <f>IFERROR(INDEX(الطلاب!$C$5:$C$44,MATCH($D164,الطلاب!$A$5:$A$44,0)),"")</f>
        <v>0</v>
      </c>
      <c r="C164" s="59">
        <f>IFERROR(INDEX(الطلاب!$D$5:$D$44,MATCH($D164,الطلاب!$A$5:$A$44,0)),"")</f>
        <v>0</v>
      </c>
      <c r="D164" s="59">
        <v>40</v>
      </c>
      <c r="E164" s="60">
        <f>IFERROR(INDEX(الطلاب!$B$5:$B$44,MATCH($D164,الطلاب!$A$5:$A$44,0)),"")</f>
        <v>0</v>
      </c>
      <c r="F164" s="40"/>
      <c r="G164" s="40"/>
      <c r="H164" s="40"/>
      <c r="I164" s="40"/>
      <c r="J164" s="40"/>
      <c r="K164" s="36"/>
      <c r="L164" s="43">
        <f>IF(AND($A164='أفضل 5 طلاب'!$C$3,$B164=الإعدادات!$C$8,$N164=1,ISNUMBER($G164)),$G164*100000+N($H164)*100+N($I164)+(1000-ROW())/10000,0)</f>
        <v>0</v>
      </c>
      <c r="M164" s="43">
        <f>IF(AND($A164='أفضل 5 طلاب'!$C$3,$B164=الإعدادات!$C$9,$N164=1,ISNUMBER($G164)),$G164*100000+N($H164)*100+N($I164)+(1000-ROW())/10000,0)</f>
        <v>0</v>
      </c>
      <c r="N164" s="43">
        <f t="shared" si="6"/>
        <v>0</v>
      </c>
      <c r="O164" s="43" t="str">
        <f t="shared" si="8"/>
        <v/>
      </c>
      <c r="P164" s="43">
        <f t="shared" si="7"/>
        <v>0</v>
      </c>
    </row>
    <row r="165" spans="1:16">
      <c r="A165" s="44">
        <v>5</v>
      </c>
      <c r="B165" s="45" t="str">
        <f>IFERROR(INDEX(الطلاب!$C$5:$C$44,MATCH($D165,الطلاب!$A$5:$A$44,0)),"")</f>
        <v>المقرأة الأولى</v>
      </c>
      <c r="C165" s="45" t="str">
        <f>IFERROR(INDEX(الطلاب!$D$5:$D$44,MATCH($D165,الطلاب!$A$5:$A$44,0)),"")</f>
        <v xml:space="preserve">عبدالرحمن بن النعمان </v>
      </c>
      <c r="D165" s="45">
        <v>1</v>
      </c>
      <c r="E165" s="46" t="str">
        <f>IFERROR(INDEX(الطلاب!$B$5:$B$44,MATCH($D165,الطلاب!$A$5:$A$44,0)),"")</f>
        <v>غسان اليحيى</v>
      </c>
      <c r="F165" s="47"/>
      <c r="G165" s="47"/>
      <c r="H165" s="47"/>
      <c r="I165" s="47"/>
      <c r="J165" s="47"/>
      <c r="K165" s="36"/>
      <c r="L165" s="43">
        <f>IF(AND($A165='أفضل 5 طلاب'!$C$3,$B165=الإعدادات!$C$8,$N165=1,ISNUMBER($G165)),$G165*100000+N($H165)*100+N($I165)+(1000-ROW())/10000,0)</f>
        <v>0</v>
      </c>
      <c r="M165" s="43">
        <f>IF(AND($A165='أفضل 5 طلاب'!$C$3,$B165=الإعدادات!$C$9,$N165=1,ISNUMBER($G165)),$G165*100000+N($H165)*100+N($I165)+(1000-ROW())/10000,0)</f>
        <v>0</v>
      </c>
      <c r="N165" s="43">
        <f t="shared" si="6"/>
        <v>0</v>
      </c>
      <c r="O165" s="43" t="str">
        <f t="shared" si="8"/>
        <v/>
      </c>
      <c r="P165" s="43">
        <f t="shared" si="7"/>
        <v>0</v>
      </c>
    </row>
    <row r="166" spans="1:16">
      <c r="A166" s="48">
        <v>5</v>
      </c>
      <c r="B166" s="49" t="str">
        <f>IFERROR(INDEX(الطلاب!$C$5:$C$44,MATCH($D166,الطلاب!$A$5:$A$44,0)),"")</f>
        <v>المقرأة الأولى</v>
      </c>
      <c r="C166" s="49" t="str">
        <f>IFERROR(INDEX(الطلاب!$D$5:$D$44,MATCH($D166,الطلاب!$A$5:$A$44,0)),"")</f>
        <v xml:space="preserve">عبدالرحمن بن النعمان </v>
      </c>
      <c r="D166" s="49">
        <v>2</v>
      </c>
      <c r="E166" s="50" t="str">
        <f>IFERROR(INDEX(الطلاب!$B$5:$B$44,MATCH($D166,الطلاب!$A$5:$A$44,0)),"")</f>
        <v xml:space="preserve">صالح الشريف </v>
      </c>
      <c r="F166" s="40"/>
      <c r="G166" s="40"/>
      <c r="H166" s="40"/>
      <c r="I166" s="40"/>
      <c r="J166" s="40"/>
      <c r="K166" s="36"/>
      <c r="L166" s="43">
        <f>IF(AND($A166='أفضل 5 طلاب'!$C$3,$B166=الإعدادات!$C$8,$N166=1,ISNUMBER($G166)),$G166*100000+N($H166)*100+N($I166)+(1000-ROW())/10000,0)</f>
        <v>0</v>
      </c>
      <c r="M166" s="43">
        <f>IF(AND($A166='أفضل 5 طلاب'!$C$3,$B166=الإعدادات!$C$9,$N166=1,ISNUMBER($G166)),$G166*100000+N($H166)*100+N($I166)+(1000-ROW())/10000,0)</f>
        <v>0</v>
      </c>
      <c r="N166" s="43">
        <f t="shared" si="6"/>
        <v>0</v>
      </c>
      <c r="O166" s="43" t="str">
        <f t="shared" si="8"/>
        <v/>
      </c>
      <c r="P166" s="43">
        <f t="shared" si="7"/>
        <v>0</v>
      </c>
    </row>
    <row r="167" spans="1:16">
      <c r="A167" s="48">
        <v>5</v>
      </c>
      <c r="B167" s="49" t="str">
        <f>IFERROR(INDEX(الطلاب!$C$5:$C$44,MATCH($D167,الطلاب!$A$5:$A$44,0)),"")</f>
        <v>المقرأة الأولى</v>
      </c>
      <c r="C167" s="49" t="str">
        <f>IFERROR(INDEX(الطلاب!$D$5:$D$44,MATCH($D167,الطلاب!$A$5:$A$44,0)),"")</f>
        <v xml:space="preserve">عبدالرحمن بن النعمان </v>
      </c>
      <c r="D167" s="49">
        <v>3</v>
      </c>
      <c r="E167" s="50" t="str">
        <f>IFERROR(INDEX(الطلاب!$B$5:$B$44,MATCH($D167,الطلاب!$A$5:$A$44,0)),"")</f>
        <v xml:space="preserve">فهد المشيقح </v>
      </c>
      <c r="F167" s="40"/>
      <c r="G167" s="40"/>
      <c r="H167" s="40"/>
      <c r="I167" s="40"/>
      <c r="J167" s="40"/>
      <c r="K167" s="36"/>
      <c r="L167" s="43">
        <f>IF(AND($A167='أفضل 5 طلاب'!$C$3,$B167=الإعدادات!$C$8,$N167=1,ISNUMBER($G167)),$G167*100000+N($H167)*100+N($I167)+(1000-ROW())/10000,0)</f>
        <v>0</v>
      </c>
      <c r="M167" s="43">
        <f>IF(AND($A167='أفضل 5 طلاب'!$C$3,$B167=الإعدادات!$C$9,$N167=1,ISNUMBER($G167)),$G167*100000+N($H167)*100+N($I167)+(1000-ROW())/10000,0)</f>
        <v>0</v>
      </c>
      <c r="N167" s="43">
        <f t="shared" si="6"/>
        <v>0</v>
      </c>
      <c r="O167" s="43" t="str">
        <f t="shared" si="8"/>
        <v/>
      </c>
      <c r="P167" s="43">
        <f t="shared" si="7"/>
        <v>0</v>
      </c>
    </row>
    <row r="168" spans="1:16">
      <c r="A168" s="48">
        <v>5</v>
      </c>
      <c r="B168" s="49" t="str">
        <f>IFERROR(INDEX(الطلاب!$C$5:$C$44,MATCH($D168,الطلاب!$A$5:$A$44,0)),"")</f>
        <v>المقرأة الأولى</v>
      </c>
      <c r="C168" s="49" t="str">
        <f>IFERROR(INDEX(الطلاب!$D$5:$D$44,MATCH($D168,الطلاب!$A$5:$A$44,0)),"")</f>
        <v xml:space="preserve">عبدالرحمن بن النعمان </v>
      </c>
      <c r="D168" s="49">
        <v>4</v>
      </c>
      <c r="E168" s="50" t="str">
        <f>IFERROR(INDEX(الطلاب!$B$5:$B$44,MATCH($D168,الطلاب!$A$5:$A$44,0)),"")</f>
        <v>عبدالله الحفير</v>
      </c>
      <c r="F168" s="40"/>
      <c r="G168" s="40"/>
      <c r="H168" s="40"/>
      <c r="I168" s="40"/>
      <c r="J168" s="40"/>
      <c r="K168" s="36"/>
      <c r="L168" s="43">
        <f>IF(AND($A168='أفضل 5 طلاب'!$C$3,$B168=الإعدادات!$C$8,$N168=1,ISNUMBER($G168)),$G168*100000+N($H168)*100+N($I168)+(1000-ROW())/10000,0)</f>
        <v>0</v>
      </c>
      <c r="M168" s="43">
        <f>IF(AND($A168='أفضل 5 طلاب'!$C$3,$B168=الإعدادات!$C$9,$N168=1,ISNUMBER($G168)),$G168*100000+N($H168)*100+N($I168)+(1000-ROW())/10000,0)</f>
        <v>0</v>
      </c>
      <c r="N168" s="43">
        <f t="shared" si="6"/>
        <v>0</v>
      </c>
      <c r="O168" s="43" t="str">
        <f t="shared" si="8"/>
        <v/>
      </c>
      <c r="P168" s="43">
        <f t="shared" si="7"/>
        <v>0</v>
      </c>
    </row>
    <row r="169" spans="1:16">
      <c r="A169" s="48">
        <v>5</v>
      </c>
      <c r="B169" s="49" t="str">
        <f>IFERROR(INDEX(الطلاب!$C$5:$C$44,MATCH($D169,الطلاب!$A$5:$A$44,0)),"")</f>
        <v>المقرأة الأولى</v>
      </c>
      <c r="C169" s="49" t="str">
        <f>IFERROR(INDEX(الطلاب!$D$5:$D$44,MATCH($D169,الطلاب!$A$5:$A$44,0)),"")</f>
        <v xml:space="preserve">عبدالرحمن بن النعمان </v>
      </c>
      <c r="D169" s="49">
        <v>5</v>
      </c>
      <c r="E169" s="50" t="str">
        <f>IFERROR(INDEX(الطلاب!$B$5:$B$44,MATCH($D169,الطلاب!$A$5:$A$44,0)),"")</f>
        <v>زياد الدخيل الله</v>
      </c>
      <c r="F169" s="40"/>
      <c r="G169" s="40"/>
      <c r="H169" s="40"/>
      <c r="I169" s="40"/>
      <c r="J169" s="40"/>
      <c r="K169" s="36"/>
      <c r="L169" s="43">
        <f>IF(AND($A169='أفضل 5 طلاب'!$C$3,$B169=الإعدادات!$C$8,$N169=1,ISNUMBER($G169)),$G169*100000+N($H169)*100+N($I169)+(1000-ROW())/10000,0)</f>
        <v>0</v>
      </c>
      <c r="M169" s="43">
        <f>IF(AND($A169='أفضل 5 طلاب'!$C$3,$B169=الإعدادات!$C$9,$N169=1,ISNUMBER($G169)),$G169*100000+N($H169)*100+N($I169)+(1000-ROW())/10000,0)</f>
        <v>0</v>
      </c>
      <c r="N169" s="43">
        <f t="shared" si="6"/>
        <v>0</v>
      </c>
      <c r="O169" s="43" t="str">
        <f t="shared" si="8"/>
        <v/>
      </c>
      <c r="P169" s="43">
        <f t="shared" si="7"/>
        <v>0</v>
      </c>
    </row>
    <row r="170" spans="1:16">
      <c r="A170" s="48">
        <v>5</v>
      </c>
      <c r="B170" s="49" t="str">
        <f>IFERROR(INDEX(الطلاب!$C$5:$C$44,MATCH($D170,الطلاب!$A$5:$A$44,0)),"")</f>
        <v>المقرأة الأولى</v>
      </c>
      <c r="C170" s="49" t="str">
        <f>IFERROR(INDEX(الطلاب!$D$5:$D$44,MATCH($D170,الطلاب!$A$5:$A$44,0)),"")</f>
        <v xml:space="preserve">ابن رجب </v>
      </c>
      <c r="D170" s="49">
        <v>6</v>
      </c>
      <c r="E170" s="50" t="str">
        <f>IFERROR(INDEX(الطلاب!$B$5:$B$44,MATCH($D170,الطلاب!$A$5:$A$44,0)),"")</f>
        <v xml:space="preserve">عاصم الضبيعي </v>
      </c>
      <c r="F170" s="40"/>
      <c r="G170" s="40"/>
      <c r="H170" s="40"/>
      <c r="I170" s="40"/>
      <c r="J170" s="40"/>
      <c r="K170" s="36"/>
      <c r="L170" s="43">
        <f>IF(AND($A170='أفضل 5 طلاب'!$C$3,$B170=الإعدادات!$C$8,$N170=1,ISNUMBER($G170)),$G170*100000+N($H170)*100+N($I170)+(1000-ROW())/10000,0)</f>
        <v>0</v>
      </c>
      <c r="M170" s="43">
        <f>IF(AND($A170='أفضل 5 طلاب'!$C$3,$B170=الإعدادات!$C$9,$N170=1,ISNUMBER($G170)),$G170*100000+N($H170)*100+N($I170)+(1000-ROW())/10000,0)</f>
        <v>0</v>
      </c>
      <c r="N170" s="43">
        <f t="shared" si="6"/>
        <v>0</v>
      </c>
      <c r="O170" s="43" t="str">
        <f t="shared" si="8"/>
        <v/>
      </c>
      <c r="P170" s="43">
        <f t="shared" si="7"/>
        <v>0</v>
      </c>
    </row>
    <row r="171" spans="1:16">
      <c r="A171" s="48">
        <v>5</v>
      </c>
      <c r="B171" s="49" t="str">
        <f>IFERROR(INDEX(الطلاب!$C$5:$C$44,MATCH($D171,الطلاب!$A$5:$A$44,0)),"")</f>
        <v>المقرأة الأولى</v>
      </c>
      <c r="C171" s="49" t="str">
        <f>IFERROR(INDEX(الطلاب!$D$5:$D$44,MATCH($D171,الطلاب!$A$5:$A$44,0)),"")</f>
        <v xml:space="preserve">ابن رجب </v>
      </c>
      <c r="D171" s="49">
        <v>7</v>
      </c>
      <c r="E171" s="50" t="str">
        <f>IFERROR(INDEX(الطلاب!$B$5:$B$44,MATCH($D171,الطلاب!$A$5:$A$44,0)),"")</f>
        <v>محمد السعوي</v>
      </c>
      <c r="F171" s="40"/>
      <c r="G171" s="40"/>
      <c r="H171" s="40"/>
      <c r="I171" s="40"/>
      <c r="J171" s="40"/>
      <c r="K171" s="36"/>
      <c r="L171" s="43">
        <f>IF(AND($A171='أفضل 5 طلاب'!$C$3,$B171=الإعدادات!$C$8,$N171=1,ISNUMBER($G171)),$G171*100000+N($H171)*100+N($I171)+(1000-ROW())/10000,0)</f>
        <v>0</v>
      </c>
      <c r="M171" s="43">
        <f>IF(AND($A171='أفضل 5 طلاب'!$C$3,$B171=الإعدادات!$C$9,$N171=1,ISNUMBER($G171)),$G171*100000+N($H171)*100+N($I171)+(1000-ROW())/10000,0)</f>
        <v>0</v>
      </c>
      <c r="N171" s="43">
        <f t="shared" si="6"/>
        <v>0</v>
      </c>
      <c r="O171" s="43" t="str">
        <f t="shared" si="8"/>
        <v/>
      </c>
      <c r="P171" s="43">
        <f t="shared" si="7"/>
        <v>0</v>
      </c>
    </row>
    <row r="172" spans="1:16">
      <c r="A172" s="48">
        <v>5</v>
      </c>
      <c r="B172" s="49" t="str">
        <f>IFERROR(INDEX(الطلاب!$C$5:$C$44,MATCH($D172,الطلاب!$A$5:$A$44,0)),"")</f>
        <v>المقرأة الأولى</v>
      </c>
      <c r="C172" s="49" t="str">
        <f>IFERROR(INDEX(الطلاب!$D$5:$D$44,MATCH($D172,الطلاب!$A$5:$A$44,0)),"")</f>
        <v xml:space="preserve">ابن رجب </v>
      </c>
      <c r="D172" s="49">
        <v>8</v>
      </c>
      <c r="E172" s="50" t="str">
        <f>IFERROR(INDEX(الطلاب!$B$5:$B$44,MATCH($D172,الطلاب!$A$5:$A$44,0)),"")</f>
        <v>هشام المخلف</v>
      </c>
      <c r="F172" s="40"/>
      <c r="G172" s="40"/>
      <c r="H172" s="40"/>
      <c r="I172" s="40"/>
      <c r="J172" s="40"/>
      <c r="K172" s="36"/>
      <c r="L172" s="43">
        <f>IF(AND($A172='أفضل 5 طلاب'!$C$3,$B172=الإعدادات!$C$8,$N172=1,ISNUMBER($G172)),$G172*100000+N($H172)*100+N($I172)+(1000-ROW())/10000,0)</f>
        <v>0</v>
      </c>
      <c r="M172" s="43">
        <f>IF(AND($A172='أفضل 5 طلاب'!$C$3,$B172=الإعدادات!$C$9,$N172=1,ISNUMBER($G172)),$G172*100000+N($H172)*100+N($I172)+(1000-ROW())/10000,0)</f>
        <v>0</v>
      </c>
      <c r="N172" s="43">
        <f t="shared" si="6"/>
        <v>0</v>
      </c>
      <c r="O172" s="43" t="str">
        <f t="shared" si="8"/>
        <v/>
      </c>
      <c r="P172" s="43">
        <f t="shared" si="7"/>
        <v>0</v>
      </c>
    </row>
    <row r="173" spans="1:16">
      <c r="A173" s="48">
        <v>5</v>
      </c>
      <c r="B173" s="49" t="str">
        <f>IFERROR(INDEX(الطلاب!$C$5:$C$44,MATCH($D173,الطلاب!$A$5:$A$44,0)),"")</f>
        <v>المقرأة الأولى</v>
      </c>
      <c r="C173" s="49" t="str">
        <f>IFERROR(INDEX(الطلاب!$D$5:$D$44,MATCH($D173,الطلاب!$A$5:$A$44,0)),"")</f>
        <v xml:space="preserve">ابن رجب </v>
      </c>
      <c r="D173" s="49">
        <v>9</v>
      </c>
      <c r="E173" s="50" t="str">
        <f>IFERROR(INDEX(الطلاب!$B$5:$B$44,MATCH($D173,الطلاب!$A$5:$A$44,0)),"")</f>
        <v xml:space="preserve">اسامة السعدون </v>
      </c>
      <c r="F173" s="40"/>
      <c r="G173" s="40"/>
      <c r="H173" s="40"/>
      <c r="I173" s="40"/>
      <c r="J173" s="40"/>
      <c r="K173" s="36"/>
      <c r="L173" s="43">
        <f>IF(AND($A173='أفضل 5 طلاب'!$C$3,$B173=الإعدادات!$C$8,$N173=1,ISNUMBER($G173)),$G173*100000+N($H173)*100+N($I173)+(1000-ROW())/10000,0)</f>
        <v>0</v>
      </c>
      <c r="M173" s="43">
        <f>IF(AND($A173='أفضل 5 طلاب'!$C$3,$B173=الإعدادات!$C$9,$N173=1,ISNUMBER($G173)),$G173*100000+N($H173)*100+N($I173)+(1000-ROW())/10000,0)</f>
        <v>0</v>
      </c>
      <c r="N173" s="43">
        <f t="shared" si="6"/>
        <v>0</v>
      </c>
      <c r="O173" s="43" t="str">
        <f t="shared" si="8"/>
        <v/>
      </c>
      <c r="P173" s="43">
        <f t="shared" si="7"/>
        <v>0</v>
      </c>
    </row>
    <row r="174" spans="1:16">
      <c r="A174" s="48">
        <v>5</v>
      </c>
      <c r="B174" s="49" t="str">
        <f>IFERROR(INDEX(الطلاب!$C$5:$C$44,MATCH($D174,الطلاب!$A$5:$A$44,0)),"")</f>
        <v>المقرأة الأولى</v>
      </c>
      <c r="C174" s="49" t="str">
        <f>IFERROR(INDEX(الطلاب!$D$5:$D$44,MATCH($D174,الطلاب!$A$5:$A$44,0)),"")</f>
        <v xml:space="preserve">حسان بن ثابت </v>
      </c>
      <c r="D174" s="49">
        <v>10</v>
      </c>
      <c r="E174" s="50" t="str">
        <f>IFERROR(INDEX(الطلاب!$B$5:$B$44,MATCH($D174,الطلاب!$A$5:$A$44,0)),"")</f>
        <v xml:space="preserve">محمد الثنيان </v>
      </c>
      <c r="F174" s="40"/>
      <c r="G174" s="40"/>
      <c r="H174" s="40"/>
      <c r="I174" s="40"/>
      <c r="J174" s="40"/>
      <c r="K174" s="36"/>
      <c r="L174" s="43">
        <f>IF(AND($A174='أفضل 5 طلاب'!$C$3,$B174=الإعدادات!$C$8,$N174=1,ISNUMBER($G174)),$G174*100000+N($H174)*100+N($I174)+(1000-ROW())/10000,0)</f>
        <v>0</v>
      </c>
      <c r="M174" s="43">
        <f>IF(AND($A174='أفضل 5 طلاب'!$C$3,$B174=الإعدادات!$C$9,$N174=1,ISNUMBER($G174)),$G174*100000+N($H174)*100+N($I174)+(1000-ROW())/10000,0)</f>
        <v>0</v>
      </c>
      <c r="N174" s="43">
        <f t="shared" si="6"/>
        <v>0</v>
      </c>
      <c r="O174" s="43" t="str">
        <f t="shared" si="8"/>
        <v/>
      </c>
      <c r="P174" s="43">
        <f t="shared" si="7"/>
        <v>0</v>
      </c>
    </row>
    <row r="175" spans="1:16">
      <c r="A175" s="48">
        <v>5</v>
      </c>
      <c r="B175" s="49" t="str">
        <f>IFERROR(INDEX(الطلاب!$C$5:$C$44,MATCH($D175,الطلاب!$A$5:$A$44,0)),"")</f>
        <v>المقرأة الأولى</v>
      </c>
      <c r="C175" s="49" t="str">
        <f>IFERROR(INDEX(الطلاب!$D$5:$D$44,MATCH($D175,الطلاب!$A$5:$A$44,0)),"")</f>
        <v xml:space="preserve">حسان بن ثابت </v>
      </c>
      <c r="D175" s="49">
        <v>11</v>
      </c>
      <c r="E175" s="50" t="str">
        <f>IFERROR(INDEX(الطلاب!$B$5:$B$44,MATCH($D175,الطلاب!$A$5:$A$44,0)),"")</f>
        <v xml:space="preserve">كنان الجريفاني </v>
      </c>
      <c r="F175" s="40"/>
      <c r="G175" s="40"/>
      <c r="H175" s="40"/>
      <c r="I175" s="40"/>
      <c r="J175" s="40"/>
      <c r="K175" s="36"/>
      <c r="L175" s="43">
        <f>IF(AND($A175='أفضل 5 طلاب'!$C$3,$B175=الإعدادات!$C$8,$N175=1,ISNUMBER($G175)),$G175*100000+N($H175)*100+N($I175)+(1000-ROW())/10000,0)</f>
        <v>0</v>
      </c>
      <c r="M175" s="43">
        <f>IF(AND($A175='أفضل 5 طلاب'!$C$3,$B175=الإعدادات!$C$9,$N175=1,ISNUMBER($G175)),$G175*100000+N($H175)*100+N($I175)+(1000-ROW())/10000,0)</f>
        <v>0</v>
      </c>
      <c r="N175" s="43">
        <f t="shared" si="6"/>
        <v>0</v>
      </c>
      <c r="O175" s="43" t="str">
        <f t="shared" si="8"/>
        <v/>
      </c>
      <c r="P175" s="43">
        <f t="shared" si="7"/>
        <v>0</v>
      </c>
    </row>
    <row r="176" spans="1:16">
      <c r="A176" s="48">
        <v>5</v>
      </c>
      <c r="B176" s="49" t="str">
        <f>IFERROR(INDEX(الطلاب!$C$5:$C$44,MATCH($D176,الطلاب!$A$5:$A$44,0)),"")</f>
        <v>المقرأة الأولى</v>
      </c>
      <c r="C176" s="49" t="str">
        <f>IFERROR(INDEX(الطلاب!$D$5:$D$44,MATCH($D176,الطلاب!$A$5:$A$44,0)),"")</f>
        <v xml:space="preserve">حسان بن ثابت </v>
      </c>
      <c r="D176" s="49">
        <v>12</v>
      </c>
      <c r="E176" s="50" t="str">
        <f>IFERROR(INDEX(الطلاب!$B$5:$B$44,MATCH($D176,الطلاب!$A$5:$A$44,0)),"")</f>
        <v xml:space="preserve">عبدالمجيد الربعي </v>
      </c>
      <c r="F176" s="40"/>
      <c r="G176" s="40"/>
      <c r="H176" s="40"/>
      <c r="I176" s="40"/>
      <c r="J176" s="40"/>
      <c r="K176" s="36"/>
      <c r="L176" s="43">
        <f>IF(AND($A176='أفضل 5 طلاب'!$C$3,$B176=الإعدادات!$C$8,$N176=1,ISNUMBER($G176)),$G176*100000+N($H176)*100+N($I176)+(1000-ROW())/10000,0)</f>
        <v>0</v>
      </c>
      <c r="M176" s="43">
        <f>IF(AND($A176='أفضل 5 طلاب'!$C$3,$B176=الإعدادات!$C$9,$N176=1,ISNUMBER($G176)),$G176*100000+N($H176)*100+N($I176)+(1000-ROW())/10000,0)</f>
        <v>0</v>
      </c>
      <c r="N176" s="43">
        <f t="shared" si="6"/>
        <v>0</v>
      </c>
      <c r="O176" s="43" t="str">
        <f t="shared" si="8"/>
        <v/>
      </c>
      <c r="P176" s="43">
        <f t="shared" si="7"/>
        <v>0</v>
      </c>
    </row>
    <row r="177" spans="1:16">
      <c r="A177" s="48">
        <v>5</v>
      </c>
      <c r="B177" s="49" t="str">
        <f>IFERROR(INDEX(الطلاب!$C$5:$C$44,MATCH($D177,الطلاب!$A$5:$A$44,0)),"")</f>
        <v>المقرأة الأولى</v>
      </c>
      <c r="C177" s="49" t="str">
        <f>IFERROR(INDEX(الطلاب!$D$5:$D$44,MATCH($D177,الطلاب!$A$5:$A$44,0)),"")</f>
        <v xml:space="preserve">حسان بن ثابت </v>
      </c>
      <c r="D177" s="49">
        <v>13</v>
      </c>
      <c r="E177" s="50" t="str">
        <f>IFERROR(INDEX(الطلاب!$B$5:$B$44,MATCH($D177,الطلاب!$A$5:$A$44,0)),"")</f>
        <v xml:space="preserve">عبدالله التويجري </v>
      </c>
      <c r="F177" s="40"/>
      <c r="G177" s="40"/>
      <c r="H177" s="40"/>
      <c r="I177" s="40"/>
      <c r="J177" s="40"/>
      <c r="K177" s="36"/>
      <c r="L177" s="43">
        <f>IF(AND($A177='أفضل 5 طلاب'!$C$3,$B177=الإعدادات!$C$8,$N177=1,ISNUMBER($G177)),$G177*100000+N($H177)*100+N($I177)+(1000-ROW())/10000,0)</f>
        <v>0</v>
      </c>
      <c r="M177" s="43">
        <f>IF(AND($A177='أفضل 5 طلاب'!$C$3,$B177=الإعدادات!$C$9,$N177=1,ISNUMBER($G177)),$G177*100000+N($H177)*100+N($I177)+(1000-ROW())/10000,0)</f>
        <v>0</v>
      </c>
      <c r="N177" s="43">
        <f t="shared" si="6"/>
        <v>0</v>
      </c>
      <c r="O177" s="43" t="str">
        <f t="shared" si="8"/>
        <v/>
      </c>
      <c r="P177" s="43">
        <f t="shared" si="7"/>
        <v>0</v>
      </c>
    </row>
    <row r="178" spans="1:16">
      <c r="A178" s="48">
        <v>5</v>
      </c>
      <c r="B178" s="49" t="str">
        <f>IFERROR(INDEX(الطلاب!$C$5:$C$44,MATCH($D178,الطلاب!$A$5:$A$44,0)),"")</f>
        <v>المقرأة الأولى</v>
      </c>
      <c r="C178" s="49" t="str">
        <f>IFERROR(INDEX(الطلاب!$D$5:$D$44,MATCH($D178,الطلاب!$A$5:$A$44,0)),"")</f>
        <v xml:space="preserve">حسان بن ثابت </v>
      </c>
      <c r="D178" s="49">
        <v>14</v>
      </c>
      <c r="E178" s="50" t="str">
        <f>IFERROR(INDEX(الطلاب!$B$5:$B$44,MATCH($D178,الطلاب!$A$5:$A$44,0)),"")</f>
        <v xml:space="preserve">حسام التويجري </v>
      </c>
      <c r="F178" s="40"/>
      <c r="G178" s="40"/>
      <c r="H178" s="40"/>
      <c r="I178" s="40"/>
      <c r="J178" s="40"/>
      <c r="K178" s="36"/>
      <c r="L178" s="43">
        <f>IF(AND($A178='أفضل 5 طلاب'!$C$3,$B178=الإعدادات!$C$8,$N178=1,ISNUMBER($G178)),$G178*100000+N($H178)*100+N($I178)+(1000-ROW())/10000,0)</f>
        <v>0</v>
      </c>
      <c r="M178" s="43">
        <f>IF(AND($A178='أفضل 5 طلاب'!$C$3,$B178=الإعدادات!$C$9,$N178=1,ISNUMBER($G178)),$G178*100000+N($H178)*100+N($I178)+(1000-ROW())/10000,0)</f>
        <v>0</v>
      </c>
      <c r="N178" s="43">
        <f t="shared" si="6"/>
        <v>0</v>
      </c>
      <c r="O178" s="43" t="str">
        <f t="shared" si="8"/>
        <v/>
      </c>
      <c r="P178" s="43">
        <f t="shared" si="7"/>
        <v>0</v>
      </c>
    </row>
    <row r="179" spans="1:16">
      <c r="A179" s="48">
        <v>5</v>
      </c>
      <c r="B179" s="49" t="str">
        <f>IFERROR(INDEX(الطلاب!$C$5:$C$44,MATCH($D179,الطلاب!$A$5:$A$44,0)),"")</f>
        <v>المقرأة الأولى</v>
      </c>
      <c r="C179" s="49" t="str">
        <f>IFERROR(INDEX(الطلاب!$D$5:$D$44,MATCH($D179,الطلاب!$A$5:$A$44,0)),"")</f>
        <v xml:space="preserve">حسان بن ثابت </v>
      </c>
      <c r="D179" s="49">
        <v>15</v>
      </c>
      <c r="E179" s="50" t="str">
        <f>IFERROR(INDEX(الطلاب!$B$5:$B$44,MATCH($D179,الطلاب!$A$5:$A$44,0)),"")</f>
        <v xml:space="preserve">عبدالرحمن البريدي </v>
      </c>
      <c r="F179" s="40"/>
      <c r="G179" s="40"/>
      <c r="H179" s="40"/>
      <c r="I179" s="40"/>
      <c r="J179" s="40"/>
      <c r="K179" s="36"/>
      <c r="L179" s="43">
        <f>IF(AND($A179='أفضل 5 طلاب'!$C$3,$B179=الإعدادات!$C$8,$N179=1,ISNUMBER($G179)),$G179*100000+N($H179)*100+N($I179)+(1000-ROW())/10000,0)</f>
        <v>0</v>
      </c>
      <c r="M179" s="43">
        <f>IF(AND($A179='أفضل 5 طلاب'!$C$3,$B179=الإعدادات!$C$9,$N179=1,ISNUMBER($G179)),$G179*100000+N($H179)*100+N($I179)+(1000-ROW())/10000,0)</f>
        <v>0</v>
      </c>
      <c r="N179" s="43">
        <f t="shared" si="6"/>
        <v>0</v>
      </c>
      <c r="O179" s="43" t="str">
        <f t="shared" si="8"/>
        <v/>
      </c>
      <c r="P179" s="43">
        <f t="shared" si="7"/>
        <v>0</v>
      </c>
    </row>
    <row r="180" spans="1:16">
      <c r="A180" s="48">
        <v>5</v>
      </c>
      <c r="B180" s="49" t="str">
        <f>IFERROR(INDEX(الطلاب!$C$5:$C$44,MATCH($D180,الطلاب!$A$5:$A$44,0)),"")</f>
        <v>المقرأة الأولى</v>
      </c>
      <c r="C180" s="49" t="str">
        <f>IFERROR(INDEX(الطلاب!$D$5:$D$44,MATCH($D180,الطلاب!$A$5:$A$44,0)),"")</f>
        <v xml:space="preserve">حسان بن ثابت </v>
      </c>
      <c r="D180" s="49">
        <v>16</v>
      </c>
      <c r="E180" s="50" t="str">
        <f>IFERROR(INDEX(الطلاب!$B$5:$B$44,MATCH($D180,الطلاب!$A$5:$A$44,0)),"")</f>
        <v>عبدالرحمن بازرعة</v>
      </c>
      <c r="F180" s="40"/>
      <c r="G180" s="40"/>
      <c r="H180" s="40"/>
      <c r="I180" s="40"/>
      <c r="J180" s="40"/>
      <c r="K180" s="36"/>
      <c r="L180" s="43">
        <f>IF(AND($A180='أفضل 5 طلاب'!$C$3,$B180=الإعدادات!$C$8,$N180=1,ISNUMBER($G180)),$G180*100000+N($H180)*100+N($I180)+(1000-ROW())/10000,0)</f>
        <v>0</v>
      </c>
      <c r="M180" s="43">
        <f>IF(AND($A180='أفضل 5 طلاب'!$C$3,$B180=الإعدادات!$C$9,$N180=1,ISNUMBER($G180)),$G180*100000+N($H180)*100+N($I180)+(1000-ROW())/10000,0)</f>
        <v>0</v>
      </c>
      <c r="N180" s="43">
        <f t="shared" si="6"/>
        <v>0</v>
      </c>
      <c r="O180" s="43" t="str">
        <f t="shared" si="8"/>
        <v/>
      </c>
      <c r="P180" s="43">
        <f t="shared" si="7"/>
        <v>0</v>
      </c>
    </row>
    <row r="181" spans="1:16">
      <c r="A181" s="48">
        <v>5</v>
      </c>
      <c r="B181" s="49" t="str">
        <f>IFERROR(INDEX(الطلاب!$C$5:$C$44,MATCH($D181,الطلاب!$A$5:$A$44,0)),"")</f>
        <v>المقرأة الأولى</v>
      </c>
      <c r="C181" s="49" t="str">
        <f>IFERROR(INDEX(الطلاب!$D$5:$D$44,MATCH($D181,الطلاب!$A$5:$A$44,0)),"")</f>
        <v xml:space="preserve">حسان بن ثابت </v>
      </c>
      <c r="D181" s="49">
        <v>17</v>
      </c>
      <c r="E181" s="50" t="str">
        <f>IFERROR(INDEX(الطلاب!$B$5:$B$44,MATCH($D181,الطلاب!$A$5:$A$44,0)),"")</f>
        <v xml:space="preserve">عبدالله الضحيان </v>
      </c>
      <c r="F181" s="40"/>
      <c r="G181" s="40"/>
      <c r="H181" s="40"/>
      <c r="I181" s="40"/>
      <c r="J181" s="40"/>
      <c r="K181" s="36"/>
      <c r="L181" s="43">
        <f>IF(AND($A181='أفضل 5 طلاب'!$C$3,$B181=الإعدادات!$C$8,$N181=1,ISNUMBER($G181)),$G181*100000+N($H181)*100+N($I181)+(1000-ROW())/10000,0)</f>
        <v>0</v>
      </c>
      <c r="M181" s="43">
        <f>IF(AND($A181='أفضل 5 طلاب'!$C$3,$B181=الإعدادات!$C$9,$N181=1,ISNUMBER($G181)),$G181*100000+N($H181)*100+N($I181)+(1000-ROW())/10000,0)</f>
        <v>0</v>
      </c>
      <c r="N181" s="43">
        <f t="shared" si="6"/>
        <v>0</v>
      </c>
      <c r="O181" s="43" t="str">
        <f t="shared" si="8"/>
        <v/>
      </c>
      <c r="P181" s="43">
        <f t="shared" si="7"/>
        <v>0</v>
      </c>
    </row>
    <row r="182" spans="1:16">
      <c r="A182" s="48">
        <v>5</v>
      </c>
      <c r="B182" s="49" t="str">
        <f>IFERROR(INDEX(الطلاب!$C$5:$C$44,MATCH($D182,الطلاب!$A$5:$A$44,0)),"")</f>
        <v>المقرأة الأولى</v>
      </c>
      <c r="C182" s="49" t="str">
        <f>IFERROR(INDEX(الطلاب!$D$5:$D$44,MATCH($D182,الطلاب!$A$5:$A$44,0)),"")</f>
        <v xml:space="preserve">حسان بن ثابت </v>
      </c>
      <c r="D182" s="49">
        <v>18</v>
      </c>
      <c r="E182" s="50" t="str">
        <f>IFERROR(INDEX(الطلاب!$B$5:$B$44,MATCH($D182,الطلاب!$A$5:$A$44,0)),"")</f>
        <v xml:space="preserve">فيصل الدخيل </v>
      </c>
      <c r="F182" s="40"/>
      <c r="G182" s="40"/>
      <c r="H182" s="40"/>
      <c r="I182" s="40"/>
      <c r="J182" s="40"/>
      <c r="K182" s="36"/>
      <c r="L182" s="43">
        <f>IF(AND($A182='أفضل 5 طلاب'!$C$3,$B182=الإعدادات!$C$8,$N182=1,ISNUMBER($G182)),$G182*100000+N($H182)*100+N($I182)+(1000-ROW())/10000,0)</f>
        <v>0</v>
      </c>
      <c r="M182" s="43">
        <f>IF(AND($A182='أفضل 5 طلاب'!$C$3,$B182=الإعدادات!$C$9,$N182=1,ISNUMBER($G182)),$G182*100000+N($H182)*100+N($I182)+(1000-ROW())/10000,0)</f>
        <v>0</v>
      </c>
      <c r="N182" s="43">
        <f t="shared" si="6"/>
        <v>0</v>
      </c>
      <c r="O182" s="43" t="str">
        <f t="shared" si="8"/>
        <v/>
      </c>
      <c r="P182" s="43">
        <f t="shared" si="7"/>
        <v>0</v>
      </c>
    </row>
    <row r="183" spans="1:16">
      <c r="A183" s="48">
        <v>5</v>
      </c>
      <c r="B183" s="49" t="str">
        <f>IFERROR(INDEX(الطلاب!$C$5:$C$44,MATCH($D183,الطلاب!$A$5:$A$44,0)),"")</f>
        <v>المقرأة الأولى</v>
      </c>
      <c r="C183" s="49" t="str">
        <f>IFERROR(INDEX(الطلاب!$D$5:$D$44,MATCH($D183,الطلاب!$A$5:$A$44,0)),"")</f>
        <v xml:space="preserve">حسان بن ثابت </v>
      </c>
      <c r="D183" s="49">
        <v>19</v>
      </c>
      <c r="E183" s="50" t="str">
        <f>IFERROR(INDEX(الطلاب!$B$5:$B$44,MATCH($D183,الطلاب!$A$5:$A$44,0)),"")</f>
        <v xml:space="preserve">سليمان المحيميد </v>
      </c>
      <c r="F183" s="40"/>
      <c r="G183" s="40"/>
      <c r="H183" s="40"/>
      <c r="I183" s="40"/>
      <c r="J183" s="40"/>
      <c r="K183" s="36"/>
      <c r="L183" s="43">
        <f>IF(AND($A183='أفضل 5 طلاب'!$C$3,$B183=الإعدادات!$C$8,$N183=1,ISNUMBER($G183)),$G183*100000+N($H183)*100+N($I183)+(1000-ROW())/10000,0)</f>
        <v>0</v>
      </c>
      <c r="M183" s="43">
        <f>IF(AND($A183='أفضل 5 طلاب'!$C$3,$B183=الإعدادات!$C$9,$N183=1,ISNUMBER($G183)),$G183*100000+N($H183)*100+N($I183)+(1000-ROW())/10000,0)</f>
        <v>0</v>
      </c>
      <c r="N183" s="43">
        <f t="shared" si="6"/>
        <v>0</v>
      </c>
      <c r="O183" s="43" t="str">
        <f t="shared" si="8"/>
        <v/>
      </c>
      <c r="P183" s="43">
        <f t="shared" si="7"/>
        <v>0</v>
      </c>
    </row>
    <row r="184" spans="1:16">
      <c r="A184" s="48">
        <v>5</v>
      </c>
      <c r="B184" s="49" t="str">
        <f>IFERROR(INDEX(الطلاب!$C$5:$C$44,MATCH($D184,الطلاب!$A$5:$A$44,0)),"")</f>
        <v>المقرأة الثانية</v>
      </c>
      <c r="C184" s="49" t="str">
        <f>IFERROR(INDEX(الطلاب!$D$5:$D$44,MATCH($D184,الطلاب!$A$5:$A$44,0)),"")</f>
        <v xml:space="preserve">ابن رجب </v>
      </c>
      <c r="D184" s="49">
        <v>20</v>
      </c>
      <c r="E184" s="50" t="str">
        <f>IFERROR(INDEX(الطلاب!$B$5:$B$44,MATCH($D184,الطلاب!$A$5:$A$44,0)),"")</f>
        <v xml:space="preserve">اصيل التويجري </v>
      </c>
      <c r="F184" s="40"/>
      <c r="G184" s="40"/>
      <c r="H184" s="40"/>
      <c r="I184" s="40"/>
      <c r="J184" s="40"/>
      <c r="K184" s="36"/>
      <c r="L184" s="43">
        <f>IF(AND($A184='أفضل 5 طلاب'!$C$3,$B184=الإعدادات!$C$8,$N184=1,ISNUMBER($G184)),$G184*100000+N($H184)*100+N($I184)+(1000-ROW())/10000,0)</f>
        <v>0</v>
      </c>
      <c r="M184" s="43">
        <f>IF(AND($A184='أفضل 5 طلاب'!$C$3,$B184=الإعدادات!$C$9,$N184=1,ISNUMBER($G184)),$G184*100000+N($H184)*100+N($I184)+(1000-ROW())/10000,0)</f>
        <v>0</v>
      </c>
      <c r="N184" s="43">
        <f t="shared" si="6"/>
        <v>0</v>
      </c>
      <c r="O184" s="43" t="str">
        <f t="shared" si="8"/>
        <v/>
      </c>
      <c r="P184" s="43">
        <f t="shared" si="7"/>
        <v>0</v>
      </c>
    </row>
    <row r="185" spans="1:16">
      <c r="A185" s="48">
        <v>5</v>
      </c>
      <c r="B185" s="49" t="str">
        <f>IFERROR(INDEX(الطلاب!$C$5:$C$44,MATCH($D185,الطلاب!$A$5:$A$44,0)),"")</f>
        <v>المقرأة الثانية</v>
      </c>
      <c r="C185" s="49" t="str">
        <f>IFERROR(INDEX(الطلاب!$D$5:$D$44,MATCH($D185,الطلاب!$A$5:$A$44,0)),"")</f>
        <v xml:space="preserve">ابن رجب </v>
      </c>
      <c r="D185" s="49">
        <v>21</v>
      </c>
      <c r="E185" s="50" t="str">
        <f>IFERROR(INDEX(الطلاب!$B$5:$B$44,MATCH($D185,الطلاب!$A$5:$A$44,0)),"")</f>
        <v xml:space="preserve">جواد الرفيعي </v>
      </c>
      <c r="F185" s="40"/>
      <c r="G185" s="40"/>
      <c r="H185" s="40"/>
      <c r="I185" s="40"/>
      <c r="J185" s="40"/>
      <c r="K185" s="36"/>
      <c r="L185" s="43">
        <f>IF(AND($A185='أفضل 5 طلاب'!$C$3,$B185=الإعدادات!$C$8,$N185=1,ISNUMBER($G185)),$G185*100000+N($H185)*100+N($I185)+(1000-ROW())/10000,0)</f>
        <v>0</v>
      </c>
      <c r="M185" s="43">
        <f>IF(AND($A185='أفضل 5 طلاب'!$C$3,$B185=الإعدادات!$C$9,$N185=1,ISNUMBER($G185)),$G185*100000+N($H185)*100+N($I185)+(1000-ROW())/10000,0)</f>
        <v>0</v>
      </c>
      <c r="N185" s="43">
        <f t="shared" si="6"/>
        <v>0</v>
      </c>
      <c r="O185" s="43" t="str">
        <f t="shared" si="8"/>
        <v/>
      </c>
      <c r="P185" s="43">
        <f t="shared" si="7"/>
        <v>0</v>
      </c>
    </row>
    <row r="186" spans="1:16">
      <c r="A186" s="48">
        <v>5</v>
      </c>
      <c r="B186" s="49" t="str">
        <f>IFERROR(INDEX(الطلاب!$C$5:$C$44,MATCH($D186,الطلاب!$A$5:$A$44,0)),"")</f>
        <v>المقرأة الثانية</v>
      </c>
      <c r="C186" s="49" t="str">
        <f>IFERROR(INDEX(الطلاب!$D$5:$D$44,MATCH($D186,الطلاب!$A$5:$A$44,0)),"")</f>
        <v xml:space="preserve">ابن رجب </v>
      </c>
      <c r="D186" s="49">
        <v>22</v>
      </c>
      <c r="E186" s="50" t="str">
        <f>IFERROR(INDEX(الطلاب!$B$5:$B$44,MATCH($D186,الطلاب!$A$5:$A$44,0)),"")</f>
        <v xml:space="preserve">سفيان السبيعي </v>
      </c>
      <c r="F186" s="40"/>
      <c r="G186" s="40"/>
      <c r="H186" s="40"/>
      <c r="I186" s="40"/>
      <c r="J186" s="40"/>
      <c r="K186" s="36"/>
      <c r="L186" s="43">
        <f>IF(AND($A186='أفضل 5 طلاب'!$C$3,$B186=الإعدادات!$C$8,$N186=1,ISNUMBER($G186)),$G186*100000+N($H186)*100+N($I186)+(1000-ROW())/10000,0)</f>
        <v>0</v>
      </c>
      <c r="M186" s="43">
        <f>IF(AND($A186='أفضل 5 طلاب'!$C$3,$B186=الإعدادات!$C$9,$N186=1,ISNUMBER($G186)),$G186*100000+N($H186)*100+N($I186)+(1000-ROW())/10000,0)</f>
        <v>0</v>
      </c>
      <c r="N186" s="43">
        <f t="shared" si="6"/>
        <v>0</v>
      </c>
      <c r="O186" s="43" t="str">
        <f t="shared" si="8"/>
        <v/>
      </c>
      <c r="P186" s="43">
        <f t="shared" si="7"/>
        <v>0</v>
      </c>
    </row>
    <row r="187" spans="1:16">
      <c r="A187" s="48">
        <v>5</v>
      </c>
      <c r="B187" s="49" t="str">
        <f>IFERROR(INDEX(الطلاب!$C$5:$C$44,MATCH($D187,الطلاب!$A$5:$A$44,0)),"")</f>
        <v>المقرأة الثانية</v>
      </c>
      <c r="C187" s="49" t="str">
        <f>IFERROR(INDEX(الطلاب!$D$5:$D$44,MATCH($D187,الطلاب!$A$5:$A$44,0)),"")</f>
        <v xml:space="preserve">ابن رجب </v>
      </c>
      <c r="D187" s="49">
        <v>23</v>
      </c>
      <c r="E187" s="50" t="str">
        <f>IFERROR(INDEX(الطلاب!$B$5:$B$44,MATCH($D187,الطلاب!$A$5:$A$44,0)),"")</f>
        <v xml:space="preserve">عمار الفضل </v>
      </c>
      <c r="F187" s="40"/>
      <c r="G187" s="40"/>
      <c r="H187" s="40"/>
      <c r="I187" s="40"/>
      <c r="J187" s="40"/>
      <c r="K187" s="36"/>
      <c r="L187" s="43">
        <f>IF(AND($A187='أفضل 5 طلاب'!$C$3,$B187=الإعدادات!$C$8,$N187=1,ISNUMBER($G187)),$G187*100000+N($H187)*100+N($I187)+(1000-ROW())/10000,0)</f>
        <v>0</v>
      </c>
      <c r="M187" s="43">
        <f>IF(AND($A187='أفضل 5 طلاب'!$C$3,$B187=الإعدادات!$C$9,$N187=1,ISNUMBER($G187)),$G187*100000+N($H187)*100+N($I187)+(1000-ROW())/10000,0)</f>
        <v>0</v>
      </c>
      <c r="N187" s="43">
        <f t="shared" si="6"/>
        <v>0</v>
      </c>
      <c r="O187" s="43" t="str">
        <f t="shared" si="8"/>
        <v/>
      </c>
      <c r="P187" s="43">
        <f t="shared" si="7"/>
        <v>0</v>
      </c>
    </row>
    <row r="188" spans="1:16">
      <c r="A188" s="48">
        <v>5</v>
      </c>
      <c r="B188" s="49" t="str">
        <f>IFERROR(INDEX(الطلاب!$C$5:$C$44,MATCH($D188,الطلاب!$A$5:$A$44,0)),"")</f>
        <v>المقرأة الثانية</v>
      </c>
      <c r="C188" s="49" t="str">
        <f>IFERROR(INDEX(الطلاب!$D$5:$D$44,MATCH($D188,الطلاب!$A$5:$A$44,0)),"")</f>
        <v xml:space="preserve">ابن رجب </v>
      </c>
      <c r="D188" s="49">
        <v>24</v>
      </c>
      <c r="E188" s="50" t="str">
        <f>IFERROR(INDEX(الطلاب!$B$5:$B$44,MATCH($D188,الطلاب!$A$5:$A$44,0)),"")</f>
        <v xml:space="preserve">مروان المهوس </v>
      </c>
      <c r="F188" s="40"/>
      <c r="G188" s="40"/>
      <c r="H188" s="40"/>
      <c r="I188" s="40"/>
      <c r="J188" s="40"/>
      <c r="K188" s="36"/>
      <c r="L188" s="43">
        <f>IF(AND($A188='أفضل 5 طلاب'!$C$3,$B188=الإعدادات!$C$8,$N188=1,ISNUMBER($G188)),$G188*100000+N($H188)*100+N($I188)+(1000-ROW())/10000,0)</f>
        <v>0</v>
      </c>
      <c r="M188" s="43">
        <f>IF(AND($A188='أفضل 5 طلاب'!$C$3,$B188=الإعدادات!$C$9,$N188=1,ISNUMBER($G188)),$G188*100000+N($H188)*100+N($I188)+(1000-ROW())/10000,0)</f>
        <v>0</v>
      </c>
      <c r="N188" s="43">
        <f t="shared" si="6"/>
        <v>0</v>
      </c>
      <c r="O188" s="43" t="str">
        <f t="shared" si="8"/>
        <v/>
      </c>
      <c r="P188" s="43">
        <f t="shared" si="7"/>
        <v>0</v>
      </c>
    </row>
    <row r="189" spans="1:16">
      <c r="A189" s="48">
        <v>5</v>
      </c>
      <c r="B189" s="49" t="str">
        <f>IFERROR(INDEX(الطلاب!$C$5:$C$44,MATCH($D189,الطلاب!$A$5:$A$44,0)),"")</f>
        <v>المقرأة الثانية</v>
      </c>
      <c r="C189" s="49" t="str">
        <f>IFERROR(INDEX(الطلاب!$D$5:$D$44,MATCH($D189,الطلاب!$A$5:$A$44,0)),"")</f>
        <v xml:space="preserve">ابن رجب </v>
      </c>
      <c r="D189" s="49">
        <v>25</v>
      </c>
      <c r="E189" s="50" t="str">
        <f>IFERROR(INDEX(الطلاب!$B$5:$B$44,MATCH($D189,الطلاب!$A$5:$A$44,0)),"")</f>
        <v>جهاد الجدعان</v>
      </c>
      <c r="F189" s="40"/>
      <c r="G189" s="40"/>
      <c r="H189" s="40"/>
      <c r="I189" s="40"/>
      <c r="J189" s="40"/>
      <c r="K189" s="36"/>
      <c r="L189" s="43">
        <f>IF(AND($A189='أفضل 5 طلاب'!$C$3,$B189=الإعدادات!$C$8,$N189=1,ISNUMBER($G189)),$G189*100000+N($H189)*100+N($I189)+(1000-ROW())/10000,0)</f>
        <v>0</v>
      </c>
      <c r="M189" s="43">
        <f>IF(AND($A189='أفضل 5 طلاب'!$C$3,$B189=الإعدادات!$C$9,$N189=1,ISNUMBER($G189)),$G189*100000+N($H189)*100+N($I189)+(1000-ROW())/10000,0)</f>
        <v>0</v>
      </c>
      <c r="N189" s="43">
        <f t="shared" si="6"/>
        <v>0</v>
      </c>
      <c r="O189" s="43" t="str">
        <f t="shared" si="8"/>
        <v/>
      </c>
      <c r="P189" s="43">
        <f t="shared" si="7"/>
        <v>0</v>
      </c>
    </row>
    <row r="190" spans="1:16">
      <c r="A190" s="48">
        <v>5</v>
      </c>
      <c r="B190" s="49" t="str">
        <f>IFERROR(INDEX(الطلاب!$C$5:$C$44,MATCH($D190,الطلاب!$A$5:$A$44,0)),"")</f>
        <v>المقرأة الثانية</v>
      </c>
      <c r="C190" s="49" t="str">
        <f>IFERROR(INDEX(الطلاب!$D$5:$D$44,MATCH($D190,الطلاب!$A$5:$A$44,0)),"")</f>
        <v xml:space="preserve">ابن رجب </v>
      </c>
      <c r="D190" s="49">
        <v>26</v>
      </c>
      <c r="E190" s="50" t="str">
        <f>IFERROR(INDEX(الطلاب!$B$5:$B$44,MATCH($D190,الطلاب!$A$5:$A$44,0)),"")</f>
        <v>صلاح مسعد</v>
      </c>
      <c r="F190" s="40"/>
      <c r="G190" s="40"/>
      <c r="H190" s="40"/>
      <c r="I190" s="40"/>
      <c r="J190" s="40"/>
      <c r="K190" s="36"/>
      <c r="L190" s="43">
        <f>IF(AND($A190='أفضل 5 طلاب'!$C$3,$B190=الإعدادات!$C$8,$N190=1,ISNUMBER($G190)),$G190*100000+N($H190)*100+N($I190)+(1000-ROW())/10000,0)</f>
        <v>0</v>
      </c>
      <c r="M190" s="43">
        <f>IF(AND($A190='أفضل 5 طلاب'!$C$3,$B190=الإعدادات!$C$9,$N190=1,ISNUMBER($G190)),$G190*100000+N($H190)*100+N($I190)+(1000-ROW())/10000,0)</f>
        <v>0</v>
      </c>
      <c r="N190" s="43">
        <f t="shared" si="6"/>
        <v>0</v>
      </c>
      <c r="O190" s="43" t="str">
        <f t="shared" si="8"/>
        <v/>
      </c>
      <c r="P190" s="43">
        <f t="shared" si="7"/>
        <v>0</v>
      </c>
    </row>
    <row r="191" spans="1:16">
      <c r="A191" s="48">
        <v>5</v>
      </c>
      <c r="B191" s="49" t="str">
        <f>IFERROR(INDEX(الطلاب!$C$5:$C$44,MATCH($D191,الطلاب!$A$5:$A$44,0)),"")</f>
        <v>المقرأة الثانية</v>
      </c>
      <c r="C191" s="49" t="str">
        <f>IFERROR(INDEX(الطلاب!$D$5:$D$44,MATCH($D191,الطلاب!$A$5:$A$44,0)),"")</f>
        <v xml:space="preserve">ابي بن مالك </v>
      </c>
      <c r="D191" s="49">
        <v>27</v>
      </c>
      <c r="E191" s="50" t="str">
        <f>IFERROR(INDEX(الطلاب!$B$5:$B$44,MATCH($D191,الطلاب!$A$5:$A$44,0)),"")</f>
        <v>سالم بانوير</v>
      </c>
      <c r="F191" s="40"/>
      <c r="G191" s="40"/>
      <c r="H191" s="40"/>
      <c r="I191" s="40"/>
      <c r="J191" s="40"/>
      <c r="K191" s="36"/>
      <c r="L191" s="43">
        <f>IF(AND($A191='أفضل 5 طلاب'!$C$3,$B191=الإعدادات!$C$8,$N191=1,ISNUMBER($G191)),$G191*100000+N($H191)*100+N($I191)+(1000-ROW())/10000,0)</f>
        <v>0</v>
      </c>
      <c r="M191" s="43">
        <f>IF(AND($A191='أفضل 5 طلاب'!$C$3,$B191=الإعدادات!$C$9,$N191=1,ISNUMBER($G191)),$G191*100000+N($H191)*100+N($I191)+(1000-ROW())/10000,0)</f>
        <v>0</v>
      </c>
      <c r="N191" s="43">
        <f t="shared" si="6"/>
        <v>0</v>
      </c>
      <c r="O191" s="43" t="str">
        <f t="shared" si="8"/>
        <v/>
      </c>
      <c r="P191" s="43">
        <f t="shared" si="7"/>
        <v>0</v>
      </c>
    </row>
    <row r="192" spans="1:16">
      <c r="A192" s="48">
        <v>5</v>
      </c>
      <c r="B192" s="49" t="str">
        <f>IFERROR(INDEX(الطلاب!$C$5:$C$44,MATCH($D192,الطلاب!$A$5:$A$44,0)),"")</f>
        <v>المقرأة الثانية</v>
      </c>
      <c r="C192" s="49" t="str">
        <f>IFERROR(INDEX(الطلاب!$D$5:$D$44,MATCH($D192,الطلاب!$A$5:$A$44,0)),"")</f>
        <v xml:space="preserve">ابي بن مالك </v>
      </c>
      <c r="D192" s="49">
        <v>28</v>
      </c>
      <c r="E192" s="50" t="str">
        <f>IFERROR(INDEX(الطلاب!$B$5:$B$44,MATCH($D192,الطلاب!$A$5:$A$44,0)),"")</f>
        <v xml:space="preserve">عبدالعزيز الصقعبي </v>
      </c>
      <c r="F192" s="40"/>
      <c r="G192" s="40"/>
      <c r="H192" s="40"/>
      <c r="I192" s="40"/>
      <c r="J192" s="40"/>
      <c r="K192" s="36"/>
      <c r="L192" s="43">
        <f>IF(AND($A192='أفضل 5 طلاب'!$C$3,$B192=الإعدادات!$C$8,$N192=1,ISNUMBER($G192)),$G192*100000+N($H192)*100+N($I192)+(1000-ROW())/10000,0)</f>
        <v>0</v>
      </c>
      <c r="M192" s="43">
        <f>IF(AND($A192='أفضل 5 طلاب'!$C$3,$B192=الإعدادات!$C$9,$N192=1,ISNUMBER($G192)),$G192*100000+N($H192)*100+N($I192)+(1000-ROW())/10000,0)</f>
        <v>0</v>
      </c>
      <c r="N192" s="43">
        <f t="shared" si="6"/>
        <v>0</v>
      </c>
      <c r="O192" s="43" t="str">
        <f t="shared" si="8"/>
        <v/>
      </c>
      <c r="P192" s="43">
        <f t="shared" si="7"/>
        <v>0</v>
      </c>
    </row>
    <row r="193" spans="1:16">
      <c r="A193" s="48">
        <v>5</v>
      </c>
      <c r="B193" s="49" t="str">
        <f>IFERROR(INDEX(الطلاب!$C$5:$C$44,MATCH($D193,الطلاب!$A$5:$A$44,0)),"")</f>
        <v>المقرأة الثانية</v>
      </c>
      <c r="C193" s="49" t="str">
        <f>IFERROR(INDEX(الطلاب!$D$5:$D$44,MATCH($D193,الطلاب!$A$5:$A$44,0)),"")</f>
        <v xml:space="preserve">ابي بن مالك </v>
      </c>
      <c r="D193" s="49">
        <v>29</v>
      </c>
      <c r="E193" s="50" t="str">
        <f>IFERROR(INDEX(الطلاب!$B$5:$B$44,MATCH($D193,الطلاب!$A$5:$A$44,0)),"")</f>
        <v xml:space="preserve">عبدالله المجيدل </v>
      </c>
      <c r="F193" s="40"/>
      <c r="G193" s="40"/>
      <c r="H193" s="40"/>
      <c r="I193" s="40"/>
      <c r="J193" s="40"/>
      <c r="K193" s="36"/>
      <c r="L193" s="43">
        <f>IF(AND($A193='أفضل 5 طلاب'!$C$3,$B193=الإعدادات!$C$8,$N193=1,ISNUMBER($G193)),$G193*100000+N($H193)*100+N($I193)+(1000-ROW())/10000,0)</f>
        <v>0</v>
      </c>
      <c r="M193" s="43">
        <f>IF(AND($A193='أفضل 5 طلاب'!$C$3,$B193=الإعدادات!$C$9,$N193=1,ISNUMBER($G193)),$G193*100000+N($H193)*100+N($I193)+(1000-ROW())/10000,0)</f>
        <v>0</v>
      </c>
      <c r="N193" s="43">
        <f t="shared" si="6"/>
        <v>0</v>
      </c>
      <c r="O193" s="43" t="str">
        <f t="shared" si="8"/>
        <v/>
      </c>
      <c r="P193" s="43">
        <f t="shared" si="7"/>
        <v>0</v>
      </c>
    </row>
    <row r="194" spans="1:16">
      <c r="A194" s="48">
        <v>5</v>
      </c>
      <c r="B194" s="49" t="str">
        <f>IFERROR(INDEX(الطلاب!$C$5:$C$44,MATCH($D194,الطلاب!$A$5:$A$44,0)),"")</f>
        <v>المقرأة الثانية</v>
      </c>
      <c r="C194" s="49" t="str">
        <f>IFERROR(INDEX(الطلاب!$D$5:$D$44,MATCH($D194,الطلاب!$A$5:$A$44,0)),"")</f>
        <v xml:space="preserve">ابي بن مالك </v>
      </c>
      <c r="D194" s="49">
        <v>30</v>
      </c>
      <c r="E194" s="50" t="str">
        <f>IFERROR(INDEX(الطلاب!$B$5:$B$44,MATCH($D194,الطلاب!$A$5:$A$44,0)),"")</f>
        <v>فواز الشدوخي</v>
      </c>
      <c r="F194" s="40"/>
      <c r="G194" s="40"/>
      <c r="H194" s="40"/>
      <c r="I194" s="40"/>
      <c r="J194" s="40"/>
      <c r="K194" s="36"/>
      <c r="L194" s="43">
        <f>IF(AND($A194='أفضل 5 طلاب'!$C$3,$B194=الإعدادات!$C$8,$N194=1,ISNUMBER($G194)),$G194*100000+N($H194)*100+N($I194)+(1000-ROW())/10000,0)</f>
        <v>0</v>
      </c>
      <c r="M194" s="43">
        <f>IF(AND($A194='أفضل 5 طلاب'!$C$3,$B194=الإعدادات!$C$9,$N194=1,ISNUMBER($G194)),$G194*100000+N($H194)*100+N($I194)+(1000-ROW())/10000,0)</f>
        <v>0</v>
      </c>
      <c r="N194" s="43">
        <f t="shared" si="6"/>
        <v>0</v>
      </c>
      <c r="O194" s="43" t="str">
        <f t="shared" si="8"/>
        <v/>
      </c>
      <c r="P194" s="43">
        <f t="shared" si="7"/>
        <v>0</v>
      </c>
    </row>
    <row r="195" spans="1:16">
      <c r="A195" s="48">
        <v>5</v>
      </c>
      <c r="B195" s="49" t="str">
        <f>IFERROR(INDEX(الطلاب!$C$5:$C$44,MATCH($D195,الطلاب!$A$5:$A$44,0)),"")</f>
        <v>المقرأة الثانية</v>
      </c>
      <c r="C195" s="49" t="str">
        <f>IFERROR(INDEX(الطلاب!$D$5:$D$44,MATCH($D195,الطلاب!$A$5:$A$44,0)),"")</f>
        <v xml:space="preserve">ابي بن مالك </v>
      </c>
      <c r="D195" s="49">
        <v>31</v>
      </c>
      <c r="E195" s="50" t="str">
        <f>IFERROR(INDEX(الطلاب!$B$5:$B$44,MATCH($D195,الطلاب!$A$5:$A$44,0)),"")</f>
        <v>محمد الطامي</v>
      </c>
      <c r="F195" s="40"/>
      <c r="G195" s="40"/>
      <c r="H195" s="40"/>
      <c r="I195" s="40"/>
      <c r="J195" s="40"/>
      <c r="K195" s="36"/>
      <c r="L195" s="43">
        <f>IF(AND($A195='أفضل 5 طلاب'!$C$3,$B195=الإعدادات!$C$8,$N195=1,ISNUMBER($G195)),$G195*100000+N($H195)*100+N($I195)+(1000-ROW())/10000,0)</f>
        <v>0</v>
      </c>
      <c r="M195" s="43">
        <f>IF(AND($A195='أفضل 5 طلاب'!$C$3,$B195=الإعدادات!$C$9,$N195=1,ISNUMBER($G195)),$G195*100000+N($H195)*100+N($I195)+(1000-ROW())/10000,0)</f>
        <v>0</v>
      </c>
      <c r="N195" s="43">
        <f t="shared" si="6"/>
        <v>0</v>
      </c>
      <c r="O195" s="43" t="str">
        <f t="shared" si="8"/>
        <v/>
      </c>
      <c r="P195" s="43">
        <f t="shared" si="7"/>
        <v>0</v>
      </c>
    </row>
    <row r="196" spans="1:16">
      <c r="A196" s="48">
        <v>5</v>
      </c>
      <c r="B196" s="49" t="str">
        <f>IFERROR(INDEX(الطلاب!$C$5:$C$44,MATCH($D196,الطلاب!$A$5:$A$44,0)),"")</f>
        <v>المقرأة الثانية</v>
      </c>
      <c r="C196" s="49" t="str">
        <f>IFERROR(INDEX(الطلاب!$D$5:$D$44,MATCH($D196,الطلاب!$A$5:$A$44,0)),"")</f>
        <v xml:space="preserve">ابي بن مالك </v>
      </c>
      <c r="D196" s="49">
        <v>32</v>
      </c>
      <c r="E196" s="50" t="str">
        <f>IFERROR(INDEX(الطلاب!$B$5:$B$44,MATCH($D196,الطلاب!$A$5:$A$44,0)),"")</f>
        <v xml:space="preserve">مهند الغماس </v>
      </c>
      <c r="F196" s="40"/>
      <c r="G196" s="40"/>
      <c r="H196" s="40"/>
      <c r="I196" s="40"/>
      <c r="J196" s="40"/>
      <c r="K196" s="36"/>
      <c r="L196" s="43">
        <f>IF(AND($A196='أفضل 5 طلاب'!$C$3,$B196=الإعدادات!$C$8,$N196=1,ISNUMBER($G196)),$G196*100000+N($H196)*100+N($I196)+(1000-ROW())/10000,0)</f>
        <v>0</v>
      </c>
      <c r="M196" s="43">
        <f>IF(AND($A196='أفضل 5 طلاب'!$C$3,$B196=الإعدادات!$C$9,$N196=1,ISNUMBER($G196)),$G196*100000+N($H196)*100+N($I196)+(1000-ROW())/10000,0)</f>
        <v>0</v>
      </c>
      <c r="N196" s="43">
        <f t="shared" si="6"/>
        <v>0</v>
      </c>
      <c r="O196" s="43" t="str">
        <f t="shared" si="8"/>
        <v/>
      </c>
      <c r="P196" s="43">
        <f t="shared" si="7"/>
        <v>0</v>
      </c>
    </row>
    <row r="197" spans="1:16">
      <c r="A197" s="48">
        <v>5</v>
      </c>
      <c r="B197" s="49" t="str">
        <f>IFERROR(INDEX(الطلاب!$C$5:$C$44,MATCH($D197,الطلاب!$A$5:$A$44,0)),"")</f>
        <v>المقرأة الثانية</v>
      </c>
      <c r="C197" s="49" t="str">
        <f>IFERROR(INDEX(الطلاب!$D$5:$D$44,MATCH($D197,الطلاب!$A$5:$A$44,0)),"")</f>
        <v xml:space="preserve">ابي بن مالك </v>
      </c>
      <c r="D197" s="49">
        <v>33</v>
      </c>
      <c r="E197" s="50" t="str">
        <f>IFERROR(INDEX(الطلاب!$B$5:$B$44,MATCH($D197,الطلاب!$A$5:$A$44,0)),"")</f>
        <v>يوسف الحربي</v>
      </c>
      <c r="F197" s="40"/>
      <c r="G197" s="40"/>
      <c r="H197" s="40"/>
      <c r="I197" s="40"/>
      <c r="J197" s="40"/>
      <c r="K197" s="36"/>
      <c r="L197" s="43">
        <f>IF(AND($A197='أفضل 5 طلاب'!$C$3,$B197=الإعدادات!$C$8,$N197=1,ISNUMBER($G197)),$G197*100000+N($H197)*100+N($I197)+(1000-ROW())/10000,0)</f>
        <v>0</v>
      </c>
      <c r="M197" s="43">
        <f>IF(AND($A197='أفضل 5 طلاب'!$C$3,$B197=الإعدادات!$C$9,$N197=1,ISNUMBER($G197)),$G197*100000+N($H197)*100+N($I197)+(1000-ROW())/10000,0)</f>
        <v>0</v>
      </c>
      <c r="N197" s="43">
        <f t="shared" ref="N197:N260" si="9">IF(OR($F197="حاضر",$F197="متأخر"),1,0)</f>
        <v>0</v>
      </c>
      <c r="O197" s="43" t="str">
        <f t="shared" si="8"/>
        <v/>
      </c>
      <c r="P197" s="43">
        <f t="shared" ref="P197:P260" si="10">IF(ISNUMBER($O197),1,0)</f>
        <v>0</v>
      </c>
    </row>
    <row r="198" spans="1:16">
      <c r="A198" s="48">
        <v>5</v>
      </c>
      <c r="B198" s="49" t="str">
        <f>IFERROR(INDEX(الطلاب!$C$5:$C$44,MATCH($D198,الطلاب!$A$5:$A$44,0)),"")</f>
        <v>المقرأة الثانية</v>
      </c>
      <c r="C198" s="49" t="str">
        <f>IFERROR(INDEX(الطلاب!$D$5:$D$44,MATCH($D198,الطلاب!$A$5:$A$44,0)),"")</f>
        <v xml:space="preserve">ابي بن مالك </v>
      </c>
      <c r="D198" s="49">
        <v>34</v>
      </c>
      <c r="E198" s="50" t="str">
        <f>IFERROR(INDEX(الطلاب!$B$5:$B$44,MATCH($D198,الطلاب!$A$5:$A$44,0)),"")</f>
        <v xml:space="preserve">عدي الفريح </v>
      </c>
      <c r="F198" s="40"/>
      <c r="G198" s="40"/>
      <c r="H198" s="40"/>
      <c r="I198" s="40"/>
      <c r="J198" s="40"/>
      <c r="K198" s="36"/>
      <c r="L198" s="43">
        <f>IF(AND($A198='أفضل 5 طلاب'!$C$3,$B198=الإعدادات!$C$8,$N198=1,ISNUMBER($G198)),$G198*100000+N($H198)*100+N($I198)+(1000-ROW())/10000,0)</f>
        <v>0</v>
      </c>
      <c r="M198" s="43">
        <f>IF(AND($A198='أفضل 5 طلاب'!$C$3,$B198=الإعدادات!$C$9,$N198=1,ISNUMBER($G198)),$G198*100000+N($H198)*100+N($I198)+(1000-ROW())/10000,0)</f>
        <v>0</v>
      </c>
      <c r="N198" s="43">
        <f t="shared" si="9"/>
        <v>0</v>
      </c>
      <c r="O198" s="43" t="str">
        <f t="shared" ref="O198:O261" si="11">IF(OR($N198=1,$F198="معتذر",$F198="غائب"),IF(ISNUMBER($G198),$G198,IF($N198=1,"",0)),"")</f>
        <v/>
      </c>
      <c r="P198" s="43">
        <f t="shared" si="10"/>
        <v>0</v>
      </c>
    </row>
    <row r="199" spans="1:16">
      <c r="A199" s="48">
        <v>5</v>
      </c>
      <c r="B199" s="49" t="str">
        <f>IFERROR(INDEX(الطلاب!$C$5:$C$44,MATCH($D199,الطلاب!$A$5:$A$44,0)),"")</f>
        <v>المقرأة الثانية</v>
      </c>
      <c r="C199" s="49" t="str">
        <f>IFERROR(INDEX(الطلاب!$D$5:$D$44,MATCH($D199,الطلاب!$A$5:$A$44,0)),"")</f>
        <v xml:space="preserve">ابي بن مالك </v>
      </c>
      <c r="D199" s="49">
        <v>35</v>
      </c>
      <c r="E199" s="50" t="str">
        <f>IFERROR(INDEX(الطلاب!$B$5:$B$44,MATCH($D199,الطلاب!$A$5:$A$44,0)),"")</f>
        <v xml:space="preserve">عبدالله الفايزي </v>
      </c>
      <c r="F199" s="40"/>
      <c r="G199" s="40"/>
      <c r="H199" s="40"/>
      <c r="I199" s="40"/>
      <c r="J199" s="40"/>
      <c r="K199" s="36"/>
      <c r="L199" s="43">
        <f>IF(AND($A199='أفضل 5 طلاب'!$C$3,$B199=الإعدادات!$C$8,$N199=1,ISNUMBER($G199)),$G199*100000+N($H199)*100+N($I199)+(1000-ROW())/10000,0)</f>
        <v>0</v>
      </c>
      <c r="M199" s="43">
        <f>IF(AND($A199='أفضل 5 طلاب'!$C$3,$B199=الإعدادات!$C$9,$N199=1,ISNUMBER($G199)),$G199*100000+N($H199)*100+N($I199)+(1000-ROW())/10000,0)</f>
        <v>0</v>
      </c>
      <c r="N199" s="43">
        <f t="shared" si="9"/>
        <v>0</v>
      </c>
      <c r="O199" s="43" t="str">
        <f t="shared" si="11"/>
        <v/>
      </c>
      <c r="P199" s="43">
        <f t="shared" si="10"/>
        <v>0</v>
      </c>
    </row>
    <row r="200" spans="1:16">
      <c r="A200" s="48">
        <v>5</v>
      </c>
      <c r="B200" s="49">
        <f>IFERROR(INDEX(الطلاب!$C$5:$C$44,MATCH($D200,الطلاب!$A$5:$A$44,0)),"")</f>
        <v>0</v>
      </c>
      <c r="C200" s="49">
        <f>IFERROR(INDEX(الطلاب!$D$5:$D$44,MATCH($D200,الطلاب!$A$5:$A$44,0)),"")</f>
        <v>0</v>
      </c>
      <c r="D200" s="49">
        <v>36</v>
      </c>
      <c r="E200" s="50" t="str">
        <f>IFERROR(INDEX(الطلاب!$B$5:$B$44,MATCH($D200,الطلاب!$A$5:$A$44,0)),"")</f>
        <v xml:space="preserve">عزام الحسن </v>
      </c>
      <c r="F200" s="40"/>
      <c r="G200" s="40"/>
      <c r="H200" s="40"/>
      <c r="I200" s="40"/>
      <c r="J200" s="40"/>
      <c r="K200" s="36"/>
      <c r="L200" s="43">
        <f>IF(AND($A200='أفضل 5 طلاب'!$C$3,$B200=الإعدادات!$C$8,$N200=1,ISNUMBER($G200)),$G200*100000+N($H200)*100+N($I200)+(1000-ROW())/10000,0)</f>
        <v>0</v>
      </c>
      <c r="M200" s="43">
        <f>IF(AND($A200='أفضل 5 طلاب'!$C$3,$B200=الإعدادات!$C$9,$N200=1,ISNUMBER($G200)),$G200*100000+N($H200)*100+N($I200)+(1000-ROW())/10000,0)</f>
        <v>0</v>
      </c>
      <c r="N200" s="43">
        <f t="shared" si="9"/>
        <v>0</v>
      </c>
      <c r="O200" s="43" t="str">
        <f t="shared" si="11"/>
        <v/>
      </c>
      <c r="P200" s="43">
        <f t="shared" si="10"/>
        <v>0</v>
      </c>
    </row>
    <row r="201" spans="1:16">
      <c r="A201" s="48">
        <v>5</v>
      </c>
      <c r="B201" s="49" t="str">
        <f>IFERROR(INDEX(الطلاب!$C$5:$C$44,MATCH($D201,الطلاب!$A$5:$A$44,0)),"")</f>
        <v>المقرأة الأولى</v>
      </c>
      <c r="C201" s="49" t="str">
        <f>IFERROR(INDEX(الطلاب!$D$5:$D$44,MATCH($D201,الطلاب!$A$5:$A$44,0)),"")</f>
        <v xml:space="preserve">عبدالرحمن بن النعمان </v>
      </c>
      <c r="D201" s="49">
        <v>37</v>
      </c>
      <c r="E201" s="50" t="str">
        <f>IFERROR(INDEX(الطلاب!$B$5:$B$44,MATCH($D201,الطلاب!$A$5:$A$44,0)),"")</f>
        <v xml:space="preserve">أسامة السعوي </v>
      </c>
      <c r="F201" s="40"/>
      <c r="G201" s="40"/>
      <c r="H201" s="40"/>
      <c r="I201" s="40"/>
      <c r="J201" s="40"/>
      <c r="K201" s="36"/>
      <c r="L201" s="43">
        <f>IF(AND($A201='أفضل 5 طلاب'!$C$3,$B201=الإعدادات!$C$8,$N201=1,ISNUMBER($G201)),$G201*100000+N($H201)*100+N($I201)+(1000-ROW())/10000,0)</f>
        <v>0</v>
      </c>
      <c r="M201" s="43">
        <f>IF(AND($A201='أفضل 5 طلاب'!$C$3,$B201=الإعدادات!$C$9,$N201=1,ISNUMBER($G201)),$G201*100000+N($H201)*100+N($I201)+(1000-ROW())/10000,0)</f>
        <v>0</v>
      </c>
      <c r="N201" s="43">
        <f t="shared" si="9"/>
        <v>0</v>
      </c>
      <c r="O201" s="43" t="str">
        <f t="shared" si="11"/>
        <v/>
      </c>
      <c r="P201" s="43">
        <f t="shared" si="10"/>
        <v>0</v>
      </c>
    </row>
    <row r="202" spans="1:16">
      <c r="A202" s="48">
        <v>5</v>
      </c>
      <c r="B202" s="49" t="str">
        <f>IFERROR(INDEX(الطلاب!$C$5:$C$44,MATCH($D202,الطلاب!$A$5:$A$44,0)),"")</f>
        <v>المقرأة الأولى</v>
      </c>
      <c r="C202" s="49" t="str">
        <f>IFERROR(INDEX(الطلاب!$D$5:$D$44,MATCH($D202,الطلاب!$A$5:$A$44,0)),"")</f>
        <v xml:space="preserve">حسان بن ثابت </v>
      </c>
      <c r="D202" s="49">
        <v>38</v>
      </c>
      <c r="E202" s="50" t="str">
        <f>IFERROR(INDEX(الطلاب!$B$5:$B$44,MATCH($D202,الطلاب!$A$5:$A$44,0)),"")</f>
        <v xml:space="preserve">عاصم الضالع </v>
      </c>
      <c r="F202" s="40"/>
      <c r="G202" s="40"/>
      <c r="H202" s="40"/>
      <c r="I202" s="40"/>
      <c r="J202" s="40"/>
      <c r="K202" s="36"/>
      <c r="L202" s="43">
        <f>IF(AND($A202='أفضل 5 طلاب'!$C$3,$B202=الإعدادات!$C$8,$N202=1,ISNUMBER($G202)),$G202*100000+N($H202)*100+N($I202)+(1000-ROW())/10000,0)</f>
        <v>0</v>
      </c>
      <c r="M202" s="43">
        <f>IF(AND($A202='أفضل 5 طلاب'!$C$3,$B202=الإعدادات!$C$9,$N202=1,ISNUMBER($G202)),$G202*100000+N($H202)*100+N($I202)+(1000-ROW())/10000,0)</f>
        <v>0</v>
      </c>
      <c r="N202" s="43">
        <f t="shared" si="9"/>
        <v>0</v>
      </c>
      <c r="O202" s="43" t="str">
        <f t="shared" si="11"/>
        <v/>
      </c>
      <c r="P202" s="43">
        <f t="shared" si="10"/>
        <v>0</v>
      </c>
    </row>
    <row r="203" spans="1:16">
      <c r="A203" s="48">
        <v>5</v>
      </c>
      <c r="B203" s="49">
        <f>IFERROR(INDEX(الطلاب!$C$5:$C$44,MATCH($D203,الطلاب!$A$5:$A$44,0)),"")</f>
        <v>0</v>
      </c>
      <c r="C203" s="49">
        <f>IFERROR(INDEX(الطلاب!$D$5:$D$44,MATCH($D203,الطلاب!$A$5:$A$44,0)),"")</f>
        <v>0</v>
      </c>
      <c r="D203" s="49">
        <v>39</v>
      </c>
      <c r="E203" s="50">
        <f>IFERROR(INDEX(الطلاب!$B$5:$B$44,MATCH($D203,الطلاب!$A$5:$A$44,0)),"")</f>
        <v>0</v>
      </c>
      <c r="F203" s="40"/>
      <c r="G203" s="40"/>
      <c r="H203" s="40"/>
      <c r="I203" s="40"/>
      <c r="J203" s="40"/>
      <c r="K203" s="36"/>
      <c r="L203" s="43">
        <f>IF(AND($A203='أفضل 5 طلاب'!$C$3,$B203=الإعدادات!$C$8,$N203=1,ISNUMBER($G203)),$G203*100000+N($H203)*100+N($I203)+(1000-ROW())/10000,0)</f>
        <v>0</v>
      </c>
      <c r="M203" s="43">
        <f>IF(AND($A203='أفضل 5 طلاب'!$C$3,$B203=الإعدادات!$C$9,$N203=1,ISNUMBER($G203)),$G203*100000+N($H203)*100+N($I203)+(1000-ROW())/10000,0)</f>
        <v>0</v>
      </c>
      <c r="N203" s="43">
        <f t="shared" si="9"/>
        <v>0</v>
      </c>
      <c r="O203" s="43" t="str">
        <f t="shared" si="11"/>
        <v/>
      </c>
      <c r="P203" s="43">
        <f t="shared" si="10"/>
        <v>0</v>
      </c>
    </row>
    <row r="204" spans="1:16" ht="15.95" thickBot="1">
      <c r="A204" s="48">
        <v>5</v>
      </c>
      <c r="B204" s="49">
        <f>IFERROR(INDEX(الطلاب!$C$5:$C$44,MATCH($D204,الطلاب!$A$5:$A$44,0)),"")</f>
        <v>0</v>
      </c>
      <c r="C204" s="49">
        <f>IFERROR(INDEX(الطلاب!$D$5:$D$44,MATCH($D204,الطلاب!$A$5:$A$44,0)),"")</f>
        <v>0</v>
      </c>
      <c r="D204" s="49">
        <v>40</v>
      </c>
      <c r="E204" s="50">
        <f>IFERROR(INDEX(الطلاب!$B$5:$B$44,MATCH($D204,الطلاب!$A$5:$A$44,0)),"")</f>
        <v>0</v>
      </c>
      <c r="F204" s="40"/>
      <c r="G204" s="40"/>
      <c r="H204" s="40"/>
      <c r="I204" s="40"/>
      <c r="J204" s="40"/>
      <c r="K204" s="36"/>
      <c r="L204" s="43">
        <f>IF(AND($A204='أفضل 5 طلاب'!$C$3,$B204=الإعدادات!$C$8,$N204=1,ISNUMBER($G204)),$G204*100000+N($H204)*100+N($I204)+(1000-ROW())/10000,0)</f>
        <v>0</v>
      </c>
      <c r="M204" s="43">
        <f>IF(AND($A204='أفضل 5 طلاب'!$C$3,$B204=الإعدادات!$C$9,$N204=1,ISNUMBER($G204)),$G204*100000+N($H204)*100+N($I204)+(1000-ROW())/10000,0)</f>
        <v>0</v>
      </c>
      <c r="N204" s="43">
        <f t="shared" si="9"/>
        <v>0</v>
      </c>
      <c r="O204" s="43" t="str">
        <f t="shared" si="11"/>
        <v/>
      </c>
      <c r="P204" s="43">
        <f t="shared" si="10"/>
        <v>0</v>
      </c>
    </row>
    <row r="205" spans="1:16">
      <c r="A205" s="52">
        <v>6</v>
      </c>
      <c r="B205" s="54" t="str">
        <f>IFERROR(INDEX(الطلاب!$C$5:$C$44,MATCH($D205,الطلاب!$A$5:$A$44,0)),"")</f>
        <v>المقرأة الأولى</v>
      </c>
      <c r="C205" s="54" t="str">
        <f>IFERROR(INDEX(الطلاب!$D$5:$D$44,MATCH($D205,الطلاب!$A$5:$A$44,0)),"")</f>
        <v xml:space="preserve">عبدالرحمن بن النعمان </v>
      </c>
      <c r="D205" s="54">
        <v>1</v>
      </c>
      <c r="E205" s="56" t="str">
        <f>IFERROR(INDEX(الطلاب!$B$5:$B$44,MATCH($D205,الطلاب!$A$5:$A$44,0)),"")</f>
        <v>غسان اليحيى</v>
      </c>
      <c r="F205" s="47"/>
      <c r="G205" s="47"/>
      <c r="H205" s="47"/>
      <c r="I205" s="47"/>
      <c r="J205" s="47"/>
      <c r="K205" s="36"/>
      <c r="L205" s="43">
        <f>IF(AND($A205='أفضل 5 طلاب'!$C$3,$B205=الإعدادات!$C$8,$N205=1,ISNUMBER($G205)),$G205*100000+N($H205)*100+N($I205)+(1000-ROW())/10000,0)</f>
        <v>0</v>
      </c>
      <c r="M205" s="43">
        <f>IF(AND($A205='أفضل 5 طلاب'!$C$3,$B205=الإعدادات!$C$9,$N205=1,ISNUMBER($G205)),$G205*100000+N($H205)*100+N($I205)+(1000-ROW())/10000,0)</f>
        <v>0</v>
      </c>
      <c r="N205" s="43">
        <f t="shared" si="9"/>
        <v>0</v>
      </c>
      <c r="O205" s="43" t="str">
        <f t="shared" si="11"/>
        <v/>
      </c>
      <c r="P205" s="43">
        <f t="shared" si="10"/>
        <v>0</v>
      </c>
    </row>
    <row r="206" spans="1:16">
      <c r="A206" s="58">
        <v>6</v>
      </c>
      <c r="B206" s="59" t="str">
        <f>IFERROR(INDEX(الطلاب!$C$5:$C$44,MATCH($D206,الطلاب!$A$5:$A$44,0)),"")</f>
        <v>المقرأة الأولى</v>
      </c>
      <c r="C206" s="59" t="str">
        <f>IFERROR(INDEX(الطلاب!$D$5:$D$44,MATCH($D206,الطلاب!$A$5:$A$44,0)),"")</f>
        <v xml:space="preserve">عبدالرحمن بن النعمان </v>
      </c>
      <c r="D206" s="59">
        <v>2</v>
      </c>
      <c r="E206" s="60" t="str">
        <f>IFERROR(INDEX(الطلاب!$B$5:$B$44,MATCH($D206,الطلاب!$A$5:$A$44,0)),"")</f>
        <v xml:space="preserve">صالح الشريف </v>
      </c>
      <c r="F206" s="40"/>
      <c r="G206" s="40"/>
      <c r="H206" s="40"/>
      <c r="I206" s="40"/>
      <c r="J206" s="40"/>
      <c r="K206" s="36"/>
      <c r="L206" s="43">
        <f>IF(AND($A206='أفضل 5 طلاب'!$C$3,$B206=الإعدادات!$C$8,$N206=1,ISNUMBER($G206)),$G206*100000+N($H206)*100+N($I206)+(1000-ROW())/10000,0)</f>
        <v>0</v>
      </c>
      <c r="M206" s="43">
        <f>IF(AND($A206='أفضل 5 طلاب'!$C$3,$B206=الإعدادات!$C$9,$N206=1,ISNUMBER($G206)),$G206*100000+N($H206)*100+N($I206)+(1000-ROW())/10000,0)</f>
        <v>0</v>
      </c>
      <c r="N206" s="43">
        <f t="shared" si="9"/>
        <v>0</v>
      </c>
      <c r="O206" s="43" t="str">
        <f t="shared" si="11"/>
        <v/>
      </c>
      <c r="P206" s="43">
        <f t="shared" si="10"/>
        <v>0</v>
      </c>
    </row>
    <row r="207" spans="1:16">
      <c r="A207" s="58">
        <v>6</v>
      </c>
      <c r="B207" s="59" t="str">
        <f>IFERROR(INDEX(الطلاب!$C$5:$C$44,MATCH($D207,الطلاب!$A$5:$A$44,0)),"")</f>
        <v>المقرأة الأولى</v>
      </c>
      <c r="C207" s="59" t="str">
        <f>IFERROR(INDEX(الطلاب!$D$5:$D$44,MATCH($D207,الطلاب!$A$5:$A$44,0)),"")</f>
        <v xml:space="preserve">عبدالرحمن بن النعمان </v>
      </c>
      <c r="D207" s="59">
        <v>3</v>
      </c>
      <c r="E207" s="60" t="str">
        <f>IFERROR(INDEX(الطلاب!$B$5:$B$44,MATCH($D207,الطلاب!$A$5:$A$44,0)),"")</f>
        <v xml:space="preserve">فهد المشيقح </v>
      </c>
      <c r="F207" s="40"/>
      <c r="G207" s="40"/>
      <c r="H207" s="40"/>
      <c r="I207" s="40"/>
      <c r="J207" s="40"/>
      <c r="K207" s="36"/>
      <c r="L207" s="43">
        <f>IF(AND($A207='أفضل 5 طلاب'!$C$3,$B207=الإعدادات!$C$8,$N207=1,ISNUMBER($G207)),$G207*100000+N($H207)*100+N($I207)+(1000-ROW())/10000,0)</f>
        <v>0</v>
      </c>
      <c r="M207" s="43">
        <f>IF(AND($A207='أفضل 5 طلاب'!$C$3,$B207=الإعدادات!$C$9,$N207=1,ISNUMBER($G207)),$G207*100000+N($H207)*100+N($I207)+(1000-ROW())/10000,0)</f>
        <v>0</v>
      </c>
      <c r="N207" s="43">
        <f t="shared" si="9"/>
        <v>0</v>
      </c>
      <c r="O207" s="43" t="str">
        <f t="shared" si="11"/>
        <v/>
      </c>
      <c r="P207" s="43">
        <f t="shared" si="10"/>
        <v>0</v>
      </c>
    </row>
    <row r="208" spans="1:16">
      <c r="A208" s="58">
        <v>6</v>
      </c>
      <c r="B208" s="59" t="str">
        <f>IFERROR(INDEX(الطلاب!$C$5:$C$44,MATCH($D208,الطلاب!$A$5:$A$44,0)),"")</f>
        <v>المقرأة الأولى</v>
      </c>
      <c r="C208" s="59" t="str">
        <f>IFERROR(INDEX(الطلاب!$D$5:$D$44,MATCH($D208,الطلاب!$A$5:$A$44,0)),"")</f>
        <v xml:space="preserve">عبدالرحمن بن النعمان </v>
      </c>
      <c r="D208" s="59">
        <v>4</v>
      </c>
      <c r="E208" s="60" t="str">
        <f>IFERROR(INDEX(الطلاب!$B$5:$B$44,MATCH($D208,الطلاب!$A$5:$A$44,0)),"")</f>
        <v>عبدالله الحفير</v>
      </c>
      <c r="F208" s="40"/>
      <c r="G208" s="40"/>
      <c r="H208" s="40"/>
      <c r="I208" s="40"/>
      <c r="J208" s="40"/>
      <c r="K208" s="36"/>
      <c r="L208" s="43">
        <f>IF(AND($A208='أفضل 5 طلاب'!$C$3,$B208=الإعدادات!$C$8,$N208=1,ISNUMBER($G208)),$G208*100000+N($H208)*100+N($I208)+(1000-ROW())/10000,0)</f>
        <v>0</v>
      </c>
      <c r="M208" s="43">
        <f>IF(AND($A208='أفضل 5 طلاب'!$C$3,$B208=الإعدادات!$C$9,$N208=1,ISNUMBER($G208)),$G208*100000+N($H208)*100+N($I208)+(1000-ROW())/10000,0)</f>
        <v>0</v>
      </c>
      <c r="N208" s="43">
        <f t="shared" si="9"/>
        <v>0</v>
      </c>
      <c r="O208" s="43" t="str">
        <f t="shared" si="11"/>
        <v/>
      </c>
      <c r="P208" s="43">
        <f t="shared" si="10"/>
        <v>0</v>
      </c>
    </row>
    <row r="209" spans="1:16">
      <c r="A209" s="58">
        <v>6</v>
      </c>
      <c r="B209" s="59" t="str">
        <f>IFERROR(INDEX(الطلاب!$C$5:$C$44,MATCH($D209,الطلاب!$A$5:$A$44,0)),"")</f>
        <v>المقرأة الأولى</v>
      </c>
      <c r="C209" s="59" t="str">
        <f>IFERROR(INDEX(الطلاب!$D$5:$D$44,MATCH($D209,الطلاب!$A$5:$A$44,0)),"")</f>
        <v xml:space="preserve">عبدالرحمن بن النعمان </v>
      </c>
      <c r="D209" s="59">
        <v>5</v>
      </c>
      <c r="E209" s="60" t="str">
        <f>IFERROR(INDEX(الطلاب!$B$5:$B$44,MATCH($D209,الطلاب!$A$5:$A$44,0)),"")</f>
        <v>زياد الدخيل الله</v>
      </c>
      <c r="F209" s="40"/>
      <c r="G209" s="40"/>
      <c r="H209" s="40"/>
      <c r="I209" s="40"/>
      <c r="J209" s="40"/>
      <c r="K209" s="36"/>
      <c r="L209" s="43">
        <f>IF(AND($A209='أفضل 5 طلاب'!$C$3,$B209=الإعدادات!$C$8,$N209=1,ISNUMBER($G209)),$G209*100000+N($H209)*100+N($I209)+(1000-ROW())/10000,0)</f>
        <v>0</v>
      </c>
      <c r="M209" s="43">
        <f>IF(AND($A209='أفضل 5 طلاب'!$C$3,$B209=الإعدادات!$C$9,$N209=1,ISNUMBER($G209)),$G209*100000+N($H209)*100+N($I209)+(1000-ROW())/10000,0)</f>
        <v>0</v>
      </c>
      <c r="N209" s="43">
        <f t="shared" si="9"/>
        <v>0</v>
      </c>
      <c r="O209" s="43" t="str">
        <f t="shared" si="11"/>
        <v/>
      </c>
      <c r="P209" s="43">
        <f t="shared" si="10"/>
        <v>0</v>
      </c>
    </row>
    <row r="210" spans="1:16">
      <c r="A210" s="58">
        <v>6</v>
      </c>
      <c r="B210" s="59" t="str">
        <f>IFERROR(INDEX(الطلاب!$C$5:$C$44,MATCH($D210,الطلاب!$A$5:$A$44,0)),"")</f>
        <v>المقرأة الأولى</v>
      </c>
      <c r="C210" s="59" t="str">
        <f>IFERROR(INDEX(الطلاب!$D$5:$D$44,MATCH($D210,الطلاب!$A$5:$A$44,0)),"")</f>
        <v xml:space="preserve">ابن رجب </v>
      </c>
      <c r="D210" s="59">
        <v>6</v>
      </c>
      <c r="E210" s="60" t="str">
        <f>IFERROR(INDEX(الطلاب!$B$5:$B$44,MATCH($D210,الطلاب!$A$5:$A$44,0)),"")</f>
        <v xml:space="preserve">عاصم الضبيعي </v>
      </c>
      <c r="F210" s="40"/>
      <c r="G210" s="40"/>
      <c r="H210" s="40"/>
      <c r="I210" s="40"/>
      <c r="J210" s="40"/>
      <c r="K210" s="36"/>
      <c r="L210" s="43">
        <f>IF(AND($A210='أفضل 5 طلاب'!$C$3,$B210=الإعدادات!$C$8,$N210=1,ISNUMBER($G210)),$G210*100000+N($H210)*100+N($I210)+(1000-ROW())/10000,0)</f>
        <v>0</v>
      </c>
      <c r="M210" s="43">
        <f>IF(AND($A210='أفضل 5 طلاب'!$C$3,$B210=الإعدادات!$C$9,$N210=1,ISNUMBER($G210)),$G210*100000+N($H210)*100+N($I210)+(1000-ROW())/10000,0)</f>
        <v>0</v>
      </c>
      <c r="N210" s="43">
        <f t="shared" si="9"/>
        <v>0</v>
      </c>
      <c r="O210" s="43" t="str">
        <f t="shared" si="11"/>
        <v/>
      </c>
      <c r="P210" s="43">
        <f t="shared" si="10"/>
        <v>0</v>
      </c>
    </row>
    <row r="211" spans="1:16">
      <c r="A211" s="58">
        <v>6</v>
      </c>
      <c r="B211" s="59" t="str">
        <f>IFERROR(INDEX(الطلاب!$C$5:$C$44,MATCH($D211,الطلاب!$A$5:$A$44,0)),"")</f>
        <v>المقرأة الأولى</v>
      </c>
      <c r="C211" s="59" t="str">
        <f>IFERROR(INDEX(الطلاب!$D$5:$D$44,MATCH($D211,الطلاب!$A$5:$A$44,0)),"")</f>
        <v xml:space="preserve">ابن رجب </v>
      </c>
      <c r="D211" s="59">
        <v>7</v>
      </c>
      <c r="E211" s="60" t="str">
        <f>IFERROR(INDEX(الطلاب!$B$5:$B$44,MATCH($D211,الطلاب!$A$5:$A$44,0)),"")</f>
        <v>محمد السعوي</v>
      </c>
      <c r="F211" s="40"/>
      <c r="G211" s="40"/>
      <c r="H211" s="40"/>
      <c r="I211" s="40"/>
      <c r="J211" s="40"/>
      <c r="K211" s="36"/>
      <c r="L211" s="43">
        <f>IF(AND($A211='أفضل 5 طلاب'!$C$3,$B211=الإعدادات!$C$8,$N211=1,ISNUMBER($G211)),$G211*100000+N($H211)*100+N($I211)+(1000-ROW())/10000,0)</f>
        <v>0</v>
      </c>
      <c r="M211" s="43">
        <f>IF(AND($A211='أفضل 5 طلاب'!$C$3,$B211=الإعدادات!$C$9,$N211=1,ISNUMBER($G211)),$G211*100000+N($H211)*100+N($I211)+(1000-ROW())/10000,0)</f>
        <v>0</v>
      </c>
      <c r="N211" s="43">
        <f t="shared" si="9"/>
        <v>0</v>
      </c>
      <c r="O211" s="43" t="str">
        <f t="shared" si="11"/>
        <v/>
      </c>
      <c r="P211" s="43">
        <f t="shared" si="10"/>
        <v>0</v>
      </c>
    </row>
    <row r="212" spans="1:16">
      <c r="A212" s="58">
        <v>6</v>
      </c>
      <c r="B212" s="59" t="str">
        <f>IFERROR(INDEX(الطلاب!$C$5:$C$44,MATCH($D212,الطلاب!$A$5:$A$44,0)),"")</f>
        <v>المقرأة الأولى</v>
      </c>
      <c r="C212" s="59" t="str">
        <f>IFERROR(INDEX(الطلاب!$D$5:$D$44,MATCH($D212,الطلاب!$A$5:$A$44,0)),"")</f>
        <v xml:space="preserve">ابن رجب </v>
      </c>
      <c r="D212" s="59">
        <v>8</v>
      </c>
      <c r="E212" s="60" t="str">
        <f>IFERROR(INDEX(الطلاب!$B$5:$B$44,MATCH($D212,الطلاب!$A$5:$A$44,0)),"")</f>
        <v>هشام المخلف</v>
      </c>
      <c r="F212" s="40"/>
      <c r="G212" s="40"/>
      <c r="H212" s="40"/>
      <c r="I212" s="40"/>
      <c r="J212" s="40"/>
      <c r="K212" s="36"/>
      <c r="L212" s="43">
        <f>IF(AND($A212='أفضل 5 طلاب'!$C$3,$B212=الإعدادات!$C$8,$N212=1,ISNUMBER($G212)),$G212*100000+N($H212)*100+N($I212)+(1000-ROW())/10000,0)</f>
        <v>0</v>
      </c>
      <c r="M212" s="43">
        <f>IF(AND($A212='أفضل 5 طلاب'!$C$3,$B212=الإعدادات!$C$9,$N212=1,ISNUMBER($G212)),$G212*100000+N($H212)*100+N($I212)+(1000-ROW())/10000,0)</f>
        <v>0</v>
      </c>
      <c r="N212" s="43">
        <f t="shared" si="9"/>
        <v>0</v>
      </c>
      <c r="O212" s="43" t="str">
        <f t="shared" si="11"/>
        <v/>
      </c>
      <c r="P212" s="43">
        <f t="shared" si="10"/>
        <v>0</v>
      </c>
    </row>
    <row r="213" spans="1:16">
      <c r="A213" s="58">
        <v>6</v>
      </c>
      <c r="B213" s="59" t="str">
        <f>IFERROR(INDEX(الطلاب!$C$5:$C$44,MATCH($D213,الطلاب!$A$5:$A$44,0)),"")</f>
        <v>المقرأة الأولى</v>
      </c>
      <c r="C213" s="59" t="str">
        <f>IFERROR(INDEX(الطلاب!$D$5:$D$44,MATCH($D213,الطلاب!$A$5:$A$44,0)),"")</f>
        <v xml:space="preserve">ابن رجب </v>
      </c>
      <c r="D213" s="59">
        <v>9</v>
      </c>
      <c r="E213" s="60" t="str">
        <f>IFERROR(INDEX(الطلاب!$B$5:$B$44,MATCH($D213,الطلاب!$A$5:$A$44,0)),"")</f>
        <v xml:space="preserve">اسامة السعدون </v>
      </c>
      <c r="F213" s="40"/>
      <c r="G213" s="40"/>
      <c r="H213" s="40"/>
      <c r="I213" s="40"/>
      <c r="J213" s="40"/>
      <c r="K213" s="36"/>
      <c r="L213" s="43">
        <f>IF(AND($A213='أفضل 5 طلاب'!$C$3,$B213=الإعدادات!$C$8,$N213=1,ISNUMBER($G213)),$G213*100000+N($H213)*100+N($I213)+(1000-ROW())/10000,0)</f>
        <v>0</v>
      </c>
      <c r="M213" s="43">
        <f>IF(AND($A213='أفضل 5 طلاب'!$C$3,$B213=الإعدادات!$C$9,$N213=1,ISNUMBER($G213)),$G213*100000+N($H213)*100+N($I213)+(1000-ROW())/10000,0)</f>
        <v>0</v>
      </c>
      <c r="N213" s="43">
        <f t="shared" si="9"/>
        <v>0</v>
      </c>
      <c r="O213" s="43" t="str">
        <f t="shared" si="11"/>
        <v/>
      </c>
      <c r="P213" s="43">
        <f t="shared" si="10"/>
        <v>0</v>
      </c>
    </row>
    <row r="214" spans="1:16">
      <c r="A214" s="58">
        <v>6</v>
      </c>
      <c r="B214" s="59" t="str">
        <f>IFERROR(INDEX(الطلاب!$C$5:$C$44,MATCH($D214,الطلاب!$A$5:$A$44,0)),"")</f>
        <v>المقرأة الأولى</v>
      </c>
      <c r="C214" s="59" t="str">
        <f>IFERROR(INDEX(الطلاب!$D$5:$D$44,MATCH($D214,الطلاب!$A$5:$A$44,0)),"")</f>
        <v xml:space="preserve">حسان بن ثابت </v>
      </c>
      <c r="D214" s="59">
        <v>10</v>
      </c>
      <c r="E214" s="60" t="str">
        <f>IFERROR(INDEX(الطلاب!$B$5:$B$44,MATCH($D214,الطلاب!$A$5:$A$44,0)),"")</f>
        <v xml:space="preserve">محمد الثنيان </v>
      </c>
      <c r="F214" s="40"/>
      <c r="G214" s="40"/>
      <c r="H214" s="40"/>
      <c r="I214" s="40"/>
      <c r="J214" s="40"/>
      <c r="K214" s="36"/>
      <c r="L214" s="43">
        <f>IF(AND($A214='أفضل 5 طلاب'!$C$3,$B214=الإعدادات!$C$8,$N214=1,ISNUMBER($G214)),$G214*100000+N($H214)*100+N($I214)+(1000-ROW())/10000,0)</f>
        <v>0</v>
      </c>
      <c r="M214" s="43">
        <f>IF(AND($A214='أفضل 5 طلاب'!$C$3,$B214=الإعدادات!$C$9,$N214=1,ISNUMBER($G214)),$G214*100000+N($H214)*100+N($I214)+(1000-ROW())/10000,0)</f>
        <v>0</v>
      </c>
      <c r="N214" s="43">
        <f t="shared" si="9"/>
        <v>0</v>
      </c>
      <c r="O214" s="43" t="str">
        <f t="shared" si="11"/>
        <v/>
      </c>
      <c r="P214" s="43">
        <f t="shared" si="10"/>
        <v>0</v>
      </c>
    </row>
    <row r="215" spans="1:16">
      <c r="A215" s="58">
        <v>6</v>
      </c>
      <c r="B215" s="59" t="str">
        <f>IFERROR(INDEX(الطلاب!$C$5:$C$44,MATCH($D215,الطلاب!$A$5:$A$44,0)),"")</f>
        <v>المقرأة الأولى</v>
      </c>
      <c r="C215" s="59" t="str">
        <f>IFERROR(INDEX(الطلاب!$D$5:$D$44,MATCH($D215,الطلاب!$A$5:$A$44,0)),"")</f>
        <v xml:space="preserve">حسان بن ثابت </v>
      </c>
      <c r="D215" s="59">
        <v>11</v>
      </c>
      <c r="E215" s="60" t="str">
        <f>IFERROR(INDEX(الطلاب!$B$5:$B$44,MATCH($D215,الطلاب!$A$5:$A$44,0)),"")</f>
        <v xml:space="preserve">كنان الجريفاني </v>
      </c>
      <c r="F215" s="40"/>
      <c r="G215" s="40"/>
      <c r="H215" s="40"/>
      <c r="I215" s="40"/>
      <c r="J215" s="40"/>
      <c r="K215" s="36"/>
      <c r="L215" s="43">
        <f>IF(AND($A215='أفضل 5 طلاب'!$C$3,$B215=الإعدادات!$C$8,$N215=1,ISNUMBER($G215)),$G215*100000+N($H215)*100+N($I215)+(1000-ROW())/10000,0)</f>
        <v>0</v>
      </c>
      <c r="M215" s="43">
        <f>IF(AND($A215='أفضل 5 طلاب'!$C$3,$B215=الإعدادات!$C$9,$N215=1,ISNUMBER($G215)),$G215*100000+N($H215)*100+N($I215)+(1000-ROW())/10000,0)</f>
        <v>0</v>
      </c>
      <c r="N215" s="43">
        <f t="shared" si="9"/>
        <v>0</v>
      </c>
      <c r="O215" s="43" t="str">
        <f t="shared" si="11"/>
        <v/>
      </c>
      <c r="P215" s="43">
        <f t="shared" si="10"/>
        <v>0</v>
      </c>
    </row>
    <row r="216" spans="1:16">
      <c r="A216" s="58">
        <v>6</v>
      </c>
      <c r="B216" s="59" t="str">
        <f>IFERROR(INDEX(الطلاب!$C$5:$C$44,MATCH($D216,الطلاب!$A$5:$A$44,0)),"")</f>
        <v>المقرأة الأولى</v>
      </c>
      <c r="C216" s="59" t="str">
        <f>IFERROR(INDEX(الطلاب!$D$5:$D$44,MATCH($D216,الطلاب!$A$5:$A$44,0)),"")</f>
        <v xml:space="preserve">حسان بن ثابت </v>
      </c>
      <c r="D216" s="59">
        <v>12</v>
      </c>
      <c r="E216" s="60" t="str">
        <f>IFERROR(INDEX(الطلاب!$B$5:$B$44,MATCH($D216,الطلاب!$A$5:$A$44,0)),"")</f>
        <v xml:space="preserve">عبدالمجيد الربعي </v>
      </c>
      <c r="F216" s="40"/>
      <c r="G216" s="40"/>
      <c r="H216" s="40"/>
      <c r="I216" s="40"/>
      <c r="J216" s="40"/>
      <c r="K216" s="36"/>
      <c r="L216" s="43">
        <f>IF(AND($A216='أفضل 5 طلاب'!$C$3,$B216=الإعدادات!$C$8,$N216=1,ISNUMBER($G216)),$G216*100000+N($H216)*100+N($I216)+(1000-ROW())/10000,0)</f>
        <v>0</v>
      </c>
      <c r="M216" s="43">
        <f>IF(AND($A216='أفضل 5 طلاب'!$C$3,$B216=الإعدادات!$C$9,$N216=1,ISNUMBER($G216)),$G216*100000+N($H216)*100+N($I216)+(1000-ROW())/10000,0)</f>
        <v>0</v>
      </c>
      <c r="N216" s="43">
        <f t="shared" si="9"/>
        <v>0</v>
      </c>
      <c r="O216" s="43" t="str">
        <f t="shared" si="11"/>
        <v/>
      </c>
      <c r="P216" s="43">
        <f t="shared" si="10"/>
        <v>0</v>
      </c>
    </row>
    <row r="217" spans="1:16">
      <c r="A217" s="58">
        <v>6</v>
      </c>
      <c r="B217" s="59" t="str">
        <f>IFERROR(INDEX(الطلاب!$C$5:$C$44,MATCH($D217,الطلاب!$A$5:$A$44,0)),"")</f>
        <v>المقرأة الأولى</v>
      </c>
      <c r="C217" s="59" t="str">
        <f>IFERROR(INDEX(الطلاب!$D$5:$D$44,MATCH($D217,الطلاب!$A$5:$A$44,0)),"")</f>
        <v xml:space="preserve">حسان بن ثابت </v>
      </c>
      <c r="D217" s="59">
        <v>13</v>
      </c>
      <c r="E217" s="60" t="str">
        <f>IFERROR(INDEX(الطلاب!$B$5:$B$44,MATCH($D217,الطلاب!$A$5:$A$44,0)),"")</f>
        <v xml:space="preserve">عبدالله التويجري </v>
      </c>
      <c r="F217" s="40"/>
      <c r="G217" s="40"/>
      <c r="H217" s="40"/>
      <c r="I217" s="40"/>
      <c r="J217" s="40"/>
      <c r="K217" s="36"/>
      <c r="L217" s="43">
        <f>IF(AND($A217='أفضل 5 طلاب'!$C$3,$B217=الإعدادات!$C$8,$N217=1,ISNUMBER($G217)),$G217*100000+N($H217)*100+N($I217)+(1000-ROW())/10000,0)</f>
        <v>0</v>
      </c>
      <c r="M217" s="43">
        <f>IF(AND($A217='أفضل 5 طلاب'!$C$3,$B217=الإعدادات!$C$9,$N217=1,ISNUMBER($G217)),$G217*100000+N($H217)*100+N($I217)+(1000-ROW())/10000,0)</f>
        <v>0</v>
      </c>
      <c r="N217" s="43">
        <f t="shared" si="9"/>
        <v>0</v>
      </c>
      <c r="O217" s="43" t="str">
        <f t="shared" si="11"/>
        <v/>
      </c>
      <c r="P217" s="43">
        <f t="shared" si="10"/>
        <v>0</v>
      </c>
    </row>
    <row r="218" spans="1:16">
      <c r="A218" s="58">
        <v>6</v>
      </c>
      <c r="B218" s="59" t="str">
        <f>IFERROR(INDEX(الطلاب!$C$5:$C$44,MATCH($D218,الطلاب!$A$5:$A$44,0)),"")</f>
        <v>المقرأة الأولى</v>
      </c>
      <c r="C218" s="59" t="str">
        <f>IFERROR(INDEX(الطلاب!$D$5:$D$44,MATCH($D218,الطلاب!$A$5:$A$44,0)),"")</f>
        <v xml:space="preserve">حسان بن ثابت </v>
      </c>
      <c r="D218" s="59">
        <v>14</v>
      </c>
      <c r="E218" s="60" t="str">
        <f>IFERROR(INDEX(الطلاب!$B$5:$B$44,MATCH($D218,الطلاب!$A$5:$A$44,0)),"")</f>
        <v xml:space="preserve">حسام التويجري </v>
      </c>
      <c r="F218" s="40"/>
      <c r="G218" s="40"/>
      <c r="H218" s="40"/>
      <c r="I218" s="40"/>
      <c r="J218" s="40"/>
      <c r="K218" s="36"/>
      <c r="L218" s="43">
        <f>IF(AND($A218='أفضل 5 طلاب'!$C$3,$B218=الإعدادات!$C$8,$N218=1,ISNUMBER($G218)),$G218*100000+N($H218)*100+N($I218)+(1000-ROW())/10000,0)</f>
        <v>0</v>
      </c>
      <c r="M218" s="43">
        <f>IF(AND($A218='أفضل 5 طلاب'!$C$3,$B218=الإعدادات!$C$9,$N218=1,ISNUMBER($G218)),$G218*100000+N($H218)*100+N($I218)+(1000-ROW())/10000,0)</f>
        <v>0</v>
      </c>
      <c r="N218" s="43">
        <f t="shared" si="9"/>
        <v>0</v>
      </c>
      <c r="O218" s="43" t="str">
        <f t="shared" si="11"/>
        <v/>
      </c>
      <c r="P218" s="43">
        <f t="shared" si="10"/>
        <v>0</v>
      </c>
    </row>
    <row r="219" spans="1:16">
      <c r="A219" s="58">
        <v>6</v>
      </c>
      <c r="B219" s="59" t="str">
        <f>IFERROR(INDEX(الطلاب!$C$5:$C$44,MATCH($D219,الطلاب!$A$5:$A$44,0)),"")</f>
        <v>المقرأة الأولى</v>
      </c>
      <c r="C219" s="59" t="str">
        <f>IFERROR(INDEX(الطلاب!$D$5:$D$44,MATCH($D219,الطلاب!$A$5:$A$44,0)),"")</f>
        <v xml:space="preserve">حسان بن ثابت </v>
      </c>
      <c r="D219" s="59">
        <v>15</v>
      </c>
      <c r="E219" s="60" t="str">
        <f>IFERROR(INDEX(الطلاب!$B$5:$B$44,MATCH($D219,الطلاب!$A$5:$A$44,0)),"")</f>
        <v xml:space="preserve">عبدالرحمن البريدي </v>
      </c>
      <c r="F219" s="40"/>
      <c r="G219" s="40"/>
      <c r="H219" s="40"/>
      <c r="I219" s="40"/>
      <c r="J219" s="40"/>
      <c r="K219" s="36"/>
      <c r="L219" s="43">
        <f>IF(AND($A219='أفضل 5 طلاب'!$C$3,$B219=الإعدادات!$C$8,$N219=1,ISNUMBER($G219)),$G219*100000+N($H219)*100+N($I219)+(1000-ROW())/10000,0)</f>
        <v>0</v>
      </c>
      <c r="M219" s="43">
        <f>IF(AND($A219='أفضل 5 طلاب'!$C$3,$B219=الإعدادات!$C$9,$N219=1,ISNUMBER($G219)),$G219*100000+N($H219)*100+N($I219)+(1000-ROW())/10000,0)</f>
        <v>0</v>
      </c>
      <c r="N219" s="43">
        <f t="shared" si="9"/>
        <v>0</v>
      </c>
      <c r="O219" s="43" t="str">
        <f t="shared" si="11"/>
        <v/>
      </c>
      <c r="P219" s="43">
        <f t="shared" si="10"/>
        <v>0</v>
      </c>
    </row>
    <row r="220" spans="1:16">
      <c r="A220" s="58">
        <v>6</v>
      </c>
      <c r="B220" s="59" t="str">
        <f>IFERROR(INDEX(الطلاب!$C$5:$C$44,MATCH($D220,الطلاب!$A$5:$A$44,0)),"")</f>
        <v>المقرأة الأولى</v>
      </c>
      <c r="C220" s="59" t="str">
        <f>IFERROR(INDEX(الطلاب!$D$5:$D$44,MATCH($D220,الطلاب!$A$5:$A$44,0)),"")</f>
        <v xml:space="preserve">حسان بن ثابت </v>
      </c>
      <c r="D220" s="59">
        <v>16</v>
      </c>
      <c r="E220" s="60" t="str">
        <f>IFERROR(INDEX(الطلاب!$B$5:$B$44,MATCH($D220,الطلاب!$A$5:$A$44,0)),"")</f>
        <v>عبدالرحمن بازرعة</v>
      </c>
      <c r="F220" s="40"/>
      <c r="G220" s="40"/>
      <c r="H220" s="40"/>
      <c r="I220" s="40"/>
      <c r="J220" s="40"/>
      <c r="K220" s="36"/>
      <c r="L220" s="43">
        <f>IF(AND($A220='أفضل 5 طلاب'!$C$3,$B220=الإعدادات!$C$8,$N220=1,ISNUMBER($G220)),$G220*100000+N($H220)*100+N($I220)+(1000-ROW())/10000,0)</f>
        <v>0</v>
      </c>
      <c r="M220" s="43">
        <f>IF(AND($A220='أفضل 5 طلاب'!$C$3,$B220=الإعدادات!$C$9,$N220=1,ISNUMBER($G220)),$G220*100000+N($H220)*100+N($I220)+(1000-ROW())/10000,0)</f>
        <v>0</v>
      </c>
      <c r="N220" s="43">
        <f t="shared" si="9"/>
        <v>0</v>
      </c>
      <c r="O220" s="43" t="str">
        <f t="shared" si="11"/>
        <v/>
      </c>
      <c r="P220" s="43">
        <f t="shared" si="10"/>
        <v>0</v>
      </c>
    </row>
    <row r="221" spans="1:16">
      <c r="A221" s="58">
        <v>6</v>
      </c>
      <c r="B221" s="59" t="str">
        <f>IFERROR(INDEX(الطلاب!$C$5:$C$44,MATCH($D221,الطلاب!$A$5:$A$44,0)),"")</f>
        <v>المقرأة الأولى</v>
      </c>
      <c r="C221" s="59" t="str">
        <f>IFERROR(INDEX(الطلاب!$D$5:$D$44,MATCH($D221,الطلاب!$A$5:$A$44,0)),"")</f>
        <v xml:space="preserve">حسان بن ثابت </v>
      </c>
      <c r="D221" s="59">
        <v>17</v>
      </c>
      <c r="E221" s="60" t="str">
        <f>IFERROR(INDEX(الطلاب!$B$5:$B$44,MATCH($D221,الطلاب!$A$5:$A$44,0)),"")</f>
        <v xml:space="preserve">عبدالله الضحيان </v>
      </c>
      <c r="F221" s="40"/>
      <c r="G221" s="40"/>
      <c r="H221" s="40"/>
      <c r="I221" s="40"/>
      <c r="J221" s="40"/>
      <c r="K221" s="36"/>
      <c r="L221" s="43">
        <f>IF(AND($A221='أفضل 5 طلاب'!$C$3,$B221=الإعدادات!$C$8,$N221=1,ISNUMBER($G221)),$G221*100000+N($H221)*100+N($I221)+(1000-ROW())/10000,0)</f>
        <v>0</v>
      </c>
      <c r="M221" s="43">
        <f>IF(AND($A221='أفضل 5 طلاب'!$C$3,$B221=الإعدادات!$C$9,$N221=1,ISNUMBER($G221)),$G221*100000+N($H221)*100+N($I221)+(1000-ROW())/10000,0)</f>
        <v>0</v>
      </c>
      <c r="N221" s="43">
        <f t="shared" si="9"/>
        <v>0</v>
      </c>
      <c r="O221" s="43" t="str">
        <f t="shared" si="11"/>
        <v/>
      </c>
      <c r="P221" s="43">
        <f t="shared" si="10"/>
        <v>0</v>
      </c>
    </row>
    <row r="222" spans="1:16">
      <c r="A222" s="58">
        <v>6</v>
      </c>
      <c r="B222" s="59" t="str">
        <f>IFERROR(INDEX(الطلاب!$C$5:$C$44,MATCH($D222,الطلاب!$A$5:$A$44,0)),"")</f>
        <v>المقرأة الأولى</v>
      </c>
      <c r="C222" s="59" t="str">
        <f>IFERROR(INDEX(الطلاب!$D$5:$D$44,MATCH($D222,الطلاب!$A$5:$A$44,0)),"")</f>
        <v xml:space="preserve">حسان بن ثابت </v>
      </c>
      <c r="D222" s="59">
        <v>18</v>
      </c>
      <c r="E222" s="60" t="str">
        <f>IFERROR(INDEX(الطلاب!$B$5:$B$44,MATCH($D222,الطلاب!$A$5:$A$44,0)),"")</f>
        <v xml:space="preserve">فيصل الدخيل </v>
      </c>
      <c r="F222" s="40"/>
      <c r="G222" s="40"/>
      <c r="H222" s="40"/>
      <c r="I222" s="40"/>
      <c r="J222" s="40"/>
      <c r="K222" s="36"/>
      <c r="L222" s="43">
        <f>IF(AND($A222='أفضل 5 طلاب'!$C$3,$B222=الإعدادات!$C$8,$N222=1,ISNUMBER($G222)),$G222*100000+N($H222)*100+N($I222)+(1000-ROW())/10000,0)</f>
        <v>0</v>
      </c>
      <c r="M222" s="43">
        <f>IF(AND($A222='أفضل 5 طلاب'!$C$3,$B222=الإعدادات!$C$9,$N222=1,ISNUMBER($G222)),$G222*100000+N($H222)*100+N($I222)+(1000-ROW())/10000,0)</f>
        <v>0</v>
      </c>
      <c r="N222" s="43">
        <f t="shared" si="9"/>
        <v>0</v>
      </c>
      <c r="O222" s="43" t="str">
        <f t="shared" si="11"/>
        <v/>
      </c>
      <c r="P222" s="43">
        <f t="shared" si="10"/>
        <v>0</v>
      </c>
    </row>
    <row r="223" spans="1:16">
      <c r="A223" s="58">
        <v>6</v>
      </c>
      <c r="B223" s="59" t="str">
        <f>IFERROR(INDEX(الطلاب!$C$5:$C$44,MATCH($D223,الطلاب!$A$5:$A$44,0)),"")</f>
        <v>المقرأة الأولى</v>
      </c>
      <c r="C223" s="59" t="str">
        <f>IFERROR(INDEX(الطلاب!$D$5:$D$44,MATCH($D223,الطلاب!$A$5:$A$44,0)),"")</f>
        <v xml:space="preserve">حسان بن ثابت </v>
      </c>
      <c r="D223" s="59">
        <v>19</v>
      </c>
      <c r="E223" s="60" t="str">
        <f>IFERROR(INDEX(الطلاب!$B$5:$B$44,MATCH($D223,الطلاب!$A$5:$A$44,0)),"")</f>
        <v xml:space="preserve">سليمان المحيميد </v>
      </c>
      <c r="F223" s="40"/>
      <c r="G223" s="40"/>
      <c r="H223" s="40"/>
      <c r="I223" s="40"/>
      <c r="J223" s="40"/>
      <c r="K223" s="36"/>
      <c r="L223" s="43">
        <f>IF(AND($A223='أفضل 5 طلاب'!$C$3,$B223=الإعدادات!$C$8,$N223=1,ISNUMBER($G223)),$G223*100000+N($H223)*100+N($I223)+(1000-ROW())/10000,0)</f>
        <v>0</v>
      </c>
      <c r="M223" s="43">
        <f>IF(AND($A223='أفضل 5 طلاب'!$C$3,$B223=الإعدادات!$C$9,$N223=1,ISNUMBER($G223)),$G223*100000+N($H223)*100+N($I223)+(1000-ROW())/10000,0)</f>
        <v>0</v>
      </c>
      <c r="N223" s="43">
        <f t="shared" si="9"/>
        <v>0</v>
      </c>
      <c r="O223" s="43" t="str">
        <f t="shared" si="11"/>
        <v/>
      </c>
      <c r="P223" s="43">
        <f t="shared" si="10"/>
        <v>0</v>
      </c>
    </row>
    <row r="224" spans="1:16">
      <c r="A224" s="58">
        <v>6</v>
      </c>
      <c r="B224" s="59" t="str">
        <f>IFERROR(INDEX(الطلاب!$C$5:$C$44,MATCH($D224,الطلاب!$A$5:$A$44,0)),"")</f>
        <v>المقرأة الثانية</v>
      </c>
      <c r="C224" s="59" t="str">
        <f>IFERROR(INDEX(الطلاب!$D$5:$D$44,MATCH($D224,الطلاب!$A$5:$A$44,0)),"")</f>
        <v xml:space="preserve">ابن رجب </v>
      </c>
      <c r="D224" s="59">
        <v>20</v>
      </c>
      <c r="E224" s="60" t="str">
        <f>IFERROR(INDEX(الطلاب!$B$5:$B$44,MATCH($D224,الطلاب!$A$5:$A$44,0)),"")</f>
        <v xml:space="preserve">اصيل التويجري </v>
      </c>
      <c r="F224" s="40"/>
      <c r="G224" s="40"/>
      <c r="H224" s="40"/>
      <c r="I224" s="40"/>
      <c r="J224" s="40"/>
      <c r="K224" s="36"/>
      <c r="L224" s="43">
        <f>IF(AND($A224='أفضل 5 طلاب'!$C$3,$B224=الإعدادات!$C$8,$N224=1,ISNUMBER($G224)),$G224*100000+N($H224)*100+N($I224)+(1000-ROW())/10000,0)</f>
        <v>0</v>
      </c>
      <c r="M224" s="43">
        <f>IF(AND($A224='أفضل 5 طلاب'!$C$3,$B224=الإعدادات!$C$9,$N224=1,ISNUMBER($G224)),$G224*100000+N($H224)*100+N($I224)+(1000-ROW())/10000,0)</f>
        <v>0</v>
      </c>
      <c r="N224" s="43">
        <f t="shared" si="9"/>
        <v>0</v>
      </c>
      <c r="O224" s="43" t="str">
        <f t="shared" si="11"/>
        <v/>
      </c>
      <c r="P224" s="43">
        <f t="shared" si="10"/>
        <v>0</v>
      </c>
    </row>
    <row r="225" spans="1:16">
      <c r="A225" s="58">
        <v>6</v>
      </c>
      <c r="B225" s="59" t="str">
        <f>IFERROR(INDEX(الطلاب!$C$5:$C$44,MATCH($D225,الطلاب!$A$5:$A$44,0)),"")</f>
        <v>المقرأة الثانية</v>
      </c>
      <c r="C225" s="59" t="str">
        <f>IFERROR(INDEX(الطلاب!$D$5:$D$44,MATCH($D225,الطلاب!$A$5:$A$44,0)),"")</f>
        <v xml:space="preserve">ابن رجب </v>
      </c>
      <c r="D225" s="59">
        <v>21</v>
      </c>
      <c r="E225" s="60" t="str">
        <f>IFERROR(INDEX(الطلاب!$B$5:$B$44,MATCH($D225,الطلاب!$A$5:$A$44,0)),"")</f>
        <v xml:space="preserve">جواد الرفيعي </v>
      </c>
      <c r="F225" s="40"/>
      <c r="G225" s="40"/>
      <c r="H225" s="40"/>
      <c r="I225" s="40"/>
      <c r="J225" s="40"/>
      <c r="K225" s="36"/>
      <c r="L225" s="43">
        <f>IF(AND($A225='أفضل 5 طلاب'!$C$3,$B225=الإعدادات!$C$8,$N225=1,ISNUMBER($G225)),$G225*100000+N($H225)*100+N($I225)+(1000-ROW())/10000,0)</f>
        <v>0</v>
      </c>
      <c r="M225" s="43">
        <f>IF(AND($A225='أفضل 5 طلاب'!$C$3,$B225=الإعدادات!$C$9,$N225=1,ISNUMBER($G225)),$G225*100000+N($H225)*100+N($I225)+(1000-ROW())/10000,0)</f>
        <v>0</v>
      </c>
      <c r="N225" s="43">
        <f t="shared" si="9"/>
        <v>0</v>
      </c>
      <c r="O225" s="43" t="str">
        <f t="shared" si="11"/>
        <v/>
      </c>
      <c r="P225" s="43">
        <f t="shared" si="10"/>
        <v>0</v>
      </c>
    </row>
    <row r="226" spans="1:16">
      <c r="A226" s="58">
        <v>6</v>
      </c>
      <c r="B226" s="59" t="str">
        <f>IFERROR(INDEX(الطلاب!$C$5:$C$44,MATCH($D226,الطلاب!$A$5:$A$44,0)),"")</f>
        <v>المقرأة الثانية</v>
      </c>
      <c r="C226" s="59" t="str">
        <f>IFERROR(INDEX(الطلاب!$D$5:$D$44,MATCH($D226,الطلاب!$A$5:$A$44,0)),"")</f>
        <v xml:space="preserve">ابن رجب </v>
      </c>
      <c r="D226" s="59">
        <v>22</v>
      </c>
      <c r="E226" s="60" t="str">
        <f>IFERROR(INDEX(الطلاب!$B$5:$B$44,MATCH($D226,الطلاب!$A$5:$A$44,0)),"")</f>
        <v xml:space="preserve">سفيان السبيعي </v>
      </c>
      <c r="F226" s="40"/>
      <c r="G226" s="40"/>
      <c r="H226" s="40"/>
      <c r="I226" s="40"/>
      <c r="J226" s="40"/>
      <c r="K226" s="36"/>
      <c r="L226" s="43">
        <f>IF(AND($A226='أفضل 5 طلاب'!$C$3,$B226=الإعدادات!$C$8,$N226=1,ISNUMBER($G226)),$G226*100000+N($H226)*100+N($I226)+(1000-ROW())/10000,0)</f>
        <v>0</v>
      </c>
      <c r="M226" s="43">
        <f>IF(AND($A226='أفضل 5 طلاب'!$C$3,$B226=الإعدادات!$C$9,$N226=1,ISNUMBER($G226)),$G226*100000+N($H226)*100+N($I226)+(1000-ROW())/10000,0)</f>
        <v>0</v>
      </c>
      <c r="N226" s="43">
        <f t="shared" si="9"/>
        <v>0</v>
      </c>
      <c r="O226" s="43" t="str">
        <f t="shared" si="11"/>
        <v/>
      </c>
      <c r="P226" s="43">
        <f t="shared" si="10"/>
        <v>0</v>
      </c>
    </row>
    <row r="227" spans="1:16">
      <c r="A227" s="58">
        <v>6</v>
      </c>
      <c r="B227" s="59" t="str">
        <f>IFERROR(INDEX(الطلاب!$C$5:$C$44,MATCH($D227,الطلاب!$A$5:$A$44,0)),"")</f>
        <v>المقرأة الثانية</v>
      </c>
      <c r="C227" s="59" t="str">
        <f>IFERROR(INDEX(الطلاب!$D$5:$D$44,MATCH($D227,الطلاب!$A$5:$A$44,0)),"")</f>
        <v xml:space="preserve">ابن رجب </v>
      </c>
      <c r="D227" s="59">
        <v>23</v>
      </c>
      <c r="E227" s="60" t="str">
        <f>IFERROR(INDEX(الطلاب!$B$5:$B$44,MATCH($D227,الطلاب!$A$5:$A$44,0)),"")</f>
        <v xml:space="preserve">عمار الفضل </v>
      </c>
      <c r="F227" s="40"/>
      <c r="G227" s="40"/>
      <c r="H227" s="40"/>
      <c r="I227" s="40"/>
      <c r="J227" s="40"/>
      <c r="K227" s="36"/>
      <c r="L227" s="43">
        <f>IF(AND($A227='أفضل 5 طلاب'!$C$3,$B227=الإعدادات!$C$8,$N227=1,ISNUMBER($G227)),$G227*100000+N($H227)*100+N($I227)+(1000-ROW())/10000,0)</f>
        <v>0</v>
      </c>
      <c r="M227" s="43">
        <f>IF(AND($A227='أفضل 5 طلاب'!$C$3,$B227=الإعدادات!$C$9,$N227=1,ISNUMBER($G227)),$G227*100000+N($H227)*100+N($I227)+(1000-ROW())/10000,0)</f>
        <v>0</v>
      </c>
      <c r="N227" s="43">
        <f t="shared" si="9"/>
        <v>0</v>
      </c>
      <c r="O227" s="43" t="str">
        <f t="shared" si="11"/>
        <v/>
      </c>
      <c r="P227" s="43">
        <f t="shared" si="10"/>
        <v>0</v>
      </c>
    </row>
    <row r="228" spans="1:16">
      <c r="A228" s="58">
        <v>6</v>
      </c>
      <c r="B228" s="59" t="str">
        <f>IFERROR(INDEX(الطلاب!$C$5:$C$44,MATCH($D228,الطلاب!$A$5:$A$44,0)),"")</f>
        <v>المقرأة الثانية</v>
      </c>
      <c r="C228" s="59" t="str">
        <f>IFERROR(INDEX(الطلاب!$D$5:$D$44,MATCH($D228,الطلاب!$A$5:$A$44,0)),"")</f>
        <v xml:space="preserve">ابن رجب </v>
      </c>
      <c r="D228" s="59">
        <v>24</v>
      </c>
      <c r="E228" s="60" t="str">
        <f>IFERROR(INDEX(الطلاب!$B$5:$B$44,MATCH($D228,الطلاب!$A$5:$A$44,0)),"")</f>
        <v xml:space="preserve">مروان المهوس </v>
      </c>
      <c r="F228" s="40"/>
      <c r="G228" s="40"/>
      <c r="H228" s="40"/>
      <c r="I228" s="40"/>
      <c r="J228" s="40"/>
      <c r="K228" s="36"/>
      <c r="L228" s="43">
        <f>IF(AND($A228='أفضل 5 طلاب'!$C$3,$B228=الإعدادات!$C$8,$N228=1,ISNUMBER($G228)),$G228*100000+N($H228)*100+N($I228)+(1000-ROW())/10000,0)</f>
        <v>0</v>
      </c>
      <c r="M228" s="43">
        <f>IF(AND($A228='أفضل 5 طلاب'!$C$3,$B228=الإعدادات!$C$9,$N228=1,ISNUMBER($G228)),$G228*100000+N($H228)*100+N($I228)+(1000-ROW())/10000,0)</f>
        <v>0</v>
      </c>
      <c r="N228" s="43">
        <f t="shared" si="9"/>
        <v>0</v>
      </c>
      <c r="O228" s="43" t="str">
        <f t="shared" si="11"/>
        <v/>
      </c>
      <c r="P228" s="43">
        <f t="shared" si="10"/>
        <v>0</v>
      </c>
    </row>
    <row r="229" spans="1:16">
      <c r="A229" s="58">
        <v>6</v>
      </c>
      <c r="B229" s="59" t="str">
        <f>IFERROR(INDEX(الطلاب!$C$5:$C$44,MATCH($D229,الطلاب!$A$5:$A$44,0)),"")</f>
        <v>المقرأة الثانية</v>
      </c>
      <c r="C229" s="59" t="str">
        <f>IFERROR(INDEX(الطلاب!$D$5:$D$44,MATCH($D229,الطلاب!$A$5:$A$44,0)),"")</f>
        <v xml:space="preserve">ابن رجب </v>
      </c>
      <c r="D229" s="59">
        <v>25</v>
      </c>
      <c r="E229" s="60" t="str">
        <f>IFERROR(INDEX(الطلاب!$B$5:$B$44,MATCH($D229,الطلاب!$A$5:$A$44,0)),"")</f>
        <v>جهاد الجدعان</v>
      </c>
      <c r="F229" s="40"/>
      <c r="G229" s="40"/>
      <c r="H229" s="40"/>
      <c r="I229" s="40"/>
      <c r="J229" s="40"/>
      <c r="K229" s="36"/>
      <c r="L229" s="43">
        <f>IF(AND($A229='أفضل 5 طلاب'!$C$3,$B229=الإعدادات!$C$8,$N229=1,ISNUMBER($G229)),$G229*100000+N($H229)*100+N($I229)+(1000-ROW())/10000,0)</f>
        <v>0</v>
      </c>
      <c r="M229" s="43">
        <f>IF(AND($A229='أفضل 5 طلاب'!$C$3,$B229=الإعدادات!$C$9,$N229=1,ISNUMBER($G229)),$G229*100000+N($H229)*100+N($I229)+(1000-ROW())/10000,0)</f>
        <v>0</v>
      </c>
      <c r="N229" s="43">
        <f t="shared" si="9"/>
        <v>0</v>
      </c>
      <c r="O229" s="43" t="str">
        <f t="shared" si="11"/>
        <v/>
      </c>
      <c r="P229" s="43">
        <f t="shared" si="10"/>
        <v>0</v>
      </c>
    </row>
    <row r="230" spans="1:16">
      <c r="A230" s="58">
        <v>6</v>
      </c>
      <c r="B230" s="59" t="str">
        <f>IFERROR(INDEX(الطلاب!$C$5:$C$44,MATCH($D230,الطلاب!$A$5:$A$44,0)),"")</f>
        <v>المقرأة الثانية</v>
      </c>
      <c r="C230" s="59" t="str">
        <f>IFERROR(INDEX(الطلاب!$D$5:$D$44,MATCH($D230,الطلاب!$A$5:$A$44,0)),"")</f>
        <v xml:space="preserve">ابن رجب </v>
      </c>
      <c r="D230" s="59">
        <v>26</v>
      </c>
      <c r="E230" s="60" t="str">
        <f>IFERROR(INDEX(الطلاب!$B$5:$B$44,MATCH($D230,الطلاب!$A$5:$A$44,0)),"")</f>
        <v>صلاح مسعد</v>
      </c>
      <c r="F230" s="40"/>
      <c r="G230" s="40"/>
      <c r="H230" s="40"/>
      <c r="I230" s="40"/>
      <c r="J230" s="40"/>
      <c r="K230" s="36"/>
      <c r="L230" s="43">
        <f>IF(AND($A230='أفضل 5 طلاب'!$C$3,$B230=الإعدادات!$C$8,$N230=1,ISNUMBER($G230)),$G230*100000+N($H230)*100+N($I230)+(1000-ROW())/10000,0)</f>
        <v>0</v>
      </c>
      <c r="M230" s="43">
        <f>IF(AND($A230='أفضل 5 طلاب'!$C$3,$B230=الإعدادات!$C$9,$N230=1,ISNUMBER($G230)),$G230*100000+N($H230)*100+N($I230)+(1000-ROW())/10000,0)</f>
        <v>0</v>
      </c>
      <c r="N230" s="43">
        <f t="shared" si="9"/>
        <v>0</v>
      </c>
      <c r="O230" s="43" t="str">
        <f t="shared" si="11"/>
        <v/>
      </c>
      <c r="P230" s="43">
        <f t="shared" si="10"/>
        <v>0</v>
      </c>
    </row>
    <row r="231" spans="1:16">
      <c r="A231" s="58">
        <v>6</v>
      </c>
      <c r="B231" s="59" t="str">
        <f>IFERROR(INDEX(الطلاب!$C$5:$C$44,MATCH($D231,الطلاب!$A$5:$A$44,0)),"")</f>
        <v>المقرأة الثانية</v>
      </c>
      <c r="C231" s="59" t="str">
        <f>IFERROR(INDEX(الطلاب!$D$5:$D$44,MATCH($D231,الطلاب!$A$5:$A$44,0)),"")</f>
        <v xml:space="preserve">ابي بن مالك </v>
      </c>
      <c r="D231" s="59">
        <v>27</v>
      </c>
      <c r="E231" s="60" t="str">
        <f>IFERROR(INDEX(الطلاب!$B$5:$B$44,MATCH($D231,الطلاب!$A$5:$A$44,0)),"")</f>
        <v>سالم بانوير</v>
      </c>
      <c r="F231" s="40"/>
      <c r="G231" s="40"/>
      <c r="H231" s="40"/>
      <c r="I231" s="40"/>
      <c r="J231" s="40"/>
      <c r="K231" s="36"/>
      <c r="L231" s="43">
        <f>IF(AND($A231='أفضل 5 طلاب'!$C$3,$B231=الإعدادات!$C$8,$N231=1,ISNUMBER($G231)),$G231*100000+N($H231)*100+N($I231)+(1000-ROW())/10000,0)</f>
        <v>0</v>
      </c>
      <c r="M231" s="43">
        <f>IF(AND($A231='أفضل 5 طلاب'!$C$3,$B231=الإعدادات!$C$9,$N231=1,ISNUMBER($G231)),$G231*100000+N($H231)*100+N($I231)+(1000-ROW())/10000,0)</f>
        <v>0</v>
      </c>
      <c r="N231" s="43">
        <f t="shared" si="9"/>
        <v>0</v>
      </c>
      <c r="O231" s="43" t="str">
        <f t="shared" si="11"/>
        <v/>
      </c>
      <c r="P231" s="43">
        <f t="shared" si="10"/>
        <v>0</v>
      </c>
    </row>
    <row r="232" spans="1:16">
      <c r="A232" s="58">
        <v>6</v>
      </c>
      <c r="B232" s="59" t="str">
        <f>IFERROR(INDEX(الطلاب!$C$5:$C$44,MATCH($D232,الطلاب!$A$5:$A$44,0)),"")</f>
        <v>المقرأة الثانية</v>
      </c>
      <c r="C232" s="59" t="str">
        <f>IFERROR(INDEX(الطلاب!$D$5:$D$44,MATCH($D232,الطلاب!$A$5:$A$44,0)),"")</f>
        <v xml:space="preserve">ابي بن مالك </v>
      </c>
      <c r="D232" s="59">
        <v>28</v>
      </c>
      <c r="E232" s="60" t="str">
        <f>IFERROR(INDEX(الطلاب!$B$5:$B$44,MATCH($D232,الطلاب!$A$5:$A$44,0)),"")</f>
        <v xml:space="preserve">عبدالعزيز الصقعبي </v>
      </c>
      <c r="F232" s="40"/>
      <c r="G232" s="40"/>
      <c r="H232" s="40"/>
      <c r="I232" s="40"/>
      <c r="J232" s="40"/>
      <c r="K232" s="36"/>
      <c r="L232" s="43">
        <f>IF(AND($A232='أفضل 5 طلاب'!$C$3,$B232=الإعدادات!$C$8,$N232=1,ISNUMBER($G232)),$G232*100000+N($H232)*100+N($I232)+(1000-ROW())/10000,0)</f>
        <v>0</v>
      </c>
      <c r="M232" s="43">
        <f>IF(AND($A232='أفضل 5 طلاب'!$C$3,$B232=الإعدادات!$C$9,$N232=1,ISNUMBER($G232)),$G232*100000+N($H232)*100+N($I232)+(1000-ROW())/10000,0)</f>
        <v>0</v>
      </c>
      <c r="N232" s="43">
        <f t="shared" si="9"/>
        <v>0</v>
      </c>
      <c r="O232" s="43" t="str">
        <f t="shared" si="11"/>
        <v/>
      </c>
      <c r="P232" s="43">
        <f t="shared" si="10"/>
        <v>0</v>
      </c>
    </row>
    <row r="233" spans="1:16">
      <c r="A233" s="58">
        <v>6</v>
      </c>
      <c r="B233" s="59" t="str">
        <f>IFERROR(INDEX(الطلاب!$C$5:$C$44,MATCH($D233,الطلاب!$A$5:$A$44,0)),"")</f>
        <v>المقرأة الثانية</v>
      </c>
      <c r="C233" s="59" t="str">
        <f>IFERROR(INDEX(الطلاب!$D$5:$D$44,MATCH($D233,الطلاب!$A$5:$A$44,0)),"")</f>
        <v xml:space="preserve">ابي بن مالك </v>
      </c>
      <c r="D233" s="59">
        <v>29</v>
      </c>
      <c r="E233" s="60" t="str">
        <f>IFERROR(INDEX(الطلاب!$B$5:$B$44,MATCH($D233,الطلاب!$A$5:$A$44,0)),"")</f>
        <v xml:space="preserve">عبدالله المجيدل </v>
      </c>
      <c r="F233" s="40"/>
      <c r="G233" s="40"/>
      <c r="H233" s="40"/>
      <c r="I233" s="40"/>
      <c r="J233" s="40"/>
      <c r="K233" s="36"/>
      <c r="L233" s="43">
        <f>IF(AND($A233='أفضل 5 طلاب'!$C$3,$B233=الإعدادات!$C$8,$N233=1,ISNUMBER($G233)),$G233*100000+N($H233)*100+N($I233)+(1000-ROW())/10000,0)</f>
        <v>0</v>
      </c>
      <c r="M233" s="43">
        <f>IF(AND($A233='أفضل 5 طلاب'!$C$3,$B233=الإعدادات!$C$9,$N233=1,ISNUMBER($G233)),$G233*100000+N($H233)*100+N($I233)+(1000-ROW())/10000,0)</f>
        <v>0</v>
      </c>
      <c r="N233" s="43">
        <f t="shared" si="9"/>
        <v>0</v>
      </c>
      <c r="O233" s="43" t="str">
        <f t="shared" si="11"/>
        <v/>
      </c>
      <c r="P233" s="43">
        <f t="shared" si="10"/>
        <v>0</v>
      </c>
    </row>
    <row r="234" spans="1:16">
      <c r="A234" s="58">
        <v>6</v>
      </c>
      <c r="B234" s="59" t="str">
        <f>IFERROR(INDEX(الطلاب!$C$5:$C$44,MATCH($D234,الطلاب!$A$5:$A$44,0)),"")</f>
        <v>المقرأة الثانية</v>
      </c>
      <c r="C234" s="59" t="str">
        <f>IFERROR(INDEX(الطلاب!$D$5:$D$44,MATCH($D234,الطلاب!$A$5:$A$44,0)),"")</f>
        <v xml:space="preserve">ابي بن مالك </v>
      </c>
      <c r="D234" s="59">
        <v>30</v>
      </c>
      <c r="E234" s="60" t="str">
        <f>IFERROR(INDEX(الطلاب!$B$5:$B$44,MATCH($D234,الطلاب!$A$5:$A$44,0)),"")</f>
        <v>فواز الشدوخي</v>
      </c>
      <c r="F234" s="40"/>
      <c r="G234" s="40"/>
      <c r="H234" s="40"/>
      <c r="I234" s="40"/>
      <c r="J234" s="40"/>
      <c r="K234" s="36"/>
      <c r="L234" s="43">
        <f>IF(AND($A234='أفضل 5 طلاب'!$C$3,$B234=الإعدادات!$C$8,$N234=1,ISNUMBER($G234)),$G234*100000+N($H234)*100+N($I234)+(1000-ROW())/10000,0)</f>
        <v>0</v>
      </c>
      <c r="M234" s="43">
        <f>IF(AND($A234='أفضل 5 طلاب'!$C$3,$B234=الإعدادات!$C$9,$N234=1,ISNUMBER($G234)),$G234*100000+N($H234)*100+N($I234)+(1000-ROW())/10000,0)</f>
        <v>0</v>
      </c>
      <c r="N234" s="43">
        <f t="shared" si="9"/>
        <v>0</v>
      </c>
      <c r="O234" s="43" t="str">
        <f t="shared" si="11"/>
        <v/>
      </c>
      <c r="P234" s="43">
        <f t="shared" si="10"/>
        <v>0</v>
      </c>
    </row>
    <row r="235" spans="1:16">
      <c r="A235" s="58">
        <v>6</v>
      </c>
      <c r="B235" s="59" t="str">
        <f>IFERROR(INDEX(الطلاب!$C$5:$C$44,MATCH($D235,الطلاب!$A$5:$A$44,0)),"")</f>
        <v>المقرأة الثانية</v>
      </c>
      <c r="C235" s="59" t="str">
        <f>IFERROR(INDEX(الطلاب!$D$5:$D$44,MATCH($D235,الطلاب!$A$5:$A$44,0)),"")</f>
        <v xml:space="preserve">ابي بن مالك </v>
      </c>
      <c r="D235" s="59">
        <v>31</v>
      </c>
      <c r="E235" s="60" t="str">
        <f>IFERROR(INDEX(الطلاب!$B$5:$B$44,MATCH($D235,الطلاب!$A$5:$A$44,0)),"")</f>
        <v>محمد الطامي</v>
      </c>
      <c r="F235" s="40"/>
      <c r="G235" s="40"/>
      <c r="H235" s="40"/>
      <c r="I235" s="40"/>
      <c r="J235" s="40"/>
      <c r="K235" s="36"/>
      <c r="L235" s="43">
        <f>IF(AND($A235='أفضل 5 طلاب'!$C$3,$B235=الإعدادات!$C$8,$N235=1,ISNUMBER($G235)),$G235*100000+N($H235)*100+N($I235)+(1000-ROW())/10000,0)</f>
        <v>0</v>
      </c>
      <c r="M235" s="43">
        <f>IF(AND($A235='أفضل 5 طلاب'!$C$3,$B235=الإعدادات!$C$9,$N235=1,ISNUMBER($G235)),$G235*100000+N($H235)*100+N($I235)+(1000-ROW())/10000,0)</f>
        <v>0</v>
      </c>
      <c r="N235" s="43">
        <f t="shared" si="9"/>
        <v>0</v>
      </c>
      <c r="O235" s="43" t="str">
        <f t="shared" si="11"/>
        <v/>
      </c>
      <c r="P235" s="43">
        <f t="shared" si="10"/>
        <v>0</v>
      </c>
    </row>
    <row r="236" spans="1:16">
      <c r="A236" s="58">
        <v>6</v>
      </c>
      <c r="B236" s="59" t="str">
        <f>IFERROR(INDEX(الطلاب!$C$5:$C$44,MATCH($D236,الطلاب!$A$5:$A$44,0)),"")</f>
        <v>المقرأة الثانية</v>
      </c>
      <c r="C236" s="59" t="str">
        <f>IFERROR(INDEX(الطلاب!$D$5:$D$44,MATCH($D236,الطلاب!$A$5:$A$44,0)),"")</f>
        <v xml:space="preserve">ابي بن مالك </v>
      </c>
      <c r="D236" s="59">
        <v>32</v>
      </c>
      <c r="E236" s="60" t="str">
        <f>IFERROR(INDEX(الطلاب!$B$5:$B$44,MATCH($D236,الطلاب!$A$5:$A$44,0)),"")</f>
        <v xml:space="preserve">مهند الغماس </v>
      </c>
      <c r="F236" s="40"/>
      <c r="G236" s="40"/>
      <c r="H236" s="40"/>
      <c r="I236" s="40"/>
      <c r="J236" s="40"/>
      <c r="K236" s="36"/>
      <c r="L236" s="43">
        <f>IF(AND($A236='أفضل 5 طلاب'!$C$3,$B236=الإعدادات!$C$8,$N236=1,ISNUMBER($G236)),$G236*100000+N($H236)*100+N($I236)+(1000-ROW())/10000,0)</f>
        <v>0</v>
      </c>
      <c r="M236" s="43">
        <f>IF(AND($A236='أفضل 5 طلاب'!$C$3,$B236=الإعدادات!$C$9,$N236=1,ISNUMBER($G236)),$G236*100000+N($H236)*100+N($I236)+(1000-ROW())/10000,0)</f>
        <v>0</v>
      </c>
      <c r="N236" s="43">
        <f t="shared" si="9"/>
        <v>0</v>
      </c>
      <c r="O236" s="43" t="str">
        <f t="shared" si="11"/>
        <v/>
      </c>
      <c r="P236" s="43">
        <f t="shared" si="10"/>
        <v>0</v>
      </c>
    </row>
    <row r="237" spans="1:16">
      <c r="A237" s="58">
        <v>6</v>
      </c>
      <c r="B237" s="59" t="str">
        <f>IFERROR(INDEX(الطلاب!$C$5:$C$44,MATCH($D237,الطلاب!$A$5:$A$44,0)),"")</f>
        <v>المقرأة الثانية</v>
      </c>
      <c r="C237" s="59" t="str">
        <f>IFERROR(INDEX(الطلاب!$D$5:$D$44,MATCH($D237,الطلاب!$A$5:$A$44,0)),"")</f>
        <v xml:space="preserve">ابي بن مالك </v>
      </c>
      <c r="D237" s="59">
        <v>33</v>
      </c>
      <c r="E237" s="60" t="str">
        <f>IFERROR(INDEX(الطلاب!$B$5:$B$44,MATCH($D237,الطلاب!$A$5:$A$44,0)),"")</f>
        <v>يوسف الحربي</v>
      </c>
      <c r="F237" s="40"/>
      <c r="G237" s="40"/>
      <c r="H237" s="40"/>
      <c r="I237" s="40"/>
      <c r="J237" s="40"/>
      <c r="K237" s="36"/>
      <c r="L237" s="43">
        <f>IF(AND($A237='أفضل 5 طلاب'!$C$3,$B237=الإعدادات!$C$8,$N237=1,ISNUMBER($G237)),$G237*100000+N($H237)*100+N($I237)+(1000-ROW())/10000,0)</f>
        <v>0</v>
      </c>
      <c r="M237" s="43">
        <f>IF(AND($A237='أفضل 5 طلاب'!$C$3,$B237=الإعدادات!$C$9,$N237=1,ISNUMBER($G237)),$G237*100000+N($H237)*100+N($I237)+(1000-ROW())/10000,0)</f>
        <v>0</v>
      </c>
      <c r="N237" s="43">
        <f t="shared" si="9"/>
        <v>0</v>
      </c>
      <c r="O237" s="43" t="str">
        <f t="shared" si="11"/>
        <v/>
      </c>
      <c r="P237" s="43">
        <f t="shared" si="10"/>
        <v>0</v>
      </c>
    </row>
    <row r="238" spans="1:16">
      <c r="A238" s="58">
        <v>6</v>
      </c>
      <c r="B238" s="59" t="str">
        <f>IFERROR(INDEX(الطلاب!$C$5:$C$44,MATCH($D238,الطلاب!$A$5:$A$44,0)),"")</f>
        <v>المقرأة الثانية</v>
      </c>
      <c r="C238" s="59" t="str">
        <f>IFERROR(INDEX(الطلاب!$D$5:$D$44,MATCH($D238,الطلاب!$A$5:$A$44,0)),"")</f>
        <v xml:space="preserve">ابي بن مالك </v>
      </c>
      <c r="D238" s="59">
        <v>34</v>
      </c>
      <c r="E238" s="60" t="str">
        <f>IFERROR(INDEX(الطلاب!$B$5:$B$44,MATCH($D238,الطلاب!$A$5:$A$44,0)),"")</f>
        <v xml:space="preserve">عدي الفريح </v>
      </c>
      <c r="F238" s="40"/>
      <c r="G238" s="40"/>
      <c r="H238" s="40"/>
      <c r="I238" s="40"/>
      <c r="J238" s="40"/>
      <c r="K238" s="36"/>
      <c r="L238" s="43">
        <f>IF(AND($A238='أفضل 5 طلاب'!$C$3,$B238=الإعدادات!$C$8,$N238=1,ISNUMBER($G238)),$G238*100000+N($H238)*100+N($I238)+(1000-ROW())/10000,0)</f>
        <v>0</v>
      </c>
      <c r="M238" s="43">
        <f>IF(AND($A238='أفضل 5 طلاب'!$C$3,$B238=الإعدادات!$C$9,$N238=1,ISNUMBER($G238)),$G238*100000+N($H238)*100+N($I238)+(1000-ROW())/10000,0)</f>
        <v>0</v>
      </c>
      <c r="N238" s="43">
        <f t="shared" si="9"/>
        <v>0</v>
      </c>
      <c r="O238" s="43" t="str">
        <f t="shared" si="11"/>
        <v/>
      </c>
      <c r="P238" s="43">
        <f t="shared" si="10"/>
        <v>0</v>
      </c>
    </row>
    <row r="239" spans="1:16">
      <c r="A239" s="58">
        <v>6</v>
      </c>
      <c r="B239" s="59" t="str">
        <f>IFERROR(INDEX(الطلاب!$C$5:$C$44,MATCH($D239,الطلاب!$A$5:$A$44,0)),"")</f>
        <v>المقرأة الثانية</v>
      </c>
      <c r="C239" s="59" t="str">
        <f>IFERROR(INDEX(الطلاب!$D$5:$D$44,MATCH($D239,الطلاب!$A$5:$A$44,0)),"")</f>
        <v xml:space="preserve">ابي بن مالك </v>
      </c>
      <c r="D239" s="59">
        <v>35</v>
      </c>
      <c r="E239" s="60" t="str">
        <f>IFERROR(INDEX(الطلاب!$B$5:$B$44,MATCH($D239,الطلاب!$A$5:$A$44,0)),"")</f>
        <v xml:space="preserve">عبدالله الفايزي </v>
      </c>
      <c r="F239" s="40"/>
      <c r="G239" s="40"/>
      <c r="H239" s="40"/>
      <c r="I239" s="40"/>
      <c r="J239" s="40"/>
      <c r="K239" s="36"/>
      <c r="L239" s="43">
        <f>IF(AND($A239='أفضل 5 طلاب'!$C$3,$B239=الإعدادات!$C$8,$N239=1,ISNUMBER($G239)),$G239*100000+N($H239)*100+N($I239)+(1000-ROW())/10000,0)</f>
        <v>0</v>
      </c>
      <c r="M239" s="43">
        <f>IF(AND($A239='أفضل 5 طلاب'!$C$3,$B239=الإعدادات!$C$9,$N239=1,ISNUMBER($G239)),$G239*100000+N($H239)*100+N($I239)+(1000-ROW())/10000,0)</f>
        <v>0</v>
      </c>
      <c r="N239" s="43">
        <f t="shared" si="9"/>
        <v>0</v>
      </c>
      <c r="O239" s="43" t="str">
        <f t="shared" si="11"/>
        <v/>
      </c>
      <c r="P239" s="43">
        <f t="shared" si="10"/>
        <v>0</v>
      </c>
    </row>
    <row r="240" spans="1:16">
      <c r="A240" s="58">
        <v>6</v>
      </c>
      <c r="B240" s="59">
        <f>IFERROR(INDEX(الطلاب!$C$5:$C$44,MATCH($D240,الطلاب!$A$5:$A$44,0)),"")</f>
        <v>0</v>
      </c>
      <c r="C240" s="59">
        <f>IFERROR(INDEX(الطلاب!$D$5:$D$44,MATCH($D240,الطلاب!$A$5:$A$44,0)),"")</f>
        <v>0</v>
      </c>
      <c r="D240" s="59">
        <v>36</v>
      </c>
      <c r="E240" s="60" t="str">
        <f>IFERROR(INDEX(الطلاب!$B$5:$B$44,MATCH($D240,الطلاب!$A$5:$A$44,0)),"")</f>
        <v xml:space="preserve">عزام الحسن </v>
      </c>
      <c r="F240" s="40"/>
      <c r="G240" s="40"/>
      <c r="H240" s="40"/>
      <c r="I240" s="40"/>
      <c r="J240" s="40"/>
      <c r="K240" s="36"/>
      <c r="L240" s="43">
        <f>IF(AND($A240='أفضل 5 طلاب'!$C$3,$B240=الإعدادات!$C$8,$N240=1,ISNUMBER($G240)),$G240*100000+N($H240)*100+N($I240)+(1000-ROW())/10000,0)</f>
        <v>0</v>
      </c>
      <c r="M240" s="43">
        <f>IF(AND($A240='أفضل 5 طلاب'!$C$3,$B240=الإعدادات!$C$9,$N240=1,ISNUMBER($G240)),$G240*100000+N($H240)*100+N($I240)+(1000-ROW())/10000,0)</f>
        <v>0</v>
      </c>
      <c r="N240" s="43">
        <f t="shared" si="9"/>
        <v>0</v>
      </c>
      <c r="O240" s="43" t="str">
        <f t="shared" si="11"/>
        <v/>
      </c>
      <c r="P240" s="43">
        <f t="shared" si="10"/>
        <v>0</v>
      </c>
    </row>
    <row r="241" spans="1:16">
      <c r="A241" s="58">
        <v>6</v>
      </c>
      <c r="B241" s="59" t="str">
        <f>IFERROR(INDEX(الطلاب!$C$5:$C$44,MATCH($D241,الطلاب!$A$5:$A$44,0)),"")</f>
        <v>المقرأة الأولى</v>
      </c>
      <c r="C241" s="59" t="str">
        <f>IFERROR(INDEX(الطلاب!$D$5:$D$44,MATCH($D241,الطلاب!$A$5:$A$44,0)),"")</f>
        <v xml:space="preserve">عبدالرحمن بن النعمان </v>
      </c>
      <c r="D241" s="59">
        <v>37</v>
      </c>
      <c r="E241" s="60" t="str">
        <f>IFERROR(INDEX(الطلاب!$B$5:$B$44,MATCH($D241,الطلاب!$A$5:$A$44,0)),"")</f>
        <v xml:space="preserve">أسامة السعوي </v>
      </c>
      <c r="F241" s="40"/>
      <c r="G241" s="40"/>
      <c r="H241" s="40"/>
      <c r="I241" s="40"/>
      <c r="J241" s="40"/>
      <c r="K241" s="36"/>
      <c r="L241" s="43">
        <f>IF(AND($A241='أفضل 5 طلاب'!$C$3,$B241=الإعدادات!$C$8,$N241=1,ISNUMBER($G241)),$G241*100000+N($H241)*100+N($I241)+(1000-ROW())/10000,0)</f>
        <v>0</v>
      </c>
      <c r="M241" s="43">
        <f>IF(AND($A241='أفضل 5 طلاب'!$C$3,$B241=الإعدادات!$C$9,$N241=1,ISNUMBER($G241)),$G241*100000+N($H241)*100+N($I241)+(1000-ROW())/10000,0)</f>
        <v>0</v>
      </c>
      <c r="N241" s="43">
        <f t="shared" si="9"/>
        <v>0</v>
      </c>
      <c r="O241" s="43" t="str">
        <f t="shared" si="11"/>
        <v/>
      </c>
      <c r="P241" s="43">
        <f t="shared" si="10"/>
        <v>0</v>
      </c>
    </row>
    <row r="242" spans="1:16">
      <c r="A242" s="58">
        <v>6</v>
      </c>
      <c r="B242" s="59" t="str">
        <f>IFERROR(INDEX(الطلاب!$C$5:$C$44,MATCH($D242,الطلاب!$A$5:$A$44,0)),"")</f>
        <v>المقرأة الأولى</v>
      </c>
      <c r="C242" s="59" t="str">
        <f>IFERROR(INDEX(الطلاب!$D$5:$D$44,MATCH($D242,الطلاب!$A$5:$A$44,0)),"")</f>
        <v xml:space="preserve">حسان بن ثابت </v>
      </c>
      <c r="D242" s="59">
        <v>38</v>
      </c>
      <c r="E242" s="60" t="str">
        <f>IFERROR(INDEX(الطلاب!$B$5:$B$44,MATCH($D242,الطلاب!$A$5:$A$44,0)),"")</f>
        <v xml:space="preserve">عاصم الضالع </v>
      </c>
      <c r="F242" s="40"/>
      <c r="G242" s="40"/>
      <c r="H242" s="40"/>
      <c r="I242" s="40"/>
      <c r="J242" s="40"/>
      <c r="K242" s="36"/>
      <c r="L242" s="43">
        <f>IF(AND($A242='أفضل 5 طلاب'!$C$3,$B242=الإعدادات!$C$8,$N242=1,ISNUMBER($G242)),$G242*100000+N($H242)*100+N($I242)+(1000-ROW())/10000,0)</f>
        <v>0</v>
      </c>
      <c r="M242" s="43">
        <f>IF(AND($A242='أفضل 5 طلاب'!$C$3,$B242=الإعدادات!$C$9,$N242=1,ISNUMBER($G242)),$G242*100000+N($H242)*100+N($I242)+(1000-ROW())/10000,0)</f>
        <v>0</v>
      </c>
      <c r="N242" s="43">
        <f t="shared" si="9"/>
        <v>0</v>
      </c>
      <c r="O242" s="43" t="str">
        <f t="shared" si="11"/>
        <v/>
      </c>
      <c r="P242" s="43">
        <f t="shared" si="10"/>
        <v>0</v>
      </c>
    </row>
    <row r="243" spans="1:16">
      <c r="A243" s="58">
        <v>6</v>
      </c>
      <c r="B243" s="59">
        <f>IFERROR(INDEX(الطلاب!$C$5:$C$44,MATCH($D243,الطلاب!$A$5:$A$44,0)),"")</f>
        <v>0</v>
      </c>
      <c r="C243" s="59">
        <f>IFERROR(INDEX(الطلاب!$D$5:$D$44,MATCH($D243,الطلاب!$A$5:$A$44,0)),"")</f>
        <v>0</v>
      </c>
      <c r="D243" s="59">
        <v>39</v>
      </c>
      <c r="E243" s="60">
        <f>IFERROR(INDEX(الطلاب!$B$5:$B$44,MATCH($D243,الطلاب!$A$5:$A$44,0)),"")</f>
        <v>0</v>
      </c>
      <c r="F243" s="40"/>
      <c r="G243" s="40"/>
      <c r="H243" s="40"/>
      <c r="I243" s="40"/>
      <c r="J243" s="40"/>
      <c r="K243" s="36"/>
      <c r="L243" s="43">
        <f>IF(AND($A243='أفضل 5 طلاب'!$C$3,$B243=الإعدادات!$C$8,$N243=1,ISNUMBER($G243)),$G243*100000+N($H243)*100+N($I243)+(1000-ROW())/10000,0)</f>
        <v>0</v>
      </c>
      <c r="M243" s="43">
        <f>IF(AND($A243='أفضل 5 طلاب'!$C$3,$B243=الإعدادات!$C$9,$N243=1,ISNUMBER($G243)),$G243*100000+N($H243)*100+N($I243)+(1000-ROW())/10000,0)</f>
        <v>0</v>
      </c>
      <c r="N243" s="43">
        <f t="shared" si="9"/>
        <v>0</v>
      </c>
      <c r="O243" s="43" t="str">
        <f t="shared" si="11"/>
        <v/>
      </c>
      <c r="P243" s="43">
        <f t="shared" si="10"/>
        <v>0</v>
      </c>
    </row>
    <row r="244" spans="1:16" ht="15.95" thickBot="1">
      <c r="A244" s="58">
        <v>6</v>
      </c>
      <c r="B244" s="59">
        <f>IFERROR(INDEX(الطلاب!$C$5:$C$44,MATCH($D244,الطلاب!$A$5:$A$44,0)),"")</f>
        <v>0</v>
      </c>
      <c r="C244" s="59">
        <f>IFERROR(INDEX(الطلاب!$D$5:$D$44,MATCH($D244,الطلاب!$A$5:$A$44,0)),"")</f>
        <v>0</v>
      </c>
      <c r="D244" s="59">
        <v>40</v>
      </c>
      <c r="E244" s="60">
        <f>IFERROR(INDEX(الطلاب!$B$5:$B$44,MATCH($D244,الطلاب!$A$5:$A$44,0)),"")</f>
        <v>0</v>
      </c>
      <c r="F244" s="40"/>
      <c r="G244" s="40"/>
      <c r="H244" s="40"/>
      <c r="I244" s="40"/>
      <c r="J244" s="40"/>
      <c r="K244" s="36"/>
      <c r="L244" s="43">
        <f>IF(AND($A244='أفضل 5 طلاب'!$C$3,$B244=الإعدادات!$C$8,$N244=1,ISNUMBER($G244)),$G244*100000+N($H244)*100+N($I244)+(1000-ROW())/10000,0)</f>
        <v>0</v>
      </c>
      <c r="M244" s="43">
        <f>IF(AND($A244='أفضل 5 طلاب'!$C$3,$B244=الإعدادات!$C$9,$N244=1,ISNUMBER($G244)),$G244*100000+N($H244)*100+N($I244)+(1000-ROW())/10000,0)</f>
        <v>0</v>
      </c>
      <c r="N244" s="43">
        <f t="shared" si="9"/>
        <v>0</v>
      </c>
      <c r="O244" s="43" t="str">
        <f t="shared" si="11"/>
        <v/>
      </c>
      <c r="P244" s="43">
        <f t="shared" si="10"/>
        <v>0</v>
      </c>
    </row>
    <row r="245" spans="1:16">
      <c r="A245" s="44">
        <v>7</v>
      </c>
      <c r="B245" s="45" t="str">
        <f>IFERROR(INDEX(الطلاب!$C$5:$C$44,MATCH($D245,الطلاب!$A$5:$A$44,0)),"")</f>
        <v>المقرأة الأولى</v>
      </c>
      <c r="C245" s="45" t="str">
        <f>IFERROR(INDEX(الطلاب!$D$5:$D$44,MATCH($D245,الطلاب!$A$5:$A$44,0)),"")</f>
        <v xml:space="preserve">عبدالرحمن بن النعمان </v>
      </c>
      <c r="D245" s="45">
        <v>1</v>
      </c>
      <c r="E245" s="46" t="str">
        <f>IFERROR(INDEX(الطلاب!$B$5:$B$44,MATCH($D245,الطلاب!$A$5:$A$44,0)),"")</f>
        <v>غسان اليحيى</v>
      </c>
      <c r="F245" s="47"/>
      <c r="G245" s="47"/>
      <c r="H245" s="47"/>
      <c r="I245" s="47"/>
      <c r="J245" s="47"/>
      <c r="K245" s="36"/>
      <c r="L245" s="43">
        <f>IF(AND($A245='أفضل 5 طلاب'!$C$3,$B245=الإعدادات!$C$8,$N245=1,ISNUMBER($G245)),$G245*100000+N($H245)*100+N($I245)+(1000-ROW())/10000,0)</f>
        <v>0</v>
      </c>
      <c r="M245" s="43">
        <f>IF(AND($A245='أفضل 5 طلاب'!$C$3,$B245=الإعدادات!$C$9,$N245=1,ISNUMBER($G245)),$G245*100000+N($H245)*100+N($I245)+(1000-ROW())/10000,0)</f>
        <v>0</v>
      </c>
      <c r="N245" s="43">
        <f t="shared" si="9"/>
        <v>0</v>
      </c>
      <c r="O245" s="43" t="str">
        <f t="shared" si="11"/>
        <v/>
      </c>
      <c r="P245" s="43">
        <f t="shared" si="10"/>
        <v>0</v>
      </c>
    </row>
    <row r="246" spans="1:16">
      <c r="A246" s="48">
        <v>7</v>
      </c>
      <c r="B246" s="49" t="str">
        <f>IFERROR(INDEX(الطلاب!$C$5:$C$44,MATCH($D246,الطلاب!$A$5:$A$44,0)),"")</f>
        <v>المقرأة الأولى</v>
      </c>
      <c r="C246" s="49" t="str">
        <f>IFERROR(INDEX(الطلاب!$D$5:$D$44,MATCH($D246,الطلاب!$A$5:$A$44,0)),"")</f>
        <v xml:space="preserve">عبدالرحمن بن النعمان </v>
      </c>
      <c r="D246" s="49">
        <v>2</v>
      </c>
      <c r="E246" s="50" t="str">
        <f>IFERROR(INDEX(الطلاب!$B$5:$B$44,MATCH($D246,الطلاب!$A$5:$A$44,0)),"")</f>
        <v xml:space="preserve">صالح الشريف </v>
      </c>
      <c r="F246" s="40"/>
      <c r="G246" s="40"/>
      <c r="H246" s="40"/>
      <c r="I246" s="40"/>
      <c r="J246" s="40"/>
      <c r="K246" s="36"/>
      <c r="L246" s="43">
        <f>IF(AND($A246='أفضل 5 طلاب'!$C$3,$B246=الإعدادات!$C$8,$N246=1,ISNUMBER($G246)),$G246*100000+N($H246)*100+N($I246)+(1000-ROW())/10000,0)</f>
        <v>0</v>
      </c>
      <c r="M246" s="43">
        <f>IF(AND($A246='أفضل 5 طلاب'!$C$3,$B246=الإعدادات!$C$9,$N246=1,ISNUMBER($G246)),$G246*100000+N($H246)*100+N($I246)+(1000-ROW())/10000,0)</f>
        <v>0</v>
      </c>
      <c r="N246" s="43">
        <f t="shared" si="9"/>
        <v>0</v>
      </c>
      <c r="O246" s="43" t="str">
        <f t="shared" si="11"/>
        <v/>
      </c>
      <c r="P246" s="43">
        <f t="shared" si="10"/>
        <v>0</v>
      </c>
    </row>
    <row r="247" spans="1:16">
      <c r="A247" s="48">
        <v>7</v>
      </c>
      <c r="B247" s="49" t="str">
        <f>IFERROR(INDEX(الطلاب!$C$5:$C$44,MATCH($D247,الطلاب!$A$5:$A$44,0)),"")</f>
        <v>المقرأة الأولى</v>
      </c>
      <c r="C247" s="49" t="str">
        <f>IFERROR(INDEX(الطلاب!$D$5:$D$44,MATCH($D247,الطلاب!$A$5:$A$44,0)),"")</f>
        <v xml:space="preserve">عبدالرحمن بن النعمان </v>
      </c>
      <c r="D247" s="49">
        <v>3</v>
      </c>
      <c r="E247" s="50" t="str">
        <f>IFERROR(INDEX(الطلاب!$B$5:$B$44,MATCH($D247,الطلاب!$A$5:$A$44,0)),"")</f>
        <v xml:space="preserve">فهد المشيقح </v>
      </c>
      <c r="F247" s="40"/>
      <c r="G247" s="40"/>
      <c r="H247" s="40"/>
      <c r="I247" s="40"/>
      <c r="J247" s="40"/>
      <c r="K247" s="36"/>
      <c r="L247" s="43">
        <f>IF(AND($A247='أفضل 5 طلاب'!$C$3,$B247=الإعدادات!$C$8,$N247=1,ISNUMBER($G247)),$G247*100000+N($H247)*100+N($I247)+(1000-ROW())/10000,0)</f>
        <v>0</v>
      </c>
      <c r="M247" s="43">
        <f>IF(AND($A247='أفضل 5 طلاب'!$C$3,$B247=الإعدادات!$C$9,$N247=1,ISNUMBER($G247)),$G247*100000+N($H247)*100+N($I247)+(1000-ROW())/10000,0)</f>
        <v>0</v>
      </c>
      <c r="N247" s="43">
        <f t="shared" si="9"/>
        <v>0</v>
      </c>
      <c r="O247" s="43" t="str">
        <f t="shared" si="11"/>
        <v/>
      </c>
      <c r="P247" s="43">
        <f t="shared" si="10"/>
        <v>0</v>
      </c>
    </row>
    <row r="248" spans="1:16">
      <c r="A248" s="48">
        <v>7</v>
      </c>
      <c r="B248" s="49" t="str">
        <f>IFERROR(INDEX(الطلاب!$C$5:$C$44,MATCH($D248,الطلاب!$A$5:$A$44,0)),"")</f>
        <v>المقرأة الأولى</v>
      </c>
      <c r="C248" s="49" t="str">
        <f>IFERROR(INDEX(الطلاب!$D$5:$D$44,MATCH($D248,الطلاب!$A$5:$A$44,0)),"")</f>
        <v xml:space="preserve">عبدالرحمن بن النعمان </v>
      </c>
      <c r="D248" s="49">
        <v>4</v>
      </c>
      <c r="E248" s="50" t="str">
        <f>IFERROR(INDEX(الطلاب!$B$5:$B$44,MATCH($D248,الطلاب!$A$5:$A$44,0)),"")</f>
        <v>عبدالله الحفير</v>
      </c>
      <c r="F248" s="40"/>
      <c r="G248" s="40"/>
      <c r="H248" s="40"/>
      <c r="I248" s="40"/>
      <c r="J248" s="40"/>
      <c r="K248" s="36"/>
      <c r="L248" s="43">
        <f>IF(AND($A248='أفضل 5 طلاب'!$C$3,$B248=الإعدادات!$C$8,$N248=1,ISNUMBER($G248)),$G248*100000+N($H248)*100+N($I248)+(1000-ROW())/10000,0)</f>
        <v>0</v>
      </c>
      <c r="M248" s="43">
        <f>IF(AND($A248='أفضل 5 طلاب'!$C$3,$B248=الإعدادات!$C$9,$N248=1,ISNUMBER($G248)),$G248*100000+N($H248)*100+N($I248)+(1000-ROW())/10000,0)</f>
        <v>0</v>
      </c>
      <c r="N248" s="43">
        <f t="shared" si="9"/>
        <v>0</v>
      </c>
      <c r="O248" s="43" t="str">
        <f t="shared" si="11"/>
        <v/>
      </c>
      <c r="P248" s="43">
        <f t="shared" si="10"/>
        <v>0</v>
      </c>
    </row>
    <row r="249" spans="1:16">
      <c r="A249" s="48">
        <v>7</v>
      </c>
      <c r="B249" s="49" t="str">
        <f>IFERROR(INDEX(الطلاب!$C$5:$C$44,MATCH($D249,الطلاب!$A$5:$A$44,0)),"")</f>
        <v>المقرأة الأولى</v>
      </c>
      <c r="C249" s="49" t="str">
        <f>IFERROR(INDEX(الطلاب!$D$5:$D$44,MATCH($D249,الطلاب!$A$5:$A$44,0)),"")</f>
        <v xml:space="preserve">عبدالرحمن بن النعمان </v>
      </c>
      <c r="D249" s="49">
        <v>5</v>
      </c>
      <c r="E249" s="50" t="str">
        <f>IFERROR(INDEX(الطلاب!$B$5:$B$44,MATCH($D249,الطلاب!$A$5:$A$44,0)),"")</f>
        <v>زياد الدخيل الله</v>
      </c>
      <c r="F249" s="40"/>
      <c r="G249" s="40"/>
      <c r="H249" s="40"/>
      <c r="I249" s="40"/>
      <c r="J249" s="40"/>
      <c r="K249" s="36"/>
      <c r="L249" s="43">
        <f>IF(AND($A249='أفضل 5 طلاب'!$C$3,$B249=الإعدادات!$C$8,$N249=1,ISNUMBER($G249)),$G249*100000+N($H249)*100+N($I249)+(1000-ROW())/10000,0)</f>
        <v>0</v>
      </c>
      <c r="M249" s="43">
        <f>IF(AND($A249='أفضل 5 طلاب'!$C$3,$B249=الإعدادات!$C$9,$N249=1,ISNUMBER($G249)),$G249*100000+N($H249)*100+N($I249)+(1000-ROW())/10000,0)</f>
        <v>0</v>
      </c>
      <c r="N249" s="43">
        <f t="shared" si="9"/>
        <v>0</v>
      </c>
      <c r="O249" s="43" t="str">
        <f t="shared" si="11"/>
        <v/>
      </c>
      <c r="P249" s="43">
        <f t="shared" si="10"/>
        <v>0</v>
      </c>
    </row>
    <row r="250" spans="1:16">
      <c r="A250" s="48">
        <v>7</v>
      </c>
      <c r="B250" s="49" t="str">
        <f>IFERROR(INDEX(الطلاب!$C$5:$C$44,MATCH($D250,الطلاب!$A$5:$A$44,0)),"")</f>
        <v>المقرأة الأولى</v>
      </c>
      <c r="C250" s="49" t="str">
        <f>IFERROR(INDEX(الطلاب!$D$5:$D$44,MATCH($D250,الطلاب!$A$5:$A$44,0)),"")</f>
        <v xml:space="preserve">ابن رجب </v>
      </c>
      <c r="D250" s="49">
        <v>6</v>
      </c>
      <c r="E250" s="50" t="str">
        <f>IFERROR(INDEX(الطلاب!$B$5:$B$44,MATCH($D250,الطلاب!$A$5:$A$44,0)),"")</f>
        <v xml:space="preserve">عاصم الضبيعي </v>
      </c>
      <c r="F250" s="40"/>
      <c r="G250" s="40"/>
      <c r="H250" s="40"/>
      <c r="I250" s="40"/>
      <c r="J250" s="40"/>
      <c r="K250" s="36"/>
      <c r="L250" s="43">
        <f>IF(AND($A250='أفضل 5 طلاب'!$C$3,$B250=الإعدادات!$C$8,$N250=1,ISNUMBER($G250)),$G250*100000+N($H250)*100+N($I250)+(1000-ROW())/10000,0)</f>
        <v>0</v>
      </c>
      <c r="M250" s="43">
        <f>IF(AND($A250='أفضل 5 طلاب'!$C$3,$B250=الإعدادات!$C$9,$N250=1,ISNUMBER($G250)),$G250*100000+N($H250)*100+N($I250)+(1000-ROW())/10000,0)</f>
        <v>0</v>
      </c>
      <c r="N250" s="43">
        <f t="shared" si="9"/>
        <v>0</v>
      </c>
      <c r="O250" s="43" t="str">
        <f t="shared" si="11"/>
        <v/>
      </c>
      <c r="P250" s="43">
        <f t="shared" si="10"/>
        <v>0</v>
      </c>
    </row>
    <row r="251" spans="1:16">
      <c r="A251" s="48">
        <v>7</v>
      </c>
      <c r="B251" s="49" t="str">
        <f>IFERROR(INDEX(الطلاب!$C$5:$C$44,MATCH($D251,الطلاب!$A$5:$A$44,0)),"")</f>
        <v>المقرأة الأولى</v>
      </c>
      <c r="C251" s="49" t="str">
        <f>IFERROR(INDEX(الطلاب!$D$5:$D$44,MATCH($D251,الطلاب!$A$5:$A$44,0)),"")</f>
        <v xml:space="preserve">ابن رجب </v>
      </c>
      <c r="D251" s="49">
        <v>7</v>
      </c>
      <c r="E251" s="50" t="str">
        <f>IFERROR(INDEX(الطلاب!$B$5:$B$44,MATCH($D251,الطلاب!$A$5:$A$44,0)),"")</f>
        <v>محمد السعوي</v>
      </c>
      <c r="F251" s="40"/>
      <c r="G251" s="40"/>
      <c r="H251" s="40"/>
      <c r="I251" s="40"/>
      <c r="J251" s="40"/>
      <c r="K251" s="36"/>
      <c r="L251" s="43">
        <f>IF(AND($A251='أفضل 5 طلاب'!$C$3,$B251=الإعدادات!$C$8,$N251=1,ISNUMBER($G251)),$G251*100000+N($H251)*100+N($I251)+(1000-ROW())/10000,0)</f>
        <v>0</v>
      </c>
      <c r="M251" s="43">
        <f>IF(AND($A251='أفضل 5 طلاب'!$C$3,$B251=الإعدادات!$C$9,$N251=1,ISNUMBER($G251)),$G251*100000+N($H251)*100+N($I251)+(1000-ROW())/10000,0)</f>
        <v>0</v>
      </c>
      <c r="N251" s="43">
        <f t="shared" si="9"/>
        <v>0</v>
      </c>
      <c r="O251" s="43" t="str">
        <f t="shared" si="11"/>
        <v/>
      </c>
      <c r="P251" s="43">
        <f t="shared" si="10"/>
        <v>0</v>
      </c>
    </row>
    <row r="252" spans="1:16">
      <c r="A252" s="48">
        <v>7</v>
      </c>
      <c r="B252" s="49" t="str">
        <f>IFERROR(INDEX(الطلاب!$C$5:$C$44,MATCH($D252,الطلاب!$A$5:$A$44,0)),"")</f>
        <v>المقرأة الأولى</v>
      </c>
      <c r="C252" s="49" t="str">
        <f>IFERROR(INDEX(الطلاب!$D$5:$D$44,MATCH($D252,الطلاب!$A$5:$A$44,0)),"")</f>
        <v xml:space="preserve">ابن رجب </v>
      </c>
      <c r="D252" s="49">
        <v>8</v>
      </c>
      <c r="E252" s="50" t="str">
        <f>IFERROR(INDEX(الطلاب!$B$5:$B$44,MATCH($D252,الطلاب!$A$5:$A$44,0)),"")</f>
        <v>هشام المخلف</v>
      </c>
      <c r="F252" s="40"/>
      <c r="G252" s="40"/>
      <c r="H252" s="40"/>
      <c r="I252" s="40"/>
      <c r="J252" s="40"/>
      <c r="K252" s="36"/>
      <c r="L252" s="43">
        <f>IF(AND($A252='أفضل 5 طلاب'!$C$3,$B252=الإعدادات!$C$8,$N252=1,ISNUMBER($G252)),$G252*100000+N($H252)*100+N($I252)+(1000-ROW())/10000,0)</f>
        <v>0</v>
      </c>
      <c r="M252" s="43">
        <f>IF(AND($A252='أفضل 5 طلاب'!$C$3,$B252=الإعدادات!$C$9,$N252=1,ISNUMBER($G252)),$G252*100000+N($H252)*100+N($I252)+(1000-ROW())/10000,0)</f>
        <v>0</v>
      </c>
      <c r="N252" s="43">
        <f t="shared" si="9"/>
        <v>0</v>
      </c>
      <c r="O252" s="43" t="str">
        <f t="shared" si="11"/>
        <v/>
      </c>
      <c r="P252" s="43">
        <f t="shared" si="10"/>
        <v>0</v>
      </c>
    </row>
    <row r="253" spans="1:16">
      <c r="A253" s="48">
        <v>7</v>
      </c>
      <c r="B253" s="49" t="str">
        <f>IFERROR(INDEX(الطلاب!$C$5:$C$44,MATCH($D253,الطلاب!$A$5:$A$44,0)),"")</f>
        <v>المقرأة الأولى</v>
      </c>
      <c r="C253" s="49" t="str">
        <f>IFERROR(INDEX(الطلاب!$D$5:$D$44,MATCH($D253,الطلاب!$A$5:$A$44,0)),"")</f>
        <v xml:space="preserve">ابن رجب </v>
      </c>
      <c r="D253" s="49">
        <v>9</v>
      </c>
      <c r="E253" s="50" t="str">
        <f>IFERROR(INDEX(الطلاب!$B$5:$B$44,MATCH($D253,الطلاب!$A$5:$A$44,0)),"")</f>
        <v xml:space="preserve">اسامة السعدون </v>
      </c>
      <c r="F253" s="40"/>
      <c r="G253" s="40"/>
      <c r="H253" s="40"/>
      <c r="I253" s="40"/>
      <c r="J253" s="40"/>
      <c r="K253" s="36"/>
      <c r="L253" s="43">
        <f>IF(AND($A253='أفضل 5 طلاب'!$C$3,$B253=الإعدادات!$C$8,$N253=1,ISNUMBER($G253)),$G253*100000+N($H253)*100+N($I253)+(1000-ROW())/10000,0)</f>
        <v>0</v>
      </c>
      <c r="M253" s="43">
        <f>IF(AND($A253='أفضل 5 طلاب'!$C$3,$B253=الإعدادات!$C$9,$N253=1,ISNUMBER($G253)),$G253*100000+N($H253)*100+N($I253)+(1000-ROW())/10000,0)</f>
        <v>0</v>
      </c>
      <c r="N253" s="43">
        <f t="shared" si="9"/>
        <v>0</v>
      </c>
      <c r="O253" s="43" t="str">
        <f t="shared" si="11"/>
        <v/>
      </c>
      <c r="P253" s="43">
        <f t="shared" si="10"/>
        <v>0</v>
      </c>
    </row>
    <row r="254" spans="1:16">
      <c r="A254" s="48">
        <v>7</v>
      </c>
      <c r="B254" s="49" t="str">
        <f>IFERROR(INDEX(الطلاب!$C$5:$C$44,MATCH($D254,الطلاب!$A$5:$A$44,0)),"")</f>
        <v>المقرأة الأولى</v>
      </c>
      <c r="C254" s="49" t="str">
        <f>IFERROR(INDEX(الطلاب!$D$5:$D$44,MATCH($D254,الطلاب!$A$5:$A$44,0)),"")</f>
        <v xml:space="preserve">حسان بن ثابت </v>
      </c>
      <c r="D254" s="49">
        <v>10</v>
      </c>
      <c r="E254" s="50" t="str">
        <f>IFERROR(INDEX(الطلاب!$B$5:$B$44,MATCH($D254,الطلاب!$A$5:$A$44,0)),"")</f>
        <v xml:space="preserve">محمد الثنيان </v>
      </c>
      <c r="F254" s="40"/>
      <c r="G254" s="40"/>
      <c r="H254" s="40"/>
      <c r="I254" s="40"/>
      <c r="J254" s="40"/>
      <c r="K254" s="36"/>
      <c r="L254" s="43">
        <f>IF(AND($A254='أفضل 5 طلاب'!$C$3,$B254=الإعدادات!$C$8,$N254=1,ISNUMBER($G254)),$G254*100000+N($H254)*100+N($I254)+(1000-ROW())/10000,0)</f>
        <v>0</v>
      </c>
      <c r="M254" s="43">
        <f>IF(AND($A254='أفضل 5 طلاب'!$C$3,$B254=الإعدادات!$C$9,$N254=1,ISNUMBER($G254)),$G254*100000+N($H254)*100+N($I254)+(1000-ROW())/10000,0)</f>
        <v>0</v>
      </c>
      <c r="N254" s="43">
        <f t="shared" si="9"/>
        <v>0</v>
      </c>
      <c r="O254" s="43" t="str">
        <f t="shared" si="11"/>
        <v/>
      </c>
      <c r="P254" s="43">
        <f t="shared" si="10"/>
        <v>0</v>
      </c>
    </row>
    <row r="255" spans="1:16">
      <c r="A255" s="48">
        <v>7</v>
      </c>
      <c r="B255" s="49" t="str">
        <f>IFERROR(INDEX(الطلاب!$C$5:$C$44,MATCH($D255,الطلاب!$A$5:$A$44,0)),"")</f>
        <v>المقرأة الأولى</v>
      </c>
      <c r="C255" s="49" t="str">
        <f>IFERROR(INDEX(الطلاب!$D$5:$D$44,MATCH($D255,الطلاب!$A$5:$A$44,0)),"")</f>
        <v xml:space="preserve">حسان بن ثابت </v>
      </c>
      <c r="D255" s="49">
        <v>11</v>
      </c>
      <c r="E255" s="50" t="str">
        <f>IFERROR(INDEX(الطلاب!$B$5:$B$44,MATCH($D255,الطلاب!$A$5:$A$44,0)),"")</f>
        <v xml:space="preserve">كنان الجريفاني </v>
      </c>
      <c r="F255" s="40"/>
      <c r="G255" s="40"/>
      <c r="H255" s="40"/>
      <c r="I255" s="40"/>
      <c r="J255" s="40"/>
      <c r="K255" s="36"/>
      <c r="L255" s="43">
        <f>IF(AND($A255='أفضل 5 طلاب'!$C$3,$B255=الإعدادات!$C$8,$N255=1,ISNUMBER($G255)),$G255*100000+N($H255)*100+N($I255)+(1000-ROW())/10000,0)</f>
        <v>0</v>
      </c>
      <c r="M255" s="43">
        <f>IF(AND($A255='أفضل 5 طلاب'!$C$3,$B255=الإعدادات!$C$9,$N255=1,ISNUMBER($G255)),$G255*100000+N($H255)*100+N($I255)+(1000-ROW())/10000,0)</f>
        <v>0</v>
      </c>
      <c r="N255" s="43">
        <f t="shared" si="9"/>
        <v>0</v>
      </c>
      <c r="O255" s="43" t="str">
        <f t="shared" si="11"/>
        <v/>
      </c>
      <c r="P255" s="43">
        <f t="shared" si="10"/>
        <v>0</v>
      </c>
    </row>
    <row r="256" spans="1:16">
      <c r="A256" s="48">
        <v>7</v>
      </c>
      <c r="B256" s="49" t="str">
        <f>IFERROR(INDEX(الطلاب!$C$5:$C$44,MATCH($D256,الطلاب!$A$5:$A$44,0)),"")</f>
        <v>المقرأة الأولى</v>
      </c>
      <c r="C256" s="49" t="str">
        <f>IFERROR(INDEX(الطلاب!$D$5:$D$44,MATCH($D256,الطلاب!$A$5:$A$44,0)),"")</f>
        <v xml:space="preserve">حسان بن ثابت </v>
      </c>
      <c r="D256" s="49">
        <v>12</v>
      </c>
      <c r="E256" s="50" t="str">
        <f>IFERROR(INDEX(الطلاب!$B$5:$B$44,MATCH($D256,الطلاب!$A$5:$A$44,0)),"")</f>
        <v xml:space="preserve">عبدالمجيد الربعي </v>
      </c>
      <c r="F256" s="40"/>
      <c r="G256" s="40"/>
      <c r="H256" s="40"/>
      <c r="I256" s="40"/>
      <c r="J256" s="40"/>
      <c r="K256" s="36"/>
      <c r="L256" s="43">
        <f>IF(AND($A256='أفضل 5 طلاب'!$C$3,$B256=الإعدادات!$C$8,$N256=1,ISNUMBER($G256)),$G256*100000+N($H256)*100+N($I256)+(1000-ROW())/10000,0)</f>
        <v>0</v>
      </c>
      <c r="M256" s="43">
        <f>IF(AND($A256='أفضل 5 طلاب'!$C$3,$B256=الإعدادات!$C$9,$N256=1,ISNUMBER($G256)),$G256*100000+N($H256)*100+N($I256)+(1000-ROW())/10000,0)</f>
        <v>0</v>
      </c>
      <c r="N256" s="43">
        <f t="shared" si="9"/>
        <v>0</v>
      </c>
      <c r="O256" s="43" t="str">
        <f t="shared" si="11"/>
        <v/>
      </c>
      <c r="P256" s="43">
        <f t="shared" si="10"/>
        <v>0</v>
      </c>
    </row>
    <row r="257" spans="1:16">
      <c r="A257" s="48">
        <v>7</v>
      </c>
      <c r="B257" s="49" t="str">
        <f>IFERROR(INDEX(الطلاب!$C$5:$C$44,MATCH($D257,الطلاب!$A$5:$A$44,0)),"")</f>
        <v>المقرأة الأولى</v>
      </c>
      <c r="C257" s="49" t="str">
        <f>IFERROR(INDEX(الطلاب!$D$5:$D$44,MATCH($D257,الطلاب!$A$5:$A$44,0)),"")</f>
        <v xml:space="preserve">حسان بن ثابت </v>
      </c>
      <c r="D257" s="49">
        <v>13</v>
      </c>
      <c r="E257" s="50" t="str">
        <f>IFERROR(INDEX(الطلاب!$B$5:$B$44,MATCH($D257,الطلاب!$A$5:$A$44,0)),"")</f>
        <v xml:space="preserve">عبدالله التويجري </v>
      </c>
      <c r="F257" s="40"/>
      <c r="G257" s="40"/>
      <c r="H257" s="40"/>
      <c r="I257" s="40"/>
      <c r="J257" s="40"/>
      <c r="K257" s="36"/>
      <c r="L257" s="43">
        <f>IF(AND($A257='أفضل 5 طلاب'!$C$3,$B257=الإعدادات!$C$8,$N257=1,ISNUMBER($G257)),$G257*100000+N($H257)*100+N($I257)+(1000-ROW())/10000,0)</f>
        <v>0</v>
      </c>
      <c r="M257" s="43">
        <f>IF(AND($A257='أفضل 5 طلاب'!$C$3,$B257=الإعدادات!$C$9,$N257=1,ISNUMBER($G257)),$G257*100000+N($H257)*100+N($I257)+(1000-ROW())/10000,0)</f>
        <v>0</v>
      </c>
      <c r="N257" s="43">
        <f t="shared" si="9"/>
        <v>0</v>
      </c>
      <c r="O257" s="43" t="str">
        <f t="shared" si="11"/>
        <v/>
      </c>
      <c r="P257" s="43">
        <f t="shared" si="10"/>
        <v>0</v>
      </c>
    </row>
    <row r="258" spans="1:16">
      <c r="A258" s="48">
        <v>7</v>
      </c>
      <c r="B258" s="49" t="str">
        <f>IFERROR(INDEX(الطلاب!$C$5:$C$44,MATCH($D258,الطلاب!$A$5:$A$44,0)),"")</f>
        <v>المقرأة الأولى</v>
      </c>
      <c r="C258" s="49" t="str">
        <f>IFERROR(INDEX(الطلاب!$D$5:$D$44,MATCH($D258,الطلاب!$A$5:$A$44,0)),"")</f>
        <v xml:space="preserve">حسان بن ثابت </v>
      </c>
      <c r="D258" s="49">
        <v>14</v>
      </c>
      <c r="E258" s="50" t="str">
        <f>IFERROR(INDEX(الطلاب!$B$5:$B$44,MATCH($D258,الطلاب!$A$5:$A$44,0)),"")</f>
        <v xml:space="preserve">حسام التويجري </v>
      </c>
      <c r="F258" s="40"/>
      <c r="G258" s="40"/>
      <c r="H258" s="40"/>
      <c r="I258" s="40"/>
      <c r="J258" s="40"/>
      <c r="K258" s="36"/>
      <c r="L258" s="43">
        <f>IF(AND($A258='أفضل 5 طلاب'!$C$3,$B258=الإعدادات!$C$8,$N258=1,ISNUMBER($G258)),$G258*100000+N($H258)*100+N($I258)+(1000-ROW())/10000,0)</f>
        <v>0</v>
      </c>
      <c r="M258" s="43">
        <f>IF(AND($A258='أفضل 5 طلاب'!$C$3,$B258=الإعدادات!$C$9,$N258=1,ISNUMBER($G258)),$G258*100000+N($H258)*100+N($I258)+(1000-ROW())/10000,0)</f>
        <v>0</v>
      </c>
      <c r="N258" s="43">
        <f t="shared" si="9"/>
        <v>0</v>
      </c>
      <c r="O258" s="43" t="str">
        <f t="shared" si="11"/>
        <v/>
      </c>
      <c r="P258" s="43">
        <f t="shared" si="10"/>
        <v>0</v>
      </c>
    </row>
    <row r="259" spans="1:16">
      <c r="A259" s="48">
        <v>7</v>
      </c>
      <c r="B259" s="49" t="str">
        <f>IFERROR(INDEX(الطلاب!$C$5:$C$44,MATCH($D259,الطلاب!$A$5:$A$44,0)),"")</f>
        <v>المقرأة الأولى</v>
      </c>
      <c r="C259" s="49" t="str">
        <f>IFERROR(INDEX(الطلاب!$D$5:$D$44,MATCH($D259,الطلاب!$A$5:$A$44,0)),"")</f>
        <v xml:space="preserve">حسان بن ثابت </v>
      </c>
      <c r="D259" s="49">
        <v>15</v>
      </c>
      <c r="E259" s="50" t="str">
        <f>IFERROR(INDEX(الطلاب!$B$5:$B$44,MATCH($D259,الطلاب!$A$5:$A$44,0)),"")</f>
        <v xml:space="preserve">عبدالرحمن البريدي </v>
      </c>
      <c r="F259" s="40"/>
      <c r="G259" s="40"/>
      <c r="H259" s="40"/>
      <c r="I259" s="40"/>
      <c r="J259" s="40"/>
      <c r="K259" s="36"/>
      <c r="L259" s="43">
        <f>IF(AND($A259='أفضل 5 طلاب'!$C$3,$B259=الإعدادات!$C$8,$N259=1,ISNUMBER($G259)),$G259*100000+N($H259)*100+N($I259)+(1000-ROW())/10000,0)</f>
        <v>0</v>
      </c>
      <c r="M259" s="43">
        <f>IF(AND($A259='أفضل 5 طلاب'!$C$3,$B259=الإعدادات!$C$9,$N259=1,ISNUMBER($G259)),$G259*100000+N($H259)*100+N($I259)+(1000-ROW())/10000,0)</f>
        <v>0</v>
      </c>
      <c r="N259" s="43">
        <f t="shared" si="9"/>
        <v>0</v>
      </c>
      <c r="O259" s="43" t="str">
        <f t="shared" si="11"/>
        <v/>
      </c>
      <c r="P259" s="43">
        <f t="shared" si="10"/>
        <v>0</v>
      </c>
    </row>
    <row r="260" spans="1:16">
      <c r="A260" s="48">
        <v>7</v>
      </c>
      <c r="B260" s="49" t="str">
        <f>IFERROR(INDEX(الطلاب!$C$5:$C$44,MATCH($D260,الطلاب!$A$5:$A$44,0)),"")</f>
        <v>المقرأة الأولى</v>
      </c>
      <c r="C260" s="49" t="str">
        <f>IFERROR(INDEX(الطلاب!$D$5:$D$44,MATCH($D260,الطلاب!$A$5:$A$44,0)),"")</f>
        <v xml:space="preserve">حسان بن ثابت </v>
      </c>
      <c r="D260" s="49">
        <v>16</v>
      </c>
      <c r="E260" s="50" t="str">
        <f>IFERROR(INDEX(الطلاب!$B$5:$B$44,MATCH($D260,الطلاب!$A$5:$A$44,0)),"")</f>
        <v>عبدالرحمن بازرعة</v>
      </c>
      <c r="F260" s="40"/>
      <c r="G260" s="40"/>
      <c r="H260" s="40"/>
      <c r="I260" s="40"/>
      <c r="J260" s="40"/>
      <c r="K260" s="36"/>
      <c r="L260" s="43">
        <f>IF(AND($A260='أفضل 5 طلاب'!$C$3,$B260=الإعدادات!$C$8,$N260=1,ISNUMBER($G260)),$G260*100000+N($H260)*100+N($I260)+(1000-ROW())/10000,0)</f>
        <v>0</v>
      </c>
      <c r="M260" s="43">
        <f>IF(AND($A260='أفضل 5 طلاب'!$C$3,$B260=الإعدادات!$C$9,$N260=1,ISNUMBER($G260)),$G260*100000+N($H260)*100+N($I260)+(1000-ROW())/10000,0)</f>
        <v>0</v>
      </c>
      <c r="N260" s="43">
        <f t="shared" si="9"/>
        <v>0</v>
      </c>
      <c r="O260" s="43" t="str">
        <f t="shared" si="11"/>
        <v/>
      </c>
      <c r="P260" s="43">
        <f t="shared" si="10"/>
        <v>0</v>
      </c>
    </row>
    <row r="261" spans="1:16">
      <c r="A261" s="48">
        <v>7</v>
      </c>
      <c r="B261" s="49" t="str">
        <f>IFERROR(INDEX(الطلاب!$C$5:$C$44,MATCH($D261,الطلاب!$A$5:$A$44,0)),"")</f>
        <v>المقرأة الأولى</v>
      </c>
      <c r="C261" s="49" t="str">
        <f>IFERROR(INDEX(الطلاب!$D$5:$D$44,MATCH($D261,الطلاب!$A$5:$A$44,0)),"")</f>
        <v xml:space="preserve">حسان بن ثابت </v>
      </c>
      <c r="D261" s="49">
        <v>17</v>
      </c>
      <c r="E261" s="50" t="str">
        <f>IFERROR(INDEX(الطلاب!$B$5:$B$44,MATCH($D261,الطلاب!$A$5:$A$44,0)),"")</f>
        <v xml:space="preserve">عبدالله الضحيان </v>
      </c>
      <c r="F261" s="40"/>
      <c r="G261" s="40"/>
      <c r="H261" s="40"/>
      <c r="I261" s="40"/>
      <c r="J261" s="40"/>
      <c r="K261" s="36"/>
      <c r="L261" s="43">
        <f>IF(AND($A261='أفضل 5 طلاب'!$C$3,$B261=الإعدادات!$C$8,$N261=1,ISNUMBER($G261)),$G261*100000+N($H261)*100+N($I261)+(1000-ROW())/10000,0)</f>
        <v>0</v>
      </c>
      <c r="M261" s="43">
        <f>IF(AND($A261='أفضل 5 طلاب'!$C$3,$B261=الإعدادات!$C$9,$N261=1,ISNUMBER($G261)),$G261*100000+N($H261)*100+N($I261)+(1000-ROW())/10000,0)</f>
        <v>0</v>
      </c>
      <c r="N261" s="43">
        <f t="shared" ref="N261:N324" si="12">IF(OR($F261="حاضر",$F261="متأخر"),1,0)</f>
        <v>0</v>
      </c>
      <c r="O261" s="43" t="str">
        <f t="shared" si="11"/>
        <v/>
      </c>
      <c r="P261" s="43">
        <f t="shared" ref="P261:P324" si="13">IF(ISNUMBER($O261),1,0)</f>
        <v>0</v>
      </c>
    </row>
    <row r="262" spans="1:16">
      <c r="A262" s="48">
        <v>7</v>
      </c>
      <c r="B262" s="49" t="str">
        <f>IFERROR(INDEX(الطلاب!$C$5:$C$44,MATCH($D262,الطلاب!$A$5:$A$44,0)),"")</f>
        <v>المقرأة الأولى</v>
      </c>
      <c r="C262" s="49" t="str">
        <f>IFERROR(INDEX(الطلاب!$D$5:$D$44,MATCH($D262,الطلاب!$A$5:$A$44,0)),"")</f>
        <v xml:space="preserve">حسان بن ثابت </v>
      </c>
      <c r="D262" s="49">
        <v>18</v>
      </c>
      <c r="E262" s="50" t="str">
        <f>IFERROR(INDEX(الطلاب!$B$5:$B$44,MATCH($D262,الطلاب!$A$5:$A$44,0)),"")</f>
        <v xml:space="preserve">فيصل الدخيل </v>
      </c>
      <c r="F262" s="40"/>
      <c r="G262" s="40"/>
      <c r="H262" s="40"/>
      <c r="I262" s="40"/>
      <c r="J262" s="40"/>
      <c r="K262" s="36"/>
      <c r="L262" s="43">
        <f>IF(AND($A262='أفضل 5 طلاب'!$C$3,$B262=الإعدادات!$C$8,$N262=1,ISNUMBER($G262)),$G262*100000+N($H262)*100+N($I262)+(1000-ROW())/10000,0)</f>
        <v>0</v>
      </c>
      <c r="M262" s="43">
        <f>IF(AND($A262='أفضل 5 طلاب'!$C$3,$B262=الإعدادات!$C$9,$N262=1,ISNUMBER($G262)),$G262*100000+N($H262)*100+N($I262)+(1000-ROW())/10000,0)</f>
        <v>0</v>
      </c>
      <c r="N262" s="43">
        <f t="shared" si="12"/>
        <v>0</v>
      </c>
      <c r="O262" s="43" t="str">
        <f t="shared" ref="O262:O325" si="14">IF(OR($N262=1,$F262="معتذر",$F262="غائب"),IF(ISNUMBER($G262),$G262,IF($N262=1,"",0)),"")</f>
        <v/>
      </c>
      <c r="P262" s="43">
        <f t="shared" si="13"/>
        <v>0</v>
      </c>
    </row>
    <row r="263" spans="1:16">
      <c r="A263" s="48">
        <v>7</v>
      </c>
      <c r="B263" s="49" t="str">
        <f>IFERROR(INDEX(الطلاب!$C$5:$C$44,MATCH($D263,الطلاب!$A$5:$A$44,0)),"")</f>
        <v>المقرأة الأولى</v>
      </c>
      <c r="C263" s="49" t="str">
        <f>IFERROR(INDEX(الطلاب!$D$5:$D$44,MATCH($D263,الطلاب!$A$5:$A$44,0)),"")</f>
        <v xml:space="preserve">حسان بن ثابت </v>
      </c>
      <c r="D263" s="49">
        <v>19</v>
      </c>
      <c r="E263" s="50" t="str">
        <f>IFERROR(INDEX(الطلاب!$B$5:$B$44,MATCH($D263,الطلاب!$A$5:$A$44,0)),"")</f>
        <v xml:space="preserve">سليمان المحيميد </v>
      </c>
      <c r="F263" s="40"/>
      <c r="G263" s="40"/>
      <c r="H263" s="40"/>
      <c r="I263" s="40"/>
      <c r="J263" s="40"/>
      <c r="K263" s="36"/>
      <c r="L263" s="43">
        <f>IF(AND($A263='أفضل 5 طلاب'!$C$3,$B263=الإعدادات!$C$8,$N263=1,ISNUMBER($G263)),$G263*100000+N($H263)*100+N($I263)+(1000-ROW())/10000,0)</f>
        <v>0</v>
      </c>
      <c r="M263" s="43">
        <f>IF(AND($A263='أفضل 5 طلاب'!$C$3,$B263=الإعدادات!$C$9,$N263=1,ISNUMBER($G263)),$G263*100000+N($H263)*100+N($I263)+(1000-ROW())/10000,0)</f>
        <v>0</v>
      </c>
      <c r="N263" s="43">
        <f t="shared" si="12"/>
        <v>0</v>
      </c>
      <c r="O263" s="43" t="str">
        <f t="shared" si="14"/>
        <v/>
      </c>
      <c r="P263" s="43">
        <f t="shared" si="13"/>
        <v>0</v>
      </c>
    </row>
    <row r="264" spans="1:16">
      <c r="A264" s="48">
        <v>7</v>
      </c>
      <c r="B264" s="49" t="str">
        <f>IFERROR(INDEX(الطلاب!$C$5:$C$44,MATCH($D264,الطلاب!$A$5:$A$44,0)),"")</f>
        <v>المقرأة الثانية</v>
      </c>
      <c r="C264" s="49" t="str">
        <f>IFERROR(INDEX(الطلاب!$D$5:$D$44,MATCH($D264,الطلاب!$A$5:$A$44,0)),"")</f>
        <v xml:space="preserve">ابن رجب </v>
      </c>
      <c r="D264" s="49">
        <v>20</v>
      </c>
      <c r="E264" s="50" t="str">
        <f>IFERROR(INDEX(الطلاب!$B$5:$B$44,MATCH($D264,الطلاب!$A$5:$A$44,0)),"")</f>
        <v xml:space="preserve">اصيل التويجري </v>
      </c>
      <c r="F264" s="40"/>
      <c r="G264" s="40"/>
      <c r="H264" s="40"/>
      <c r="I264" s="40"/>
      <c r="J264" s="40"/>
      <c r="K264" s="36"/>
      <c r="L264" s="43">
        <f>IF(AND($A264='أفضل 5 طلاب'!$C$3,$B264=الإعدادات!$C$8,$N264=1,ISNUMBER($G264)),$G264*100000+N($H264)*100+N($I264)+(1000-ROW())/10000,0)</f>
        <v>0</v>
      </c>
      <c r="M264" s="43">
        <f>IF(AND($A264='أفضل 5 طلاب'!$C$3,$B264=الإعدادات!$C$9,$N264=1,ISNUMBER($G264)),$G264*100000+N($H264)*100+N($I264)+(1000-ROW())/10000,0)</f>
        <v>0</v>
      </c>
      <c r="N264" s="43">
        <f t="shared" si="12"/>
        <v>0</v>
      </c>
      <c r="O264" s="43" t="str">
        <f t="shared" si="14"/>
        <v/>
      </c>
      <c r="P264" s="43">
        <f t="shared" si="13"/>
        <v>0</v>
      </c>
    </row>
    <row r="265" spans="1:16">
      <c r="A265" s="48">
        <v>7</v>
      </c>
      <c r="B265" s="49" t="str">
        <f>IFERROR(INDEX(الطلاب!$C$5:$C$44,MATCH($D265,الطلاب!$A$5:$A$44,0)),"")</f>
        <v>المقرأة الثانية</v>
      </c>
      <c r="C265" s="49" t="str">
        <f>IFERROR(INDEX(الطلاب!$D$5:$D$44,MATCH($D265,الطلاب!$A$5:$A$44,0)),"")</f>
        <v xml:space="preserve">ابن رجب </v>
      </c>
      <c r="D265" s="49">
        <v>21</v>
      </c>
      <c r="E265" s="50" t="str">
        <f>IFERROR(INDEX(الطلاب!$B$5:$B$44,MATCH($D265,الطلاب!$A$5:$A$44,0)),"")</f>
        <v xml:space="preserve">جواد الرفيعي </v>
      </c>
      <c r="F265" s="40"/>
      <c r="G265" s="40"/>
      <c r="H265" s="40"/>
      <c r="I265" s="40"/>
      <c r="J265" s="40"/>
      <c r="K265" s="36"/>
      <c r="L265" s="43">
        <f>IF(AND($A265='أفضل 5 طلاب'!$C$3,$B265=الإعدادات!$C$8,$N265=1,ISNUMBER($G265)),$G265*100000+N($H265)*100+N($I265)+(1000-ROW())/10000,0)</f>
        <v>0</v>
      </c>
      <c r="M265" s="43">
        <f>IF(AND($A265='أفضل 5 طلاب'!$C$3,$B265=الإعدادات!$C$9,$N265=1,ISNUMBER($G265)),$G265*100000+N($H265)*100+N($I265)+(1000-ROW())/10000,0)</f>
        <v>0</v>
      </c>
      <c r="N265" s="43">
        <f t="shared" si="12"/>
        <v>0</v>
      </c>
      <c r="O265" s="43" t="str">
        <f t="shared" si="14"/>
        <v/>
      </c>
      <c r="P265" s="43">
        <f t="shared" si="13"/>
        <v>0</v>
      </c>
    </row>
    <row r="266" spans="1:16">
      <c r="A266" s="48">
        <v>7</v>
      </c>
      <c r="B266" s="49" t="str">
        <f>IFERROR(INDEX(الطلاب!$C$5:$C$44,MATCH($D266,الطلاب!$A$5:$A$44,0)),"")</f>
        <v>المقرأة الثانية</v>
      </c>
      <c r="C266" s="49" t="str">
        <f>IFERROR(INDEX(الطلاب!$D$5:$D$44,MATCH($D266,الطلاب!$A$5:$A$44,0)),"")</f>
        <v xml:space="preserve">ابن رجب </v>
      </c>
      <c r="D266" s="49">
        <v>22</v>
      </c>
      <c r="E266" s="50" t="str">
        <f>IFERROR(INDEX(الطلاب!$B$5:$B$44,MATCH($D266,الطلاب!$A$5:$A$44,0)),"")</f>
        <v xml:space="preserve">سفيان السبيعي </v>
      </c>
      <c r="F266" s="40"/>
      <c r="G266" s="40"/>
      <c r="H266" s="40"/>
      <c r="I266" s="40"/>
      <c r="J266" s="40"/>
      <c r="K266" s="36"/>
      <c r="L266" s="43">
        <f>IF(AND($A266='أفضل 5 طلاب'!$C$3,$B266=الإعدادات!$C$8,$N266=1,ISNUMBER($G266)),$G266*100000+N($H266)*100+N($I266)+(1000-ROW())/10000,0)</f>
        <v>0</v>
      </c>
      <c r="M266" s="43">
        <f>IF(AND($A266='أفضل 5 طلاب'!$C$3,$B266=الإعدادات!$C$9,$N266=1,ISNUMBER($G266)),$G266*100000+N($H266)*100+N($I266)+(1000-ROW())/10000,0)</f>
        <v>0</v>
      </c>
      <c r="N266" s="43">
        <f t="shared" si="12"/>
        <v>0</v>
      </c>
      <c r="O266" s="43" t="str">
        <f t="shared" si="14"/>
        <v/>
      </c>
      <c r="P266" s="43">
        <f t="shared" si="13"/>
        <v>0</v>
      </c>
    </row>
    <row r="267" spans="1:16">
      <c r="A267" s="48">
        <v>7</v>
      </c>
      <c r="B267" s="49" t="str">
        <f>IFERROR(INDEX(الطلاب!$C$5:$C$44,MATCH($D267,الطلاب!$A$5:$A$44,0)),"")</f>
        <v>المقرأة الثانية</v>
      </c>
      <c r="C267" s="49" t="str">
        <f>IFERROR(INDEX(الطلاب!$D$5:$D$44,MATCH($D267,الطلاب!$A$5:$A$44,0)),"")</f>
        <v xml:space="preserve">ابن رجب </v>
      </c>
      <c r="D267" s="49">
        <v>23</v>
      </c>
      <c r="E267" s="50" t="str">
        <f>IFERROR(INDEX(الطلاب!$B$5:$B$44,MATCH($D267,الطلاب!$A$5:$A$44,0)),"")</f>
        <v xml:space="preserve">عمار الفضل </v>
      </c>
      <c r="F267" s="40"/>
      <c r="G267" s="40"/>
      <c r="H267" s="40"/>
      <c r="I267" s="40"/>
      <c r="J267" s="40"/>
      <c r="K267" s="36"/>
      <c r="L267" s="43">
        <f>IF(AND($A267='أفضل 5 طلاب'!$C$3,$B267=الإعدادات!$C$8,$N267=1,ISNUMBER($G267)),$G267*100000+N($H267)*100+N($I267)+(1000-ROW())/10000,0)</f>
        <v>0</v>
      </c>
      <c r="M267" s="43">
        <f>IF(AND($A267='أفضل 5 طلاب'!$C$3,$B267=الإعدادات!$C$9,$N267=1,ISNUMBER($G267)),$G267*100000+N($H267)*100+N($I267)+(1000-ROW())/10000,0)</f>
        <v>0</v>
      </c>
      <c r="N267" s="43">
        <f t="shared" si="12"/>
        <v>0</v>
      </c>
      <c r="O267" s="43" t="str">
        <f t="shared" si="14"/>
        <v/>
      </c>
      <c r="P267" s="43">
        <f t="shared" si="13"/>
        <v>0</v>
      </c>
    </row>
    <row r="268" spans="1:16">
      <c r="A268" s="48">
        <v>7</v>
      </c>
      <c r="B268" s="49" t="str">
        <f>IFERROR(INDEX(الطلاب!$C$5:$C$44,MATCH($D268,الطلاب!$A$5:$A$44,0)),"")</f>
        <v>المقرأة الثانية</v>
      </c>
      <c r="C268" s="49" t="str">
        <f>IFERROR(INDEX(الطلاب!$D$5:$D$44,MATCH($D268,الطلاب!$A$5:$A$44,0)),"")</f>
        <v xml:space="preserve">ابن رجب </v>
      </c>
      <c r="D268" s="49">
        <v>24</v>
      </c>
      <c r="E268" s="50" t="str">
        <f>IFERROR(INDEX(الطلاب!$B$5:$B$44,MATCH($D268,الطلاب!$A$5:$A$44,0)),"")</f>
        <v xml:space="preserve">مروان المهوس </v>
      </c>
      <c r="F268" s="40"/>
      <c r="G268" s="40"/>
      <c r="H268" s="40"/>
      <c r="I268" s="40"/>
      <c r="J268" s="40"/>
      <c r="K268" s="36"/>
      <c r="L268" s="43">
        <f>IF(AND($A268='أفضل 5 طلاب'!$C$3,$B268=الإعدادات!$C$8,$N268=1,ISNUMBER($G268)),$G268*100000+N($H268)*100+N($I268)+(1000-ROW())/10000,0)</f>
        <v>0</v>
      </c>
      <c r="M268" s="43">
        <f>IF(AND($A268='أفضل 5 طلاب'!$C$3,$B268=الإعدادات!$C$9,$N268=1,ISNUMBER($G268)),$G268*100000+N($H268)*100+N($I268)+(1000-ROW())/10000,0)</f>
        <v>0</v>
      </c>
      <c r="N268" s="43">
        <f t="shared" si="12"/>
        <v>0</v>
      </c>
      <c r="O268" s="43" t="str">
        <f t="shared" si="14"/>
        <v/>
      </c>
      <c r="P268" s="43">
        <f t="shared" si="13"/>
        <v>0</v>
      </c>
    </row>
    <row r="269" spans="1:16">
      <c r="A269" s="48">
        <v>7</v>
      </c>
      <c r="B269" s="49" t="str">
        <f>IFERROR(INDEX(الطلاب!$C$5:$C$44,MATCH($D269,الطلاب!$A$5:$A$44,0)),"")</f>
        <v>المقرأة الثانية</v>
      </c>
      <c r="C269" s="49" t="str">
        <f>IFERROR(INDEX(الطلاب!$D$5:$D$44,MATCH($D269,الطلاب!$A$5:$A$44,0)),"")</f>
        <v xml:space="preserve">ابن رجب </v>
      </c>
      <c r="D269" s="49">
        <v>25</v>
      </c>
      <c r="E269" s="50" t="str">
        <f>IFERROR(INDEX(الطلاب!$B$5:$B$44,MATCH($D269,الطلاب!$A$5:$A$44,0)),"")</f>
        <v>جهاد الجدعان</v>
      </c>
      <c r="F269" s="40"/>
      <c r="G269" s="40"/>
      <c r="H269" s="40"/>
      <c r="I269" s="40"/>
      <c r="J269" s="40"/>
      <c r="K269" s="36"/>
      <c r="L269" s="43">
        <f>IF(AND($A269='أفضل 5 طلاب'!$C$3,$B269=الإعدادات!$C$8,$N269=1,ISNUMBER($G269)),$G269*100000+N($H269)*100+N($I269)+(1000-ROW())/10000,0)</f>
        <v>0</v>
      </c>
      <c r="M269" s="43">
        <f>IF(AND($A269='أفضل 5 طلاب'!$C$3,$B269=الإعدادات!$C$9,$N269=1,ISNUMBER($G269)),$G269*100000+N($H269)*100+N($I269)+(1000-ROW())/10000,0)</f>
        <v>0</v>
      </c>
      <c r="N269" s="43">
        <f t="shared" si="12"/>
        <v>0</v>
      </c>
      <c r="O269" s="43" t="str">
        <f t="shared" si="14"/>
        <v/>
      </c>
      <c r="P269" s="43">
        <f t="shared" si="13"/>
        <v>0</v>
      </c>
    </row>
    <row r="270" spans="1:16">
      <c r="A270" s="48">
        <v>7</v>
      </c>
      <c r="B270" s="49" t="str">
        <f>IFERROR(INDEX(الطلاب!$C$5:$C$44,MATCH($D270,الطلاب!$A$5:$A$44,0)),"")</f>
        <v>المقرأة الثانية</v>
      </c>
      <c r="C270" s="49" t="str">
        <f>IFERROR(INDEX(الطلاب!$D$5:$D$44,MATCH($D270,الطلاب!$A$5:$A$44,0)),"")</f>
        <v xml:space="preserve">ابن رجب </v>
      </c>
      <c r="D270" s="49">
        <v>26</v>
      </c>
      <c r="E270" s="50" t="str">
        <f>IFERROR(INDEX(الطلاب!$B$5:$B$44,MATCH($D270,الطلاب!$A$5:$A$44,0)),"")</f>
        <v>صلاح مسعد</v>
      </c>
      <c r="F270" s="40"/>
      <c r="G270" s="40"/>
      <c r="H270" s="40"/>
      <c r="I270" s="40"/>
      <c r="J270" s="40"/>
      <c r="K270" s="36"/>
      <c r="L270" s="43">
        <f>IF(AND($A270='أفضل 5 طلاب'!$C$3,$B270=الإعدادات!$C$8,$N270=1,ISNUMBER($G270)),$G270*100000+N($H270)*100+N($I270)+(1000-ROW())/10000,0)</f>
        <v>0</v>
      </c>
      <c r="M270" s="43">
        <f>IF(AND($A270='أفضل 5 طلاب'!$C$3,$B270=الإعدادات!$C$9,$N270=1,ISNUMBER($G270)),$G270*100000+N($H270)*100+N($I270)+(1000-ROW())/10000,0)</f>
        <v>0</v>
      </c>
      <c r="N270" s="43">
        <f t="shared" si="12"/>
        <v>0</v>
      </c>
      <c r="O270" s="43" t="str">
        <f t="shared" si="14"/>
        <v/>
      </c>
      <c r="P270" s="43">
        <f t="shared" si="13"/>
        <v>0</v>
      </c>
    </row>
    <row r="271" spans="1:16">
      <c r="A271" s="48">
        <v>7</v>
      </c>
      <c r="B271" s="49" t="str">
        <f>IFERROR(INDEX(الطلاب!$C$5:$C$44,MATCH($D271,الطلاب!$A$5:$A$44,0)),"")</f>
        <v>المقرأة الثانية</v>
      </c>
      <c r="C271" s="49" t="str">
        <f>IFERROR(INDEX(الطلاب!$D$5:$D$44,MATCH($D271,الطلاب!$A$5:$A$44,0)),"")</f>
        <v xml:space="preserve">ابي بن مالك </v>
      </c>
      <c r="D271" s="49">
        <v>27</v>
      </c>
      <c r="E271" s="50" t="str">
        <f>IFERROR(INDEX(الطلاب!$B$5:$B$44,MATCH($D271,الطلاب!$A$5:$A$44,0)),"")</f>
        <v>سالم بانوير</v>
      </c>
      <c r="F271" s="40"/>
      <c r="G271" s="40"/>
      <c r="H271" s="40"/>
      <c r="I271" s="40"/>
      <c r="J271" s="40"/>
      <c r="K271" s="36"/>
      <c r="L271" s="43">
        <f>IF(AND($A271='أفضل 5 طلاب'!$C$3,$B271=الإعدادات!$C$8,$N271=1,ISNUMBER($G271)),$G271*100000+N($H271)*100+N($I271)+(1000-ROW())/10000,0)</f>
        <v>0</v>
      </c>
      <c r="M271" s="43">
        <f>IF(AND($A271='أفضل 5 طلاب'!$C$3,$B271=الإعدادات!$C$9,$N271=1,ISNUMBER($G271)),$G271*100000+N($H271)*100+N($I271)+(1000-ROW())/10000,0)</f>
        <v>0</v>
      </c>
      <c r="N271" s="43">
        <f t="shared" si="12"/>
        <v>0</v>
      </c>
      <c r="O271" s="43" t="str">
        <f t="shared" si="14"/>
        <v/>
      </c>
      <c r="P271" s="43">
        <f t="shared" si="13"/>
        <v>0</v>
      </c>
    </row>
    <row r="272" spans="1:16">
      <c r="A272" s="48">
        <v>7</v>
      </c>
      <c r="B272" s="49" t="str">
        <f>IFERROR(INDEX(الطلاب!$C$5:$C$44,MATCH($D272,الطلاب!$A$5:$A$44,0)),"")</f>
        <v>المقرأة الثانية</v>
      </c>
      <c r="C272" s="49" t="str">
        <f>IFERROR(INDEX(الطلاب!$D$5:$D$44,MATCH($D272,الطلاب!$A$5:$A$44,0)),"")</f>
        <v xml:space="preserve">ابي بن مالك </v>
      </c>
      <c r="D272" s="49">
        <v>28</v>
      </c>
      <c r="E272" s="50" t="str">
        <f>IFERROR(INDEX(الطلاب!$B$5:$B$44,MATCH($D272,الطلاب!$A$5:$A$44,0)),"")</f>
        <v xml:space="preserve">عبدالعزيز الصقعبي </v>
      </c>
      <c r="F272" s="40"/>
      <c r="G272" s="40"/>
      <c r="H272" s="40"/>
      <c r="I272" s="40"/>
      <c r="J272" s="40"/>
      <c r="K272" s="36"/>
      <c r="L272" s="43">
        <f>IF(AND($A272='أفضل 5 طلاب'!$C$3,$B272=الإعدادات!$C$8,$N272=1,ISNUMBER($G272)),$G272*100000+N($H272)*100+N($I272)+(1000-ROW())/10000,0)</f>
        <v>0</v>
      </c>
      <c r="M272" s="43">
        <f>IF(AND($A272='أفضل 5 طلاب'!$C$3,$B272=الإعدادات!$C$9,$N272=1,ISNUMBER($G272)),$G272*100000+N($H272)*100+N($I272)+(1000-ROW())/10000,0)</f>
        <v>0</v>
      </c>
      <c r="N272" s="43">
        <f t="shared" si="12"/>
        <v>0</v>
      </c>
      <c r="O272" s="43" t="str">
        <f t="shared" si="14"/>
        <v/>
      </c>
      <c r="P272" s="43">
        <f t="shared" si="13"/>
        <v>0</v>
      </c>
    </row>
    <row r="273" spans="1:16">
      <c r="A273" s="48">
        <v>7</v>
      </c>
      <c r="B273" s="49" t="str">
        <f>IFERROR(INDEX(الطلاب!$C$5:$C$44,MATCH($D273,الطلاب!$A$5:$A$44,0)),"")</f>
        <v>المقرأة الثانية</v>
      </c>
      <c r="C273" s="49" t="str">
        <f>IFERROR(INDEX(الطلاب!$D$5:$D$44,MATCH($D273,الطلاب!$A$5:$A$44,0)),"")</f>
        <v xml:space="preserve">ابي بن مالك </v>
      </c>
      <c r="D273" s="49">
        <v>29</v>
      </c>
      <c r="E273" s="50" t="str">
        <f>IFERROR(INDEX(الطلاب!$B$5:$B$44,MATCH($D273,الطلاب!$A$5:$A$44,0)),"")</f>
        <v xml:space="preserve">عبدالله المجيدل </v>
      </c>
      <c r="F273" s="40"/>
      <c r="G273" s="40"/>
      <c r="H273" s="40"/>
      <c r="I273" s="40"/>
      <c r="J273" s="40"/>
      <c r="K273" s="36"/>
      <c r="L273" s="43">
        <f>IF(AND($A273='أفضل 5 طلاب'!$C$3,$B273=الإعدادات!$C$8,$N273=1,ISNUMBER($G273)),$G273*100000+N($H273)*100+N($I273)+(1000-ROW())/10000,0)</f>
        <v>0</v>
      </c>
      <c r="M273" s="43">
        <f>IF(AND($A273='أفضل 5 طلاب'!$C$3,$B273=الإعدادات!$C$9,$N273=1,ISNUMBER($G273)),$G273*100000+N($H273)*100+N($I273)+(1000-ROW())/10000,0)</f>
        <v>0</v>
      </c>
      <c r="N273" s="43">
        <f t="shared" si="12"/>
        <v>0</v>
      </c>
      <c r="O273" s="43" t="str">
        <f t="shared" si="14"/>
        <v/>
      </c>
      <c r="P273" s="43">
        <f t="shared" si="13"/>
        <v>0</v>
      </c>
    </row>
    <row r="274" spans="1:16">
      <c r="A274" s="48">
        <v>7</v>
      </c>
      <c r="B274" s="49" t="str">
        <f>IFERROR(INDEX(الطلاب!$C$5:$C$44,MATCH($D274,الطلاب!$A$5:$A$44,0)),"")</f>
        <v>المقرأة الثانية</v>
      </c>
      <c r="C274" s="49" t="str">
        <f>IFERROR(INDEX(الطلاب!$D$5:$D$44,MATCH($D274,الطلاب!$A$5:$A$44,0)),"")</f>
        <v xml:space="preserve">ابي بن مالك </v>
      </c>
      <c r="D274" s="49">
        <v>30</v>
      </c>
      <c r="E274" s="50" t="str">
        <f>IFERROR(INDEX(الطلاب!$B$5:$B$44,MATCH($D274,الطلاب!$A$5:$A$44,0)),"")</f>
        <v>فواز الشدوخي</v>
      </c>
      <c r="F274" s="40"/>
      <c r="G274" s="40"/>
      <c r="H274" s="40"/>
      <c r="I274" s="40"/>
      <c r="J274" s="40"/>
      <c r="K274" s="36"/>
      <c r="L274" s="43">
        <f>IF(AND($A274='أفضل 5 طلاب'!$C$3,$B274=الإعدادات!$C$8,$N274=1,ISNUMBER($G274)),$G274*100000+N($H274)*100+N($I274)+(1000-ROW())/10000,0)</f>
        <v>0</v>
      </c>
      <c r="M274" s="43">
        <f>IF(AND($A274='أفضل 5 طلاب'!$C$3,$B274=الإعدادات!$C$9,$N274=1,ISNUMBER($G274)),$G274*100000+N($H274)*100+N($I274)+(1000-ROW())/10000,0)</f>
        <v>0</v>
      </c>
      <c r="N274" s="43">
        <f t="shared" si="12"/>
        <v>0</v>
      </c>
      <c r="O274" s="43" t="str">
        <f t="shared" si="14"/>
        <v/>
      </c>
      <c r="P274" s="43">
        <f t="shared" si="13"/>
        <v>0</v>
      </c>
    </row>
    <row r="275" spans="1:16">
      <c r="A275" s="48">
        <v>7</v>
      </c>
      <c r="B275" s="49" t="str">
        <f>IFERROR(INDEX(الطلاب!$C$5:$C$44,MATCH($D275,الطلاب!$A$5:$A$44,0)),"")</f>
        <v>المقرأة الثانية</v>
      </c>
      <c r="C275" s="49" t="str">
        <f>IFERROR(INDEX(الطلاب!$D$5:$D$44,MATCH($D275,الطلاب!$A$5:$A$44,0)),"")</f>
        <v xml:space="preserve">ابي بن مالك </v>
      </c>
      <c r="D275" s="49">
        <v>31</v>
      </c>
      <c r="E275" s="50" t="str">
        <f>IFERROR(INDEX(الطلاب!$B$5:$B$44,MATCH($D275,الطلاب!$A$5:$A$44,0)),"")</f>
        <v>محمد الطامي</v>
      </c>
      <c r="F275" s="40"/>
      <c r="G275" s="40"/>
      <c r="H275" s="40"/>
      <c r="I275" s="40"/>
      <c r="J275" s="40"/>
      <c r="K275" s="36"/>
      <c r="L275" s="43">
        <f>IF(AND($A275='أفضل 5 طلاب'!$C$3,$B275=الإعدادات!$C$8,$N275=1,ISNUMBER($G275)),$G275*100000+N($H275)*100+N($I275)+(1000-ROW())/10000,0)</f>
        <v>0</v>
      </c>
      <c r="M275" s="43">
        <f>IF(AND($A275='أفضل 5 طلاب'!$C$3,$B275=الإعدادات!$C$9,$N275=1,ISNUMBER($G275)),$G275*100000+N($H275)*100+N($I275)+(1000-ROW())/10000,0)</f>
        <v>0</v>
      </c>
      <c r="N275" s="43">
        <f t="shared" si="12"/>
        <v>0</v>
      </c>
      <c r="O275" s="43" t="str">
        <f t="shared" si="14"/>
        <v/>
      </c>
      <c r="P275" s="43">
        <f t="shared" si="13"/>
        <v>0</v>
      </c>
    </row>
    <row r="276" spans="1:16">
      <c r="A276" s="48">
        <v>7</v>
      </c>
      <c r="B276" s="49" t="str">
        <f>IFERROR(INDEX(الطلاب!$C$5:$C$44,MATCH($D276,الطلاب!$A$5:$A$44,0)),"")</f>
        <v>المقرأة الثانية</v>
      </c>
      <c r="C276" s="49" t="str">
        <f>IFERROR(INDEX(الطلاب!$D$5:$D$44,MATCH($D276,الطلاب!$A$5:$A$44,0)),"")</f>
        <v xml:space="preserve">ابي بن مالك </v>
      </c>
      <c r="D276" s="49">
        <v>32</v>
      </c>
      <c r="E276" s="50" t="str">
        <f>IFERROR(INDEX(الطلاب!$B$5:$B$44,MATCH($D276,الطلاب!$A$5:$A$44,0)),"")</f>
        <v xml:space="preserve">مهند الغماس </v>
      </c>
      <c r="F276" s="40"/>
      <c r="G276" s="40"/>
      <c r="H276" s="40"/>
      <c r="I276" s="40"/>
      <c r="J276" s="40"/>
      <c r="K276" s="36"/>
      <c r="L276" s="43">
        <f>IF(AND($A276='أفضل 5 طلاب'!$C$3,$B276=الإعدادات!$C$8,$N276=1,ISNUMBER($G276)),$G276*100000+N($H276)*100+N($I276)+(1000-ROW())/10000,0)</f>
        <v>0</v>
      </c>
      <c r="M276" s="43">
        <f>IF(AND($A276='أفضل 5 طلاب'!$C$3,$B276=الإعدادات!$C$9,$N276=1,ISNUMBER($G276)),$G276*100000+N($H276)*100+N($I276)+(1000-ROW())/10000,0)</f>
        <v>0</v>
      </c>
      <c r="N276" s="43">
        <f t="shared" si="12"/>
        <v>0</v>
      </c>
      <c r="O276" s="43" t="str">
        <f t="shared" si="14"/>
        <v/>
      </c>
      <c r="P276" s="43">
        <f t="shared" si="13"/>
        <v>0</v>
      </c>
    </row>
    <row r="277" spans="1:16">
      <c r="A277" s="48">
        <v>7</v>
      </c>
      <c r="B277" s="49" t="str">
        <f>IFERROR(INDEX(الطلاب!$C$5:$C$44,MATCH($D277,الطلاب!$A$5:$A$44,0)),"")</f>
        <v>المقرأة الثانية</v>
      </c>
      <c r="C277" s="49" t="str">
        <f>IFERROR(INDEX(الطلاب!$D$5:$D$44,MATCH($D277,الطلاب!$A$5:$A$44,0)),"")</f>
        <v xml:space="preserve">ابي بن مالك </v>
      </c>
      <c r="D277" s="49">
        <v>33</v>
      </c>
      <c r="E277" s="50" t="str">
        <f>IFERROR(INDEX(الطلاب!$B$5:$B$44,MATCH($D277,الطلاب!$A$5:$A$44,0)),"")</f>
        <v>يوسف الحربي</v>
      </c>
      <c r="F277" s="40"/>
      <c r="G277" s="40"/>
      <c r="H277" s="40"/>
      <c r="I277" s="40"/>
      <c r="J277" s="40"/>
      <c r="K277" s="36"/>
      <c r="L277" s="43">
        <f>IF(AND($A277='أفضل 5 طلاب'!$C$3,$B277=الإعدادات!$C$8,$N277=1,ISNUMBER($G277)),$G277*100000+N($H277)*100+N($I277)+(1000-ROW())/10000,0)</f>
        <v>0</v>
      </c>
      <c r="M277" s="43">
        <f>IF(AND($A277='أفضل 5 طلاب'!$C$3,$B277=الإعدادات!$C$9,$N277=1,ISNUMBER($G277)),$G277*100000+N($H277)*100+N($I277)+(1000-ROW())/10000,0)</f>
        <v>0</v>
      </c>
      <c r="N277" s="43">
        <f t="shared" si="12"/>
        <v>0</v>
      </c>
      <c r="O277" s="43" t="str">
        <f t="shared" si="14"/>
        <v/>
      </c>
      <c r="P277" s="43">
        <f t="shared" si="13"/>
        <v>0</v>
      </c>
    </row>
    <row r="278" spans="1:16">
      <c r="A278" s="48">
        <v>7</v>
      </c>
      <c r="B278" s="49" t="str">
        <f>IFERROR(INDEX(الطلاب!$C$5:$C$44,MATCH($D278,الطلاب!$A$5:$A$44,0)),"")</f>
        <v>المقرأة الثانية</v>
      </c>
      <c r="C278" s="49" t="str">
        <f>IFERROR(INDEX(الطلاب!$D$5:$D$44,MATCH($D278,الطلاب!$A$5:$A$44,0)),"")</f>
        <v xml:space="preserve">ابي بن مالك </v>
      </c>
      <c r="D278" s="49">
        <v>34</v>
      </c>
      <c r="E278" s="50" t="str">
        <f>IFERROR(INDEX(الطلاب!$B$5:$B$44,MATCH($D278,الطلاب!$A$5:$A$44,0)),"")</f>
        <v xml:space="preserve">عدي الفريح </v>
      </c>
      <c r="F278" s="40"/>
      <c r="G278" s="40"/>
      <c r="H278" s="40"/>
      <c r="I278" s="40"/>
      <c r="J278" s="40"/>
      <c r="K278" s="36"/>
      <c r="L278" s="43">
        <f>IF(AND($A278='أفضل 5 طلاب'!$C$3,$B278=الإعدادات!$C$8,$N278=1,ISNUMBER($G278)),$G278*100000+N($H278)*100+N($I278)+(1000-ROW())/10000,0)</f>
        <v>0</v>
      </c>
      <c r="M278" s="43">
        <f>IF(AND($A278='أفضل 5 طلاب'!$C$3,$B278=الإعدادات!$C$9,$N278=1,ISNUMBER($G278)),$G278*100000+N($H278)*100+N($I278)+(1000-ROW())/10000,0)</f>
        <v>0</v>
      </c>
      <c r="N278" s="43">
        <f t="shared" si="12"/>
        <v>0</v>
      </c>
      <c r="O278" s="43" t="str">
        <f t="shared" si="14"/>
        <v/>
      </c>
      <c r="P278" s="43">
        <f t="shared" si="13"/>
        <v>0</v>
      </c>
    </row>
    <row r="279" spans="1:16">
      <c r="A279" s="48">
        <v>7</v>
      </c>
      <c r="B279" s="49" t="str">
        <f>IFERROR(INDEX(الطلاب!$C$5:$C$44,MATCH($D279,الطلاب!$A$5:$A$44,0)),"")</f>
        <v>المقرأة الثانية</v>
      </c>
      <c r="C279" s="49" t="str">
        <f>IFERROR(INDEX(الطلاب!$D$5:$D$44,MATCH($D279,الطلاب!$A$5:$A$44,0)),"")</f>
        <v xml:space="preserve">ابي بن مالك </v>
      </c>
      <c r="D279" s="49">
        <v>35</v>
      </c>
      <c r="E279" s="50" t="str">
        <f>IFERROR(INDEX(الطلاب!$B$5:$B$44,MATCH($D279,الطلاب!$A$5:$A$44,0)),"")</f>
        <v xml:space="preserve">عبدالله الفايزي </v>
      </c>
      <c r="F279" s="40"/>
      <c r="G279" s="40"/>
      <c r="H279" s="40"/>
      <c r="I279" s="40"/>
      <c r="J279" s="40"/>
      <c r="K279" s="36"/>
      <c r="L279" s="43">
        <f>IF(AND($A279='أفضل 5 طلاب'!$C$3,$B279=الإعدادات!$C$8,$N279=1,ISNUMBER($G279)),$G279*100000+N($H279)*100+N($I279)+(1000-ROW())/10000,0)</f>
        <v>0</v>
      </c>
      <c r="M279" s="43">
        <f>IF(AND($A279='أفضل 5 طلاب'!$C$3,$B279=الإعدادات!$C$9,$N279=1,ISNUMBER($G279)),$G279*100000+N($H279)*100+N($I279)+(1000-ROW())/10000,0)</f>
        <v>0</v>
      </c>
      <c r="N279" s="43">
        <f t="shared" si="12"/>
        <v>0</v>
      </c>
      <c r="O279" s="43" t="str">
        <f t="shared" si="14"/>
        <v/>
      </c>
      <c r="P279" s="43">
        <f t="shared" si="13"/>
        <v>0</v>
      </c>
    </row>
    <row r="280" spans="1:16">
      <c r="A280" s="48">
        <v>7</v>
      </c>
      <c r="B280" s="49">
        <f>IFERROR(INDEX(الطلاب!$C$5:$C$44,MATCH($D280,الطلاب!$A$5:$A$44,0)),"")</f>
        <v>0</v>
      </c>
      <c r="C280" s="49">
        <f>IFERROR(INDEX(الطلاب!$D$5:$D$44,MATCH($D280,الطلاب!$A$5:$A$44,0)),"")</f>
        <v>0</v>
      </c>
      <c r="D280" s="49">
        <v>36</v>
      </c>
      <c r="E280" s="50" t="str">
        <f>IFERROR(INDEX(الطلاب!$B$5:$B$44,MATCH($D280,الطلاب!$A$5:$A$44,0)),"")</f>
        <v xml:space="preserve">عزام الحسن </v>
      </c>
      <c r="F280" s="40"/>
      <c r="G280" s="40"/>
      <c r="H280" s="40"/>
      <c r="I280" s="40"/>
      <c r="J280" s="40"/>
      <c r="K280" s="36"/>
      <c r="L280" s="43">
        <f>IF(AND($A280='أفضل 5 طلاب'!$C$3,$B280=الإعدادات!$C$8,$N280=1,ISNUMBER($G280)),$G280*100000+N($H280)*100+N($I280)+(1000-ROW())/10000,0)</f>
        <v>0</v>
      </c>
      <c r="M280" s="43">
        <f>IF(AND($A280='أفضل 5 طلاب'!$C$3,$B280=الإعدادات!$C$9,$N280=1,ISNUMBER($G280)),$G280*100000+N($H280)*100+N($I280)+(1000-ROW())/10000,0)</f>
        <v>0</v>
      </c>
      <c r="N280" s="43">
        <f t="shared" si="12"/>
        <v>0</v>
      </c>
      <c r="O280" s="43" t="str">
        <f t="shared" si="14"/>
        <v/>
      </c>
      <c r="P280" s="43">
        <f t="shared" si="13"/>
        <v>0</v>
      </c>
    </row>
    <row r="281" spans="1:16">
      <c r="A281" s="48">
        <v>7</v>
      </c>
      <c r="B281" s="49" t="str">
        <f>IFERROR(INDEX(الطلاب!$C$5:$C$44,MATCH($D281,الطلاب!$A$5:$A$44,0)),"")</f>
        <v>المقرأة الأولى</v>
      </c>
      <c r="C281" s="49" t="str">
        <f>IFERROR(INDEX(الطلاب!$D$5:$D$44,MATCH($D281,الطلاب!$A$5:$A$44,0)),"")</f>
        <v xml:space="preserve">عبدالرحمن بن النعمان </v>
      </c>
      <c r="D281" s="49">
        <v>37</v>
      </c>
      <c r="E281" s="50" t="str">
        <f>IFERROR(INDEX(الطلاب!$B$5:$B$44,MATCH($D281,الطلاب!$A$5:$A$44,0)),"")</f>
        <v xml:space="preserve">أسامة السعوي </v>
      </c>
      <c r="F281" s="40"/>
      <c r="G281" s="40"/>
      <c r="H281" s="40"/>
      <c r="I281" s="40"/>
      <c r="J281" s="40"/>
      <c r="K281" s="36"/>
      <c r="L281" s="43">
        <f>IF(AND($A281='أفضل 5 طلاب'!$C$3,$B281=الإعدادات!$C$8,$N281=1,ISNUMBER($G281)),$G281*100000+N($H281)*100+N($I281)+(1000-ROW())/10000,0)</f>
        <v>0</v>
      </c>
      <c r="M281" s="43">
        <f>IF(AND($A281='أفضل 5 طلاب'!$C$3,$B281=الإعدادات!$C$9,$N281=1,ISNUMBER($G281)),$G281*100000+N($H281)*100+N($I281)+(1000-ROW())/10000,0)</f>
        <v>0</v>
      </c>
      <c r="N281" s="43">
        <f t="shared" si="12"/>
        <v>0</v>
      </c>
      <c r="O281" s="43" t="str">
        <f t="shared" si="14"/>
        <v/>
      </c>
      <c r="P281" s="43">
        <f t="shared" si="13"/>
        <v>0</v>
      </c>
    </row>
    <row r="282" spans="1:16">
      <c r="A282" s="48">
        <v>7</v>
      </c>
      <c r="B282" s="49" t="str">
        <f>IFERROR(INDEX(الطلاب!$C$5:$C$44,MATCH($D282,الطلاب!$A$5:$A$44,0)),"")</f>
        <v>المقرأة الأولى</v>
      </c>
      <c r="C282" s="49" t="str">
        <f>IFERROR(INDEX(الطلاب!$D$5:$D$44,MATCH($D282,الطلاب!$A$5:$A$44,0)),"")</f>
        <v xml:space="preserve">حسان بن ثابت </v>
      </c>
      <c r="D282" s="49">
        <v>38</v>
      </c>
      <c r="E282" s="50" t="str">
        <f>IFERROR(INDEX(الطلاب!$B$5:$B$44,MATCH($D282,الطلاب!$A$5:$A$44,0)),"")</f>
        <v xml:space="preserve">عاصم الضالع </v>
      </c>
      <c r="F282" s="40"/>
      <c r="G282" s="40"/>
      <c r="H282" s="40"/>
      <c r="I282" s="40"/>
      <c r="J282" s="40"/>
      <c r="K282" s="36"/>
      <c r="L282" s="43">
        <f>IF(AND($A282='أفضل 5 طلاب'!$C$3,$B282=الإعدادات!$C$8,$N282=1,ISNUMBER($G282)),$G282*100000+N($H282)*100+N($I282)+(1000-ROW())/10000,0)</f>
        <v>0</v>
      </c>
      <c r="M282" s="43">
        <f>IF(AND($A282='أفضل 5 طلاب'!$C$3,$B282=الإعدادات!$C$9,$N282=1,ISNUMBER($G282)),$G282*100000+N($H282)*100+N($I282)+(1000-ROW())/10000,0)</f>
        <v>0</v>
      </c>
      <c r="N282" s="43">
        <f t="shared" si="12"/>
        <v>0</v>
      </c>
      <c r="O282" s="43" t="str">
        <f t="shared" si="14"/>
        <v/>
      </c>
      <c r="P282" s="43">
        <f t="shared" si="13"/>
        <v>0</v>
      </c>
    </row>
    <row r="283" spans="1:16">
      <c r="A283" s="48">
        <v>7</v>
      </c>
      <c r="B283" s="49">
        <f>IFERROR(INDEX(الطلاب!$C$5:$C$44,MATCH($D283,الطلاب!$A$5:$A$44,0)),"")</f>
        <v>0</v>
      </c>
      <c r="C283" s="49">
        <f>IFERROR(INDEX(الطلاب!$D$5:$D$44,MATCH($D283,الطلاب!$A$5:$A$44,0)),"")</f>
        <v>0</v>
      </c>
      <c r="D283" s="49">
        <v>39</v>
      </c>
      <c r="E283" s="50">
        <f>IFERROR(INDEX(الطلاب!$B$5:$B$44,MATCH($D283,الطلاب!$A$5:$A$44,0)),"")</f>
        <v>0</v>
      </c>
      <c r="F283" s="40"/>
      <c r="G283" s="40"/>
      <c r="H283" s="40"/>
      <c r="I283" s="40"/>
      <c r="J283" s="40"/>
      <c r="K283" s="36"/>
      <c r="L283" s="43">
        <f>IF(AND($A283='أفضل 5 طلاب'!$C$3,$B283=الإعدادات!$C$8,$N283=1,ISNUMBER($G283)),$G283*100000+N($H283)*100+N($I283)+(1000-ROW())/10000,0)</f>
        <v>0</v>
      </c>
      <c r="M283" s="43">
        <f>IF(AND($A283='أفضل 5 طلاب'!$C$3,$B283=الإعدادات!$C$9,$N283=1,ISNUMBER($G283)),$G283*100000+N($H283)*100+N($I283)+(1000-ROW())/10000,0)</f>
        <v>0</v>
      </c>
      <c r="N283" s="43">
        <f t="shared" si="12"/>
        <v>0</v>
      </c>
      <c r="O283" s="43" t="str">
        <f t="shared" si="14"/>
        <v/>
      </c>
      <c r="P283" s="43">
        <f t="shared" si="13"/>
        <v>0</v>
      </c>
    </row>
    <row r="284" spans="1:16" ht="15.95" thickBot="1">
      <c r="A284" s="48">
        <v>7</v>
      </c>
      <c r="B284" s="49">
        <f>IFERROR(INDEX(الطلاب!$C$5:$C$44,MATCH($D284,الطلاب!$A$5:$A$44,0)),"")</f>
        <v>0</v>
      </c>
      <c r="C284" s="49">
        <f>IFERROR(INDEX(الطلاب!$D$5:$D$44,MATCH($D284,الطلاب!$A$5:$A$44,0)),"")</f>
        <v>0</v>
      </c>
      <c r="D284" s="49">
        <v>40</v>
      </c>
      <c r="E284" s="50">
        <f>IFERROR(INDEX(الطلاب!$B$5:$B$44,MATCH($D284,الطلاب!$A$5:$A$44,0)),"")</f>
        <v>0</v>
      </c>
      <c r="F284" s="40"/>
      <c r="G284" s="40"/>
      <c r="H284" s="40"/>
      <c r="I284" s="40"/>
      <c r="J284" s="40"/>
      <c r="K284" s="36"/>
      <c r="L284" s="43">
        <f>IF(AND($A284='أفضل 5 طلاب'!$C$3,$B284=الإعدادات!$C$8,$N284=1,ISNUMBER($G284)),$G284*100000+N($H284)*100+N($I284)+(1000-ROW())/10000,0)</f>
        <v>0</v>
      </c>
      <c r="M284" s="43">
        <f>IF(AND($A284='أفضل 5 طلاب'!$C$3,$B284=الإعدادات!$C$9,$N284=1,ISNUMBER($G284)),$G284*100000+N($H284)*100+N($I284)+(1000-ROW())/10000,0)</f>
        <v>0</v>
      </c>
      <c r="N284" s="43">
        <f t="shared" si="12"/>
        <v>0</v>
      </c>
      <c r="O284" s="43" t="str">
        <f t="shared" si="14"/>
        <v/>
      </c>
      <c r="P284" s="43">
        <f t="shared" si="13"/>
        <v>0</v>
      </c>
    </row>
    <row r="285" spans="1:16">
      <c r="A285" s="52">
        <v>8</v>
      </c>
      <c r="B285" s="54" t="str">
        <f>IFERROR(INDEX(الطلاب!$C$5:$C$44,MATCH($D285,الطلاب!$A$5:$A$44,0)),"")</f>
        <v>المقرأة الأولى</v>
      </c>
      <c r="C285" s="54" t="str">
        <f>IFERROR(INDEX(الطلاب!$D$5:$D$44,MATCH($D285,الطلاب!$A$5:$A$44,0)),"")</f>
        <v xml:space="preserve">عبدالرحمن بن النعمان </v>
      </c>
      <c r="D285" s="54">
        <v>1</v>
      </c>
      <c r="E285" s="56" t="str">
        <f>IFERROR(INDEX(الطلاب!$B$5:$B$44,MATCH($D285,الطلاب!$A$5:$A$44,0)),"")</f>
        <v>غسان اليحيى</v>
      </c>
      <c r="F285" s="47"/>
      <c r="G285" s="47"/>
      <c r="H285" s="47"/>
      <c r="I285" s="47"/>
      <c r="J285" s="47"/>
      <c r="K285" s="36"/>
      <c r="L285" s="43">
        <f>IF(AND($A285='أفضل 5 طلاب'!$C$3,$B285=الإعدادات!$C$8,$N285=1,ISNUMBER($G285)),$G285*100000+N($H285)*100+N($I285)+(1000-ROW())/10000,0)</f>
        <v>0</v>
      </c>
      <c r="M285" s="43">
        <f>IF(AND($A285='أفضل 5 طلاب'!$C$3,$B285=الإعدادات!$C$9,$N285=1,ISNUMBER($G285)),$G285*100000+N($H285)*100+N($I285)+(1000-ROW())/10000,0)</f>
        <v>0</v>
      </c>
      <c r="N285" s="43">
        <f t="shared" si="12"/>
        <v>0</v>
      </c>
      <c r="O285" s="43" t="str">
        <f t="shared" si="14"/>
        <v/>
      </c>
      <c r="P285" s="43">
        <f t="shared" si="13"/>
        <v>0</v>
      </c>
    </row>
    <row r="286" spans="1:16">
      <c r="A286" s="58">
        <v>8</v>
      </c>
      <c r="B286" s="59" t="str">
        <f>IFERROR(INDEX(الطلاب!$C$5:$C$44,MATCH($D286,الطلاب!$A$5:$A$44,0)),"")</f>
        <v>المقرأة الأولى</v>
      </c>
      <c r="C286" s="59" t="str">
        <f>IFERROR(INDEX(الطلاب!$D$5:$D$44,MATCH($D286,الطلاب!$A$5:$A$44,0)),"")</f>
        <v xml:space="preserve">عبدالرحمن بن النعمان </v>
      </c>
      <c r="D286" s="59">
        <v>2</v>
      </c>
      <c r="E286" s="60" t="str">
        <f>IFERROR(INDEX(الطلاب!$B$5:$B$44,MATCH($D286,الطلاب!$A$5:$A$44,0)),"")</f>
        <v xml:space="preserve">صالح الشريف </v>
      </c>
      <c r="F286" s="40"/>
      <c r="G286" s="40"/>
      <c r="H286" s="40"/>
      <c r="I286" s="40"/>
      <c r="J286" s="40"/>
      <c r="K286" s="36"/>
      <c r="L286" s="43">
        <f>IF(AND($A286='أفضل 5 طلاب'!$C$3,$B286=الإعدادات!$C$8,$N286=1,ISNUMBER($G286)),$G286*100000+N($H286)*100+N($I286)+(1000-ROW())/10000,0)</f>
        <v>0</v>
      </c>
      <c r="M286" s="43">
        <f>IF(AND($A286='أفضل 5 طلاب'!$C$3,$B286=الإعدادات!$C$9,$N286=1,ISNUMBER($G286)),$G286*100000+N($H286)*100+N($I286)+(1000-ROW())/10000,0)</f>
        <v>0</v>
      </c>
      <c r="N286" s="43">
        <f t="shared" si="12"/>
        <v>0</v>
      </c>
      <c r="O286" s="43" t="str">
        <f t="shared" si="14"/>
        <v/>
      </c>
      <c r="P286" s="43">
        <f t="shared" si="13"/>
        <v>0</v>
      </c>
    </row>
    <row r="287" spans="1:16">
      <c r="A287" s="58">
        <v>8</v>
      </c>
      <c r="B287" s="59" t="str">
        <f>IFERROR(INDEX(الطلاب!$C$5:$C$44,MATCH($D287,الطلاب!$A$5:$A$44,0)),"")</f>
        <v>المقرأة الأولى</v>
      </c>
      <c r="C287" s="59" t="str">
        <f>IFERROR(INDEX(الطلاب!$D$5:$D$44,MATCH($D287,الطلاب!$A$5:$A$44,0)),"")</f>
        <v xml:space="preserve">عبدالرحمن بن النعمان </v>
      </c>
      <c r="D287" s="59">
        <v>3</v>
      </c>
      <c r="E287" s="60" t="str">
        <f>IFERROR(INDEX(الطلاب!$B$5:$B$44,MATCH($D287,الطلاب!$A$5:$A$44,0)),"")</f>
        <v xml:space="preserve">فهد المشيقح </v>
      </c>
      <c r="F287" s="40"/>
      <c r="G287" s="40"/>
      <c r="H287" s="40"/>
      <c r="I287" s="40"/>
      <c r="J287" s="40"/>
      <c r="K287" s="36"/>
      <c r="L287" s="43">
        <f>IF(AND($A287='أفضل 5 طلاب'!$C$3,$B287=الإعدادات!$C$8,$N287=1,ISNUMBER($G287)),$G287*100000+N($H287)*100+N($I287)+(1000-ROW())/10000,0)</f>
        <v>0</v>
      </c>
      <c r="M287" s="43">
        <f>IF(AND($A287='أفضل 5 طلاب'!$C$3,$B287=الإعدادات!$C$9,$N287=1,ISNUMBER($G287)),$G287*100000+N($H287)*100+N($I287)+(1000-ROW())/10000,0)</f>
        <v>0</v>
      </c>
      <c r="N287" s="43">
        <f t="shared" si="12"/>
        <v>0</v>
      </c>
      <c r="O287" s="43" t="str">
        <f t="shared" si="14"/>
        <v/>
      </c>
      <c r="P287" s="43">
        <f t="shared" si="13"/>
        <v>0</v>
      </c>
    </row>
    <row r="288" spans="1:16">
      <c r="A288" s="58">
        <v>8</v>
      </c>
      <c r="B288" s="59" t="str">
        <f>IFERROR(INDEX(الطلاب!$C$5:$C$44,MATCH($D288,الطلاب!$A$5:$A$44,0)),"")</f>
        <v>المقرأة الأولى</v>
      </c>
      <c r="C288" s="59" t="str">
        <f>IFERROR(INDEX(الطلاب!$D$5:$D$44,MATCH($D288,الطلاب!$A$5:$A$44,0)),"")</f>
        <v xml:space="preserve">عبدالرحمن بن النعمان </v>
      </c>
      <c r="D288" s="59">
        <v>4</v>
      </c>
      <c r="E288" s="60" t="str">
        <f>IFERROR(INDEX(الطلاب!$B$5:$B$44,MATCH($D288,الطلاب!$A$5:$A$44,0)),"")</f>
        <v>عبدالله الحفير</v>
      </c>
      <c r="F288" s="40"/>
      <c r="G288" s="40"/>
      <c r="H288" s="40"/>
      <c r="I288" s="40"/>
      <c r="J288" s="40"/>
      <c r="K288" s="36"/>
      <c r="L288" s="43">
        <f>IF(AND($A288='أفضل 5 طلاب'!$C$3,$B288=الإعدادات!$C$8,$N288=1,ISNUMBER($G288)),$G288*100000+N($H288)*100+N($I288)+(1000-ROW())/10000,0)</f>
        <v>0</v>
      </c>
      <c r="M288" s="43">
        <f>IF(AND($A288='أفضل 5 طلاب'!$C$3,$B288=الإعدادات!$C$9,$N288=1,ISNUMBER($G288)),$G288*100000+N($H288)*100+N($I288)+(1000-ROW())/10000,0)</f>
        <v>0</v>
      </c>
      <c r="N288" s="43">
        <f t="shared" si="12"/>
        <v>0</v>
      </c>
      <c r="O288" s="43" t="str">
        <f t="shared" si="14"/>
        <v/>
      </c>
      <c r="P288" s="43">
        <f t="shared" si="13"/>
        <v>0</v>
      </c>
    </row>
    <row r="289" spans="1:16">
      <c r="A289" s="58">
        <v>8</v>
      </c>
      <c r="B289" s="59" t="str">
        <f>IFERROR(INDEX(الطلاب!$C$5:$C$44,MATCH($D289,الطلاب!$A$5:$A$44,0)),"")</f>
        <v>المقرأة الأولى</v>
      </c>
      <c r="C289" s="59" t="str">
        <f>IFERROR(INDEX(الطلاب!$D$5:$D$44,MATCH($D289,الطلاب!$A$5:$A$44,0)),"")</f>
        <v xml:space="preserve">عبدالرحمن بن النعمان </v>
      </c>
      <c r="D289" s="59">
        <v>5</v>
      </c>
      <c r="E289" s="60" t="str">
        <f>IFERROR(INDEX(الطلاب!$B$5:$B$44,MATCH($D289,الطلاب!$A$5:$A$44,0)),"")</f>
        <v>زياد الدخيل الله</v>
      </c>
      <c r="F289" s="40"/>
      <c r="G289" s="40"/>
      <c r="H289" s="40"/>
      <c r="I289" s="40"/>
      <c r="J289" s="40"/>
      <c r="K289" s="36"/>
      <c r="L289" s="43">
        <f>IF(AND($A289='أفضل 5 طلاب'!$C$3,$B289=الإعدادات!$C$8,$N289=1,ISNUMBER($G289)),$G289*100000+N($H289)*100+N($I289)+(1000-ROW())/10000,0)</f>
        <v>0</v>
      </c>
      <c r="M289" s="43">
        <f>IF(AND($A289='أفضل 5 طلاب'!$C$3,$B289=الإعدادات!$C$9,$N289=1,ISNUMBER($G289)),$G289*100000+N($H289)*100+N($I289)+(1000-ROW())/10000,0)</f>
        <v>0</v>
      </c>
      <c r="N289" s="43">
        <f t="shared" si="12"/>
        <v>0</v>
      </c>
      <c r="O289" s="43" t="str">
        <f t="shared" si="14"/>
        <v/>
      </c>
      <c r="P289" s="43">
        <f t="shared" si="13"/>
        <v>0</v>
      </c>
    </row>
    <row r="290" spans="1:16">
      <c r="A290" s="58">
        <v>8</v>
      </c>
      <c r="B290" s="59" t="str">
        <f>IFERROR(INDEX(الطلاب!$C$5:$C$44,MATCH($D290,الطلاب!$A$5:$A$44,0)),"")</f>
        <v>المقرأة الأولى</v>
      </c>
      <c r="C290" s="59" t="str">
        <f>IFERROR(INDEX(الطلاب!$D$5:$D$44,MATCH($D290,الطلاب!$A$5:$A$44,0)),"")</f>
        <v xml:space="preserve">ابن رجب </v>
      </c>
      <c r="D290" s="59">
        <v>6</v>
      </c>
      <c r="E290" s="60" t="str">
        <f>IFERROR(INDEX(الطلاب!$B$5:$B$44,MATCH($D290,الطلاب!$A$5:$A$44,0)),"")</f>
        <v xml:space="preserve">عاصم الضبيعي </v>
      </c>
      <c r="F290" s="40"/>
      <c r="G290" s="40"/>
      <c r="H290" s="40"/>
      <c r="I290" s="40"/>
      <c r="J290" s="40"/>
      <c r="K290" s="36"/>
      <c r="L290" s="43">
        <f>IF(AND($A290='أفضل 5 طلاب'!$C$3,$B290=الإعدادات!$C$8,$N290=1,ISNUMBER($G290)),$G290*100000+N($H290)*100+N($I290)+(1000-ROW())/10000,0)</f>
        <v>0</v>
      </c>
      <c r="M290" s="43">
        <f>IF(AND($A290='أفضل 5 طلاب'!$C$3,$B290=الإعدادات!$C$9,$N290=1,ISNUMBER($G290)),$G290*100000+N($H290)*100+N($I290)+(1000-ROW())/10000,0)</f>
        <v>0</v>
      </c>
      <c r="N290" s="43">
        <f t="shared" si="12"/>
        <v>0</v>
      </c>
      <c r="O290" s="43" t="str">
        <f t="shared" si="14"/>
        <v/>
      </c>
      <c r="P290" s="43">
        <f t="shared" si="13"/>
        <v>0</v>
      </c>
    </row>
    <row r="291" spans="1:16">
      <c r="A291" s="58">
        <v>8</v>
      </c>
      <c r="B291" s="59" t="str">
        <f>IFERROR(INDEX(الطلاب!$C$5:$C$44,MATCH($D291,الطلاب!$A$5:$A$44,0)),"")</f>
        <v>المقرأة الأولى</v>
      </c>
      <c r="C291" s="59" t="str">
        <f>IFERROR(INDEX(الطلاب!$D$5:$D$44,MATCH($D291,الطلاب!$A$5:$A$44,0)),"")</f>
        <v xml:space="preserve">ابن رجب </v>
      </c>
      <c r="D291" s="59">
        <v>7</v>
      </c>
      <c r="E291" s="60" t="str">
        <f>IFERROR(INDEX(الطلاب!$B$5:$B$44,MATCH($D291,الطلاب!$A$5:$A$44,0)),"")</f>
        <v>محمد السعوي</v>
      </c>
      <c r="F291" s="40"/>
      <c r="G291" s="40"/>
      <c r="H291" s="40"/>
      <c r="I291" s="40"/>
      <c r="J291" s="40"/>
      <c r="K291" s="36"/>
      <c r="L291" s="43">
        <f>IF(AND($A291='أفضل 5 طلاب'!$C$3,$B291=الإعدادات!$C$8,$N291=1,ISNUMBER($G291)),$G291*100000+N($H291)*100+N($I291)+(1000-ROW())/10000,0)</f>
        <v>0</v>
      </c>
      <c r="M291" s="43">
        <f>IF(AND($A291='أفضل 5 طلاب'!$C$3,$B291=الإعدادات!$C$9,$N291=1,ISNUMBER($G291)),$G291*100000+N($H291)*100+N($I291)+(1000-ROW())/10000,0)</f>
        <v>0</v>
      </c>
      <c r="N291" s="43">
        <f t="shared" si="12"/>
        <v>0</v>
      </c>
      <c r="O291" s="43" t="str">
        <f t="shared" si="14"/>
        <v/>
      </c>
      <c r="P291" s="43">
        <f t="shared" si="13"/>
        <v>0</v>
      </c>
    </row>
    <row r="292" spans="1:16">
      <c r="A292" s="58">
        <v>8</v>
      </c>
      <c r="B292" s="59" t="str">
        <f>IFERROR(INDEX(الطلاب!$C$5:$C$44,MATCH($D292,الطلاب!$A$5:$A$44,0)),"")</f>
        <v>المقرأة الأولى</v>
      </c>
      <c r="C292" s="59" t="str">
        <f>IFERROR(INDEX(الطلاب!$D$5:$D$44,MATCH($D292,الطلاب!$A$5:$A$44,0)),"")</f>
        <v xml:space="preserve">ابن رجب </v>
      </c>
      <c r="D292" s="59">
        <v>8</v>
      </c>
      <c r="E292" s="60" t="str">
        <f>IFERROR(INDEX(الطلاب!$B$5:$B$44,MATCH($D292,الطلاب!$A$5:$A$44,0)),"")</f>
        <v>هشام المخلف</v>
      </c>
      <c r="F292" s="40"/>
      <c r="G292" s="40"/>
      <c r="H292" s="40"/>
      <c r="I292" s="40"/>
      <c r="J292" s="40"/>
      <c r="K292" s="36"/>
      <c r="L292" s="43">
        <f>IF(AND($A292='أفضل 5 طلاب'!$C$3,$B292=الإعدادات!$C$8,$N292=1,ISNUMBER($G292)),$G292*100000+N($H292)*100+N($I292)+(1000-ROW())/10000,0)</f>
        <v>0</v>
      </c>
      <c r="M292" s="43">
        <f>IF(AND($A292='أفضل 5 طلاب'!$C$3,$B292=الإعدادات!$C$9,$N292=1,ISNUMBER($G292)),$G292*100000+N($H292)*100+N($I292)+(1000-ROW())/10000,0)</f>
        <v>0</v>
      </c>
      <c r="N292" s="43">
        <f t="shared" si="12"/>
        <v>0</v>
      </c>
      <c r="O292" s="43" t="str">
        <f t="shared" si="14"/>
        <v/>
      </c>
      <c r="P292" s="43">
        <f t="shared" si="13"/>
        <v>0</v>
      </c>
    </row>
    <row r="293" spans="1:16">
      <c r="A293" s="58">
        <v>8</v>
      </c>
      <c r="B293" s="59" t="str">
        <f>IFERROR(INDEX(الطلاب!$C$5:$C$44,MATCH($D293,الطلاب!$A$5:$A$44,0)),"")</f>
        <v>المقرأة الأولى</v>
      </c>
      <c r="C293" s="59" t="str">
        <f>IFERROR(INDEX(الطلاب!$D$5:$D$44,MATCH($D293,الطلاب!$A$5:$A$44,0)),"")</f>
        <v xml:space="preserve">ابن رجب </v>
      </c>
      <c r="D293" s="59">
        <v>9</v>
      </c>
      <c r="E293" s="60" t="str">
        <f>IFERROR(INDEX(الطلاب!$B$5:$B$44,MATCH($D293,الطلاب!$A$5:$A$44,0)),"")</f>
        <v xml:space="preserve">اسامة السعدون </v>
      </c>
      <c r="F293" s="40"/>
      <c r="G293" s="40"/>
      <c r="H293" s="40"/>
      <c r="I293" s="40"/>
      <c r="J293" s="40"/>
      <c r="K293" s="36"/>
      <c r="L293" s="43">
        <f>IF(AND($A293='أفضل 5 طلاب'!$C$3,$B293=الإعدادات!$C$8,$N293=1,ISNUMBER($G293)),$G293*100000+N($H293)*100+N($I293)+(1000-ROW())/10000,0)</f>
        <v>0</v>
      </c>
      <c r="M293" s="43">
        <f>IF(AND($A293='أفضل 5 طلاب'!$C$3,$B293=الإعدادات!$C$9,$N293=1,ISNUMBER($G293)),$G293*100000+N($H293)*100+N($I293)+(1000-ROW())/10000,0)</f>
        <v>0</v>
      </c>
      <c r="N293" s="43">
        <f t="shared" si="12"/>
        <v>0</v>
      </c>
      <c r="O293" s="43" t="str">
        <f t="shared" si="14"/>
        <v/>
      </c>
      <c r="P293" s="43">
        <f t="shared" si="13"/>
        <v>0</v>
      </c>
    </row>
    <row r="294" spans="1:16">
      <c r="A294" s="58">
        <v>8</v>
      </c>
      <c r="B294" s="59" t="str">
        <f>IFERROR(INDEX(الطلاب!$C$5:$C$44,MATCH($D294,الطلاب!$A$5:$A$44,0)),"")</f>
        <v>المقرأة الأولى</v>
      </c>
      <c r="C294" s="59" t="str">
        <f>IFERROR(INDEX(الطلاب!$D$5:$D$44,MATCH($D294,الطلاب!$A$5:$A$44,0)),"")</f>
        <v xml:space="preserve">حسان بن ثابت </v>
      </c>
      <c r="D294" s="59">
        <v>10</v>
      </c>
      <c r="E294" s="60" t="str">
        <f>IFERROR(INDEX(الطلاب!$B$5:$B$44,MATCH($D294,الطلاب!$A$5:$A$44,0)),"")</f>
        <v xml:space="preserve">محمد الثنيان </v>
      </c>
      <c r="F294" s="40"/>
      <c r="G294" s="40"/>
      <c r="H294" s="40"/>
      <c r="I294" s="40"/>
      <c r="J294" s="40"/>
      <c r="K294" s="36"/>
      <c r="L294" s="43">
        <f>IF(AND($A294='أفضل 5 طلاب'!$C$3,$B294=الإعدادات!$C$8,$N294=1,ISNUMBER($G294)),$G294*100000+N($H294)*100+N($I294)+(1000-ROW())/10000,0)</f>
        <v>0</v>
      </c>
      <c r="M294" s="43">
        <f>IF(AND($A294='أفضل 5 طلاب'!$C$3,$B294=الإعدادات!$C$9,$N294=1,ISNUMBER($G294)),$G294*100000+N($H294)*100+N($I294)+(1000-ROW())/10000,0)</f>
        <v>0</v>
      </c>
      <c r="N294" s="43">
        <f t="shared" si="12"/>
        <v>0</v>
      </c>
      <c r="O294" s="43" t="str">
        <f t="shared" si="14"/>
        <v/>
      </c>
      <c r="P294" s="43">
        <f t="shared" si="13"/>
        <v>0</v>
      </c>
    </row>
    <row r="295" spans="1:16">
      <c r="A295" s="58">
        <v>8</v>
      </c>
      <c r="B295" s="59" t="str">
        <f>IFERROR(INDEX(الطلاب!$C$5:$C$44,MATCH($D295,الطلاب!$A$5:$A$44,0)),"")</f>
        <v>المقرأة الأولى</v>
      </c>
      <c r="C295" s="59" t="str">
        <f>IFERROR(INDEX(الطلاب!$D$5:$D$44,MATCH($D295,الطلاب!$A$5:$A$44,0)),"")</f>
        <v xml:space="preserve">حسان بن ثابت </v>
      </c>
      <c r="D295" s="59">
        <v>11</v>
      </c>
      <c r="E295" s="60" t="str">
        <f>IFERROR(INDEX(الطلاب!$B$5:$B$44,MATCH($D295,الطلاب!$A$5:$A$44,0)),"")</f>
        <v xml:space="preserve">كنان الجريفاني </v>
      </c>
      <c r="F295" s="40"/>
      <c r="G295" s="40"/>
      <c r="H295" s="40"/>
      <c r="I295" s="40"/>
      <c r="J295" s="40"/>
      <c r="K295" s="36"/>
      <c r="L295" s="43">
        <f>IF(AND($A295='أفضل 5 طلاب'!$C$3,$B295=الإعدادات!$C$8,$N295=1,ISNUMBER($G295)),$G295*100000+N($H295)*100+N($I295)+(1000-ROW())/10000,0)</f>
        <v>0</v>
      </c>
      <c r="M295" s="43">
        <f>IF(AND($A295='أفضل 5 طلاب'!$C$3,$B295=الإعدادات!$C$9,$N295=1,ISNUMBER($G295)),$G295*100000+N($H295)*100+N($I295)+(1000-ROW())/10000,0)</f>
        <v>0</v>
      </c>
      <c r="N295" s="43">
        <f t="shared" si="12"/>
        <v>0</v>
      </c>
      <c r="O295" s="43" t="str">
        <f t="shared" si="14"/>
        <v/>
      </c>
      <c r="P295" s="43">
        <f t="shared" si="13"/>
        <v>0</v>
      </c>
    </row>
    <row r="296" spans="1:16">
      <c r="A296" s="58">
        <v>8</v>
      </c>
      <c r="B296" s="59" t="str">
        <f>IFERROR(INDEX(الطلاب!$C$5:$C$44,MATCH($D296,الطلاب!$A$5:$A$44,0)),"")</f>
        <v>المقرأة الأولى</v>
      </c>
      <c r="C296" s="59" t="str">
        <f>IFERROR(INDEX(الطلاب!$D$5:$D$44,MATCH($D296,الطلاب!$A$5:$A$44,0)),"")</f>
        <v xml:space="preserve">حسان بن ثابت </v>
      </c>
      <c r="D296" s="59">
        <v>12</v>
      </c>
      <c r="E296" s="60" t="str">
        <f>IFERROR(INDEX(الطلاب!$B$5:$B$44,MATCH($D296,الطلاب!$A$5:$A$44,0)),"")</f>
        <v xml:space="preserve">عبدالمجيد الربعي </v>
      </c>
      <c r="F296" s="40"/>
      <c r="G296" s="40"/>
      <c r="H296" s="40"/>
      <c r="I296" s="40"/>
      <c r="J296" s="40"/>
      <c r="K296" s="36"/>
      <c r="L296" s="43">
        <f>IF(AND($A296='أفضل 5 طلاب'!$C$3,$B296=الإعدادات!$C$8,$N296=1,ISNUMBER($G296)),$G296*100000+N($H296)*100+N($I296)+(1000-ROW())/10000,0)</f>
        <v>0</v>
      </c>
      <c r="M296" s="43">
        <f>IF(AND($A296='أفضل 5 طلاب'!$C$3,$B296=الإعدادات!$C$9,$N296=1,ISNUMBER($G296)),$G296*100000+N($H296)*100+N($I296)+(1000-ROW())/10000,0)</f>
        <v>0</v>
      </c>
      <c r="N296" s="43">
        <f t="shared" si="12"/>
        <v>0</v>
      </c>
      <c r="O296" s="43" t="str">
        <f t="shared" si="14"/>
        <v/>
      </c>
      <c r="P296" s="43">
        <f t="shared" si="13"/>
        <v>0</v>
      </c>
    </row>
    <row r="297" spans="1:16">
      <c r="A297" s="58">
        <v>8</v>
      </c>
      <c r="B297" s="59" t="str">
        <f>IFERROR(INDEX(الطلاب!$C$5:$C$44,MATCH($D297,الطلاب!$A$5:$A$44,0)),"")</f>
        <v>المقرأة الأولى</v>
      </c>
      <c r="C297" s="59" t="str">
        <f>IFERROR(INDEX(الطلاب!$D$5:$D$44,MATCH($D297,الطلاب!$A$5:$A$44,0)),"")</f>
        <v xml:space="preserve">حسان بن ثابت </v>
      </c>
      <c r="D297" s="59">
        <v>13</v>
      </c>
      <c r="E297" s="60" t="str">
        <f>IFERROR(INDEX(الطلاب!$B$5:$B$44,MATCH($D297,الطلاب!$A$5:$A$44,0)),"")</f>
        <v xml:space="preserve">عبدالله التويجري </v>
      </c>
      <c r="F297" s="40"/>
      <c r="G297" s="40"/>
      <c r="H297" s="40"/>
      <c r="I297" s="40"/>
      <c r="J297" s="40"/>
      <c r="K297" s="36"/>
      <c r="L297" s="43">
        <f>IF(AND($A297='أفضل 5 طلاب'!$C$3,$B297=الإعدادات!$C$8,$N297=1,ISNUMBER($G297)),$G297*100000+N($H297)*100+N($I297)+(1000-ROW())/10000,0)</f>
        <v>0</v>
      </c>
      <c r="M297" s="43">
        <f>IF(AND($A297='أفضل 5 طلاب'!$C$3,$B297=الإعدادات!$C$9,$N297=1,ISNUMBER($G297)),$G297*100000+N($H297)*100+N($I297)+(1000-ROW())/10000,0)</f>
        <v>0</v>
      </c>
      <c r="N297" s="43">
        <f t="shared" si="12"/>
        <v>0</v>
      </c>
      <c r="O297" s="43" t="str">
        <f t="shared" si="14"/>
        <v/>
      </c>
      <c r="P297" s="43">
        <f t="shared" si="13"/>
        <v>0</v>
      </c>
    </row>
    <row r="298" spans="1:16">
      <c r="A298" s="58">
        <v>8</v>
      </c>
      <c r="B298" s="59" t="str">
        <f>IFERROR(INDEX(الطلاب!$C$5:$C$44,MATCH($D298,الطلاب!$A$5:$A$44,0)),"")</f>
        <v>المقرأة الأولى</v>
      </c>
      <c r="C298" s="59" t="str">
        <f>IFERROR(INDEX(الطلاب!$D$5:$D$44,MATCH($D298,الطلاب!$A$5:$A$44,0)),"")</f>
        <v xml:space="preserve">حسان بن ثابت </v>
      </c>
      <c r="D298" s="59">
        <v>14</v>
      </c>
      <c r="E298" s="60" t="str">
        <f>IFERROR(INDEX(الطلاب!$B$5:$B$44,MATCH($D298,الطلاب!$A$5:$A$44,0)),"")</f>
        <v xml:space="preserve">حسام التويجري </v>
      </c>
      <c r="F298" s="40"/>
      <c r="G298" s="40"/>
      <c r="H298" s="40"/>
      <c r="I298" s="40"/>
      <c r="J298" s="40"/>
      <c r="K298" s="36"/>
      <c r="L298" s="43">
        <f>IF(AND($A298='أفضل 5 طلاب'!$C$3,$B298=الإعدادات!$C$8,$N298=1,ISNUMBER($G298)),$G298*100000+N($H298)*100+N($I298)+(1000-ROW())/10000,0)</f>
        <v>0</v>
      </c>
      <c r="M298" s="43">
        <f>IF(AND($A298='أفضل 5 طلاب'!$C$3,$B298=الإعدادات!$C$9,$N298=1,ISNUMBER($G298)),$G298*100000+N($H298)*100+N($I298)+(1000-ROW())/10000,0)</f>
        <v>0</v>
      </c>
      <c r="N298" s="43">
        <f t="shared" si="12"/>
        <v>0</v>
      </c>
      <c r="O298" s="43" t="str">
        <f t="shared" si="14"/>
        <v/>
      </c>
      <c r="P298" s="43">
        <f t="shared" si="13"/>
        <v>0</v>
      </c>
    </row>
    <row r="299" spans="1:16">
      <c r="A299" s="58">
        <v>8</v>
      </c>
      <c r="B299" s="59" t="str">
        <f>IFERROR(INDEX(الطلاب!$C$5:$C$44,MATCH($D299,الطلاب!$A$5:$A$44,0)),"")</f>
        <v>المقرأة الأولى</v>
      </c>
      <c r="C299" s="59" t="str">
        <f>IFERROR(INDEX(الطلاب!$D$5:$D$44,MATCH($D299,الطلاب!$A$5:$A$44,0)),"")</f>
        <v xml:space="preserve">حسان بن ثابت </v>
      </c>
      <c r="D299" s="59">
        <v>15</v>
      </c>
      <c r="E299" s="60" t="str">
        <f>IFERROR(INDEX(الطلاب!$B$5:$B$44,MATCH($D299,الطلاب!$A$5:$A$44,0)),"")</f>
        <v xml:space="preserve">عبدالرحمن البريدي </v>
      </c>
      <c r="F299" s="40"/>
      <c r="G299" s="40"/>
      <c r="H299" s="40"/>
      <c r="I299" s="40"/>
      <c r="J299" s="40"/>
      <c r="K299" s="36"/>
      <c r="L299" s="43">
        <f>IF(AND($A299='أفضل 5 طلاب'!$C$3,$B299=الإعدادات!$C$8,$N299=1,ISNUMBER($G299)),$G299*100000+N($H299)*100+N($I299)+(1000-ROW())/10000,0)</f>
        <v>0</v>
      </c>
      <c r="M299" s="43">
        <f>IF(AND($A299='أفضل 5 طلاب'!$C$3,$B299=الإعدادات!$C$9,$N299=1,ISNUMBER($G299)),$G299*100000+N($H299)*100+N($I299)+(1000-ROW())/10000,0)</f>
        <v>0</v>
      </c>
      <c r="N299" s="43">
        <f t="shared" si="12"/>
        <v>0</v>
      </c>
      <c r="O299" s="43" t="str">
        <f t="shared" si="14"/>
        <v/>
      </c>
      <c r="P299" s="43">
        <f t="shared" si="13"/>
        <v>0</v>
      </c>
    </row>
    <row r="300" spans="1:16">
      <c r="A300" s="58">
        <v>8</v>
      </c>
      <c r="B300" s="59" t="str">
        <f>IFERROR(INDEX(الطلاب!$C$5:$C$44,MATCH($D300,الطلاب!$A$5:$A$44,0)),"")</f>
        <v>المقرأة الأولى</v>
      </c>
      <c r="C300" s="59" t="str">
        <f>IFERROR(INDEX(الطلاب!$D$5:$D$44,MATCH($D300,الطلاب!$A$5:$A$44,0)),"")</f>
        <v xml:space="preserve">حسان بن ثابت </v>
      </c>
      <c r="D300" s="59">
        <v>16</v>
      </c>
      <c r="E300" s="60" t="str">
        <f>IFERROR(INDEX(الطلاب!$B$5:$B$44,MATCH($D300,الطلاب!$A$5:$A$44,0)),"")</f>
        <v>عبدالرحمن بازرعة</v>
      </c>
      <c r="F300" s="40"/>
      <c r="G300" s="40"/>
      <c r="H300" s="40"/>
      <c r="I300" s="40"/>
      <c r="J300" s="40"/>
      <c r="K300" s="36"/>
      <c r="L300" s="43">
        <f>IF(AND($A300='أفضل 5 طلاب'!$C$3,$B300=الإعدادات!$C$8,$N300=1,ISNUMBER($G300)),$G300*100000+N($H300)*100+N($I300)+(1000-ROW())/10000,0)</f>
        <v>0</v>
      </c>
      <c r="M300" s="43">
        <f>IF(AND($A300='أفضل 5 طلاب'!$C$3,$B300=الإعدادات!$C$9,$N300=1,ISNUMBER($G300)),$G300*100000+N($H300)*100+N($I300)+(1000-ROW())/10000,0)</f>
        <v>0</v>
      </c>
      <c r="N300" s="43">
        <f t="shared" si="12"/>
        <v>0</v>
      </c>
      <c r="O300" s="43" t="str">
        <f t="shared" si="14"/>
        <v/>
      </c>
      <c r="P300" s="43">
        <f t="shared" si="13"/>
        <v>0</v>
      </c>
    </row>
    <row r="301" spans="1:16">
      <c r="A301" s="58">
        <v>8</v>
      </c>
      <c r="B301" s="59" t="str">
        <f>IFERROR(INDEX(الطلاب!$C$5:$C$44,MATCH($D301,الطلاب!$A$5:$A$44,0)),"")</f>
        <v>المقرأة الأولى</v>
      </c>
      <c r="C301" s="59" t="str">
        <f>IFERROR(INDEX(الطلاب!$D$5:$D$44,MATCH($D301,الطلاب!$A$5:$A$44,0)),"")</f>
        <v xml:space="preserve">حسان بن ثابت </v>
      </c>
      <c r="D301" s="59">
        <v>17</v>
      </c>
      <c r="E301" s="60" t="str">
        <f>IFERROR(INDEX(الطلاب!$B$5:$B$44,MATCH($D301,الطلاب!$A$5:$A$44,0)),"")</f>
        <v xml:space="preserve">عبدالله الضحيان </v>
      </c>
      <c r="F301" s="40"/>
      <c r="G301" s="40"/>
      <c r="H301" s="40"/>
      <c r="I301" s="40"/>
      <c r="J301" s="40"/>
      <c r="K301" s="36"/>
      <c r="L301" s="43">
        <f>IF(AND($A301='أفضل 5 طلاب'!$C$3,$B301=الإعدادات!$C$8,$N301=1,ISNUMBER($G301)),$G301*100000+N($H301)*100+N($I301)+(1000-ROW())/10000,0)</f>
        <v>0</v>
      </c>
      <c r="M301" s="43">
        <f>IF(AND($A301='أفضل 5 طلاب'!$C$3,$B301=الإعدادات!$C$9,$N301=1,ISNUMBER($G301)),$G301*100000+N($H301)*100+N($I301)+(1000-ROW())/10000,0)</f>
        <v>0</v>
      </c>
      <c r="N301" s="43">
        <f t="shared" si="12"/>
        <v>0</v>
      </c>
      <c r="O301" s="43" t="str">
        <f t="shared" si="14"/>
        <v/>
      </c>
      <c r="P301" s="43">
        <f t="shared" si="13"/>
        <v>0</v>
      </c>
    </row>
    <row r="302" spans="1:16">
      <c r="A302" s="58">
        <v>8</v>
      </c>
      <c r="B302" s="59" t="str">
        <f>IFERROR(INDEX(الطلاب!$C$5:$C$44,MATCH($D302,الطلاب!$A$5:$A$44,0)),"")</f>
        <v>المقرأة الأولى</v>
      </c>
      <c r="C302" s="59" t="str">
        <f>IFERROR(INDEX(الطلاب!$D$5:$D$44,MATCH($D302,الطلاب!$A$5:$A$44,0)),"")</f>
        <v xml:space="preserve">حسان بن ثابت </v>
      </c>
      <c r="D302" s="59">
        <v>18</v>
      </c>
      <c r="E302" s="60" t="str">
        <f>IFERROR(INDEX(الطلاب!$B$5:$B$44,MATCH($D302,الطلاب!$A$5:$A$44,0)),"")</f>
        <v xml:space="preserve">فيصل الدخيل </v>
      </c>
      <c r="F302" s="40"/>
      <c r="G302" s="40"/>
      <c r="H302" s="40"/>
      <c r="I302" s="40"/>
      <c r="J302" s="40"/>
      <c r="K302" s="36"/>
      <c r="L302" s="43">
        <f>IF(AND($A302='أفضل 5 طلاب'!$C$3,$B302=الإعدادات!$C$8,$N302=1,ISNUMBER($G302)),$G302*100000+N($H302)*100+N($I302)+(1000-ROW())/10000,0)</f>
        <v>0</v>
      </c>
      <c r="M302" s="43">
        <f>IF(AND($A302='أفضل 5 طلاب'!$C$3,$B302=الإعدادات!$C$9,$N302=1,ISNUMBER($G302)),$G302*100000+N($H302)*100+N($I302)+(1000-ROW())/10000,0)</f>
        <v>0</v>
      </c>
      <c r="N302" s="43">
        <f t="shared" si="12"/>
        <v>0</v>
      </c>
      <c r="O302" s="43" t="str">
        <f t="shared" si="14"/>
        <v/>
      </c>
      <c r="P302" s="43">
        <f t="shared" si="13"/>
        <v>0</v>
      </c>
    </row>
    <row r="303" spans="1:16">
      <c r="A303" s="58">
        <v>8</v>
      </c>
      <c r="B303" s="59" t="str">
        <f>IFERROR(INDEX(الطلاب!$C$5:$C$44,MATCH($D303,الطلاب!$A$5:$A$44,0)),"")</f>
        <v>المقرأة الأولى</v>
      </c>
      <c r="C303" s="59" t="str">
        <f>IFERROR(INDEX(الطلاب!$D$5:$D$44,MATCH($D303,الطلاب!$A$5:$A$44,0)),"")</f>
        <v xml:space="preserve">حسان بن ثابت </v>
      </c>
      <c r="D303" s="59">
        <v>19</v>
      </c>
      <c r="E303" s="60" t="str">
        <f>IFERROR(INDEX(الطلاب!$B$5:$B$44,MATCH($D303,الطلاب!$A$5:$A$44,0)),"")</f>
        <v xml:space="preserve">سليمان المحيميد </v>
      </c>
      <c r="F303" s="40"/>
      <c r="G303" s="40"/>
      <c r="H303" s="40"/>
      <c r="I303" s="40"/>
      <c r="J303" s="40"/>
      <c r="K303" s="36"/>
      <c r="L303" s="43">
        <f>IF(AND($A303='أفضل 5 طلاب'!$C$3,$B303=الإعدادات!$C$8,$N303=1,ISNUMBER($G303)),$G303*100000+N($H303)*100+N($I303)+(1000-ROW())/10000,0)</f>
        <v>0</v>
      </c>
      <c r="M303" s="43">
        <f>IF(AND($A303='أفضل 5 طلاب'!$C$3,$B303=الإعدادات!$C$9,$N303=1,ISNUMBER($G303)),$G303*100000+N($H303)*100+N($I303)+(1000-ROW())/10000,0)</f>
        <v>0</v>
      </c>
      <c r="N303" s="43">
        <f t="shared" si="12"/>
        <v>0</v>
      </c>
      <c r="O303" s="43" t="str">
        <f t="shared" si="14"/>
        <v/>
      </c>
      <c r="P303" s="43">
        <f t="shared" si="13"/>
        <v>0</v>
      </c>
    </row>
    <row r="304" spans="1:16">
      <c r="A304" s="58">
        <v>8</v>
      </c>
      <c r="B304" s="59" t="str">
        <f>IFERROR(INDEX(الطلاب!$C$5:$C$44,MATCH($D304,الطلاب!$A$5:$A$44,0)),"")</f>
        <v>المقرأة الثانية</v>
      </c>
      <c r="C304" s="59" t="str">
        <f>IFERROR(INDEX(الطلاب!$D$5:$D$44,MATCH($D304,الطلاب!$A$5:$A$44,0)),"")</f>
        <v xml:space="preserve">ابن رجب </v>
      </c>
      <c r="D304" s="59">
        <v>20</v>
      </c>
      <c r="E304" s="60" t="str">
        <f>IFERROR(INDEX(الطلاب!$B$5:$B$44,MATCH($D304,الطلاب!$A$5:$A$44,0)),"")</f>
        <v xml:space="preserve">اصيل التويجري </v>
      </c>
      <c r="F304" s="40"/>
      <c r="G304" s="40"/>
      <c r="H304" s="40"/>
      <c r="I304" s="40"/>
      <c r="J304" s="40"/>
      <c r="K304" s="36"/>
      <c r="L304" s="43">
        <f>IF(AND($A304='أفضل 5 طلاب'!$C$3,$B304=الإعدادات!$C$8,$N304=1,ISNUMBER($G304)),$G304*100000+N($H304)*100+N($I304)+(1000-ROW())/10000,0)</f>
        <v>0</v>
      </c>
      <c r="M304" s="43">
        <f>IF(AND($A304='أفضل 5 طلاب'!$C$3,$B304=الإعدادات!$C$9,$N304=1,ISNUMBER($G304)),$G304*100000+N($H304)*100+N($I304)+(1000-ROW())/10000,0)</f>
        <v>0</v>
      </c>
      <c r="N304" s="43">
        <f t="shared" si="12"/>
        <v>0</v>
      </c>
      <c r="O304" s="43" t="str">
        <f t="shared" si="14"/>
        <v/>
      </c>
      <c r="P304" s="43">
        <f t="shared" si="13"/>
        <v>0</v>
      </c>
    </row>
    <row r="305" spans="1:16">
      <c r="A305" s="58">
        <v>8</v>
      </c>
      <c r="B305" s="59" t="str">
        <f>IFERROR(INDEX(الطلاب!$C$5:$C$44,MATCH($D305,الطلاب!$A$5:$A$44,0)),"")</f>
        <v>المقرأة الثانية</v>
      </c>
      <c r="C305" s="59" t="str">
        <f>IFERROR(INDEX(الطلاب!$D$5:$D$44,MATCH($D305,الطلاب!$A$5:$A$44,0)),"")</f>
        <v xml:space="preserve">ابن رجب </v>
      </c>
      <c r="D305" s="59">
        <v>21</v>
      </c>
      <c r="E305" s="60" t="str">
        <f>IFERROR(INDEX(الطلاب!$B$5:$B$44,MATCH($D305,الطلاب!$A$5:$A$44,0)),"")</f>
        <v xml:space="preserve">جواد الرفيعي </v>
      </c>
      <c r="F305" s="40"/>
      <c r="G305" s="40"/>
      <c r="H305" s="40"/>
      <c r="I305" s="40"/>
      <c r="J305" s="40"/>
      <c r="K305" s="36"/>
      <c r="L305" s="43">
        <f>IF(AND($A305='أفضل 5 طلاب'!$C$3,$B305=الإعدادات!$C$8,$N305=1,ISNUMBER($G305)),$G305*100000+N($H305)*100+N($I305)+(1000-ROW())/10000,0)</f>
        <v>0</v>
      </c>
      <c r="M305" s="43">
        <f>IF(AND($A305='أفضل 5 طلاب'!$C$3,$B305=الإعدادات!$C$9,$N305=1,ISNUMBER($G305)),$G305*100000+N($H305)*100+N($I305)+(1000-ROW())/10000,0)</f>
        <v>0</v>
      </c>
      <c r="N305" s="43">
        <f t="shared" si="12"/>
        <v>0</v>
      </c>
      <c r="O305" s="43" t="str">
        <f t="shared" si="14"/>
        <v/>
      </c>
      <c r="P305" s="43">
        <f t="shared" si="13"/>
        <v>0</v>
      </c>
    </row>
    <row r="306" spans="1:16">
      <c r="A306" s="58">
        <v>8</v>
      </c>
      <c r="B306" s="59" t="str">
        <f>IFERROR(INDEX(الطلاب!$C$5:$C$44,MATCH($D306,الطلاب!$A$5:$A$44,0)),"")</f>
        <v>المقرأة الثانية</v>
      </c>
      <c r="C306" s="59" t="str">
        <f>IFERROR(INDEX(الطلاب!$D$5:$D$44,MATCH($D306,الطلاب!$A$5:$A$44,0)),"")</f>
        <v xml:space="preserve">ابن رجب </v>
      </c>
      <c r="D306" s="59">
        <v>22</v>
      </c>
      <c r="E306" s="60" t="str">
        <f>IFERROR(INDEX(الطلاب!$B$5:$B$44,MATCH($D306,الطلاب!$A$5:$A$44,0)),"")</f>
        <v xml:space="preserve">سفيان السبيعي </v>
      </c>
      <c r="F306" s="40"/>
      <c r="G306" s="40"/>
      <c r="H306" s="40"/>
      <c r="I306" s="40"/>
      <c r="J306" s="40"/>
      <c r="K306" s="36"/>
      <c r="L306" s="43">
        <f>IF(AND($A306='أفضل 5 طلاب'!$C$3,$B306=الإعدادات!$C$8,$N306=1,ISNUMBER($G306)),$G306*100000+N($H306)*100+N($I306)+(1000-ROW())/10000,0)</f>
        <v>0</v>
      </c>
      <c r="M306" s="43">
        <f>IF(AND($A306='أفضل 5 طلاب'!$C$3,$B306=الإعدادات!$C$9,$N306=1,ISNUMBER($G306)),$G306*100000+N($H306)*100+N($I306)+(1000-ROW())/10000,0)</f>
        <v>0</v>
      </c>
      <c r="N306" s="43">
        <f t="shared" si="12"/>
        <v>0</v>
      </c>
      <c r="O306" s="43" t="str">
        <f t="shared" si="14"/>
        <v/>
      </c>
      <c r="P306" s="43">
        <f t="shared" si="13"/>
        <v>0</v>
      </c>
    </row>
    <row r="307" spans="1:16">
      <c r="A307" s="58">
        <v>8</v>
      </c>
      <c r="B307" s="59" t="str">
        <f>IFERROR(INDEX(الطلاب!$C$5:$C$44,MATCH($D307,الطلاب!$A$5:$A$44,0)),"")</f>
        <v>المقرأة الثانية</v>
      </c>
      <c r="C307" s="59" t="str">
        <f>IFERROR(INDEX(الطلاب!$D$5:$D$44,MATCH($D307,الطلاب!$A$5:$A$44,0)),"")</f>
        <v xml:space="preserve">ابن رجب </v>
      </c>
      <c r="D307" s="59">
        <v>23</v>
      </c>
      <c r="E307" s="60" t="str">
        <f>IFERROR(INDEX(الطلاب!$B$5:$B$44,MATCH($D307,الطلاب!$A$5:$A$44,0)),"")</f>
        <v xml:space="preserve">عمار الفضل </v>
      </c>
      <c r="F307" s="40"/>
      <c r="G307" s="40"/>
      <c r="H307" s="40"/>
      <c r="I307" s="40"/>
      <c r="J307" s="40"/>
      <c r="K307" s="36"/>
      <c r="L307" s="43">
        <f>IF(AND($A307='أفضل 5 طلاب'!$C$3,$B307=الإعدادات!$C$8,$N307=1,ISNUMBER($G307)),$G307*100000+N($H307)*100+N($I307)+(1000-ROW())/10000,0)</f>
        <v>0</v>
      </c>
      <c r="M307" s="43">
        <f>IF(AND($A307='أفضل 5 طلاب'!$C$3,$B307=الإعدادات!$C$9,$N307=1,ISNUMBER($G307)),$G307*100000+N($H307)*100+N($I307)+(1000-ROW())/10000,0)</f>
        <v>0</v>
      </c>
      <c r="N307" s="43">
        <f t="shared" si="12"/>
        <v>0</v>
      </c>
      <c r="O307" s="43" t="str">
        <f t="shared" si="14"/>
        <v/>
      </c>
      <c r="P307" s="43">
        <f t="shared" si="13"/>
        <v>0</v>
      </c>
    </row>
    <row r="308" spans="1:16">
      <c r="A308" s="58">
        <v>8</v>
      </c>
      <c r="B308" s="59" t="str">
        <f>IFERROR(INDEX(الطلاب!$C$5:$C$44,MATCH($D308,الطلاب!$A$5:$A$44,0)),"")</f>
        <v>المقرأة الثانية</v>
      </c>
      <c r="C308" s="59" t="str">
        <f>IFERROR(INDEX(الطلاب!$D$5:$D$44,MATCH($D308,الطلاب!$A$5:$A$44,0)),"")</f>
        <v xml:space="preserve">ابن رجب </v>
      </c>
      <c r="D308" s="59">
        <v>24</v>
      </c>
      <c r="E308" s="60" t="str">
        <f>IFERROR(INDEX(الطلاب!$B$5:$B$44,MATCH($D308,الطلاب!$A$5:$A$44,0)),"")</f>
        <v xml:space="preserve">مروان المهوس </v>
      </c>
      <c r="F308" s="40"/>
      <c r="G308" s="40"/>
      <c r="H308" s="40"/>
      <c r="I308" s="40"/>
      <c r="J308" s="40"/>
      <c r="K308" s="36"/>
      <c r="L308" s="43">
        <f>IF(AND($A308='أفضل 5 طلاب'!$C$3,$B308=الإعدادات!$C$8,$N308=1,ISNUMBER($G308)),$G308*100000+N($H308)*100+N($I308)+(1000-ROW())/10000,0)</f>
        <v>0</v>
      </c>
      <c r="M308" s="43">
        <f>IF(AND($A308='أفضل 5 طلاب'!$C$3,$B308=الإعدادات!$C$9,$N308=1,ISNUMBER($G308)),$G308*100000+N($H308)*100+N($I308)+(1000-ROW())/10000,0)</f>
        <v>0</v>
      </c>
      <c r="N308" s="43">
        <f t="shared" si="12"/>
        <v>0</v>
      </c>
      <c r="O308" s="43" t="str">
        <f t="shared" si="14"/>
        <v/>
      </c>
      <c r="P308" s="43">
        <f t="shared" si="13"/>
        <v>0</v>
      </c>
    </row>
    <row r="309" spans="1:16">
      <c r="A309" s="58">
        <v>8</v>
      </c>
      <c r="B309" s="59" t="str">
        <f>IFERROR(INDEX(الطلاب!$C$5:$C$44,MATCH($D309,الطلاب!$A$5:$A$44,0)),"")</f>
        <v>المقرأة الثانية</v>
      </c>
      <c r="C309" s="59" t="str">
        <f>IFERROR(INDEX(الطلاب!$D$5:$D$44,MATCH($D309,الطلاب!$A$5:$A$44,0)),"")</f>
        <v xml:space="preserve">ابن رجب </v>
      </c>
      <c r="D309" s="59">
        <v>25</v>
      </c>
      <c r="E309" s="60" t="str">
        <f>IFERROR(INDEX(الطلاب!$B$5:$B$44,MATCH($D309,الطلاب!$A$5:$A$44,0)),"")</f>
        <v>جهاد الجدعان</v>
      </c>
      <c r="F309" s="40"/>
      <c r="G309" s="40"/>
      <c r="H309" s="40"/>
      <c r="I309" s="40"/>
      <c r="J309" s="40"/>
      <c r="K309" s="36"/>
      <c r="L309" s="43">
        <f>IF(AND($A309='أفضل 5 طلاب'!$C$3,$B309=الإعدادات!$C$8,$N309=1,ISNUMBER($G309)),$G309*100000+N($H309)*100+N($I309)+(1000-ROW())/10000,0)</f>
        <v>0</v>
      </c>
      <c r="M309" s="43">
        <f>IF(AND($A309='أفضل 5 طلاب'!$C$3,$B309=الإعدادات!$C$9,$N309=1,ISNUMBER($G309)),$G309*100000+N($H309)*100+N($I309)+(1000-ROW())/10000,0)</f>
        <v>0</v>
      </c>
      <c r="N309" s="43">
        <f t="shared" si="12"/>
        <v>0</v>
      </c>
      <c r="O309" s="43" t="str">
        <f t="shared" si="14"/>
        <v/>
      </c>
      <c r="P309" s="43">
        <f t="shared" si="13"/>
        <v>0</v>
      </c>
    </row>
    <row r="310" spans="1:16">
      <c r="A310" s="58">
        <v>8</v>
      </c>
      <c r="B310" s="59" t="str">
        <f>IFERROR(INDEX(الطلاب!$C$5:$C$44,MATCH($D310,الطلاب!$A$5:$A$44,0)),"")</f>
        <v>المقرأة الثانية</v>
      </c>
      <c r="C310" s="59" t="str">
        <f>IFERROR(INDEX(الطلاب!$D$5:$D$44,MATCH($D310,الطلاب!$A$5:$A$44,0)),"")</f>
        <v xml:space="preserve">ابن رجب </v>
      </c>
      <c r="D310" s="59">
        <v>26</v>
      </c>
      <c r="E310" s="60" t="str">
        <f>IFERROR(INDEX(الطلاب!$B$5:$B$44,MATCH($D310,الطلاب!$A$5:$A$44,0)),"")</f>
        <v>صلاح مسعد</v>
      </c>
      <c r="F310" s="40"/>
      <c r="G310" s="40"/>
      <c r="H310" s="40"/>
      <c r="I310" s="40"/>
      <c r="J310" s="40"/>
      <c r="K310" s="36"/>
      <c r="L310" s="43">
        <f>IF(AND($A310='أفضل 5 طلاب'!$C$3,$B310=الإعدادات!$C$8,$N310=1,ISNUMBER($G310)),$G310*100000+N($H310)*100+N($I310)+(1000-ROW())/10000,0)</f>
        <v>0</v>
      </c>
      <c r="M310" s="43">
        <f>IF(AND($A310='أفضل 5 طلاب'!$C$3,$B310=الإعدادات!$C$9,$N310=1,ISNUMBER($G310)),$G310*100000+N($H310)*100+N($I310)+(1000-ROW())/10000,0)</f>
        <v>0</v>
      </c>
      <c r="N310" s="43">
        <f t="shared" si="12"/>
        <v>0</v>
      </c>
      <c r="O310" s="43" t="str">
        <f t="shared" si="14"/>
        <v/>
      </c>
      <c r="P310" s="43">
        <f t="shared" si="13"/>
        <v>0</v>
      </c>
    </row>
    <row r="311" spans="1:16">
      <c r="A311" s="58">
        <v>8</v>
      </c>
      <c r="B311" s="59" t="str">
        <f>IFERROR(INDEX(الطلاب!$C$5:$C$44,MATCH($D311,الطلاب!$A$5:$A$44,0)),"")</f>
        <v>المقرأة الثانية</v>
      </c>
      <c r="C311" s="59" t="str">
        <f>IFERROR(INDEX(الطلاب!$D$5:$D$44,MATCH($D311,الطلاب!$A$5:$A$44,0)),"")</f>
        <v xml:space="preserve">ابي بن مالك </v>
      </c>
      <c r="D311" s="59">
        <v>27</v>
      </c>
      <c r="E311" s="60" t="str">
        <f>IFERROR(INDEX(الطلاب!$B$5:$B$44,MATCH($D311,الطلاب!$A$5:$A$44,0)),"")</f>
        <v>سالم بانوير</v>
      </c>
      <c r="F311" s="40"/>
      <c r="G311" s="40"/>
      <c r="H311" s="40"/>
      <c r="I311" s="40"/>
      <c r="J311" s="40"/>
      <c r="K311" s="36"/>
      <c r="L311" s="43">
        <f>IF(AND($A311='أفضل 5 طلاب'!$C$3,$B311=الإعدادات!$C$8,$N311=1,ISNUMBER($G311)),$G311*100000+N($H311)*100+N($I311)+(1000-ROW())/10000,0)</f>
        <v>0</v>
      </c>
      <c r="M311" s="43">
        <f>IF(AND($A311='أفضل 5 طلاب'!$C$3,$B311=الإعدادات!$C$9,$N311=1,ISNUMBER($G311)),$G311*100000+N($H311)*100+N($I311)+(1000-ROW())/10000,0)</f>
        <v>0</v>
      </c>
      <c r="N311" s="43">
        <f t="shared" si="12"/>
        <v>0</v>
      </c>
      <c r="O311" s="43" t="str">
        <f t="shared" si="14"/>
        <v/>
      </c>
      <c r="P311" s="43">
        <f t="shared" si="13"/>
        <v>0</v>
      </c>
    </row>
    <row r="312" spans="1:16">
      <c r="A312" s="58">
        <v>8</v>
      </c>
      <c r="B312" s="59" t="str">
        <f>IFERROR(INDEX(الطلاب!$C$5:$C$44,MATCH($D312,الطلاب!$A$5:$A$44,0)),"")</f>
        <v>المقرأة الثانية</v>
      </c>
      <c r="C312" s="59" t="str">
        <f>IFERROR(INDEX(الطلاب!$D$5:$D$44,MATCH($D312,الطلاب!$A$5:$A$44,0)),"")</f>
        <v xml:space="preserve">ابي بن مالك </v>
      </c>
      <c r="D312" s="59">
        <v>28</v>
      </c>
      <c r="E312" s="60" t="str">
        <f>IFERROR(INDEX(الطلاب!$B$5:$B$44,MATCH($D312,الطلاب!$A$5:$A$44,0)),"")</f>
        <v xml:space="preserve">عبدالعزيز الصقعبي </v>
      </c>
      <c r="F312" s="40"/>
      <c r="G312" s="40"/>
      <c r="H312" s="40"/>
      <c r="I312" s="40"/>
      <c r="J312" s="40"/>
      <c r="K312" s="36"/>
      <c r="L312" s="43">
        <f>IF(AND($A312='أفضل 5 طلاب'!$C$3,$B312=الإعدادات!$C$8,$N312=1,ISNUMBER($G312)),$G312*100000+N($H312)*100+N($I312)+(1000-ROW())/10000,0)</f>
        <v>0</v>
      </c>
      <c r="M312" s="43">
        <f>IF(AND($A312='أفضل 5 طلاب'!$C$3,$B312=الإعدادات!$C$9,$N312=1,ISNUMBER($G312)),$G312*100000+N($H312)*100+N($I312)+(1000-ROW())/10000,0)</f>
        <v>0</v>
      </c>
      <c r="N312" s="43">
        <f t="shared" si="12"/>
        <v>0</v>
      </c>
      <c r="O312" s="43" t="str">
        <f t="shared" si="14"/>
        <v/>
      </c>
      <c r="P312" s="43">
        <f t="shared" si="13"/>
        <v>0</v>
      </c>
    </row>
    <row r="313" spans="1:16">
      <c r="A313" s="58">
        <v>8</v>
      </c>
      <c r="B313" s="59" t="str">
        <f>IFERROR(INDEX(الطلاب!$C$5:$C$44,MATCH($D313,الطلاب!$A$5:$A$44,0)),"")</f>
        <v>المقرأة الثانية</v>
      </c>
      <c r="C313" s="59" t="str">
        <f>IFERROR(INDEX(الطلاب!$D$5:$D$44,MATCH($D313,الطلاب!$A$5:$A$44,0)),"")</f>
        <v xml:space="preserve">ابي بن مالك </v>
      </c>
      <c r="D313" s="59">
        <v>29</v>
      </c>
      <c r="E313" s="60" t="str">
        <f>IFERROR(INDEX(الطلاب!$B$5:$B$44,MATCH($D313,الطلاب!$A$5:$A$44,0)),"")</f>
        <v xml:space="preserve">عبدالله المجيدل </v>
      </c>
      <c r="F313" s="40"/>
      <c r="G313" s="40"/>
      <c r="H313" s="40"/>
      <c r="I313" s="40"/>
      <c r="J313" s="40"/>
      <c r="K313" s="36"/>
      <c r="L313" s="43">
        <f>IF(AND($A313='أفضل 5 طلاب'!$C$3,$B313=الإعدادات!$C$8,$N313=1,ISNUMBER($G313)),$G313*100000+N($H313)*100+N($I313)+(1000-ROW())/10000,0)</f>
        <v>0</v>
      </c>
      <c r="M313" s="43">
        <f>IF(AND($A313='أفضل 5 طلاب'!$C$3,$B313=الإعدادات!$C$9,$N313=1,ISNUMBER($G313)),$G313*100000+N($H313)*100+N($I313)+(1000-ROW())/10000,0)</f>
        <v>0</v>
      </c>
      <c r="N313" s="43">
        <f t="shared" si="12"/>
        <v>0</v>
      </c>
      <c r="O313" s="43" t="str">
        <f t="shared" si="14"/>
        <v/>
      </c>
      <c r="P313" s="43">
        <f t="shared" si="13"/>
        <v>0</v>
      </c>
    </row>
    <row r="314" spans="1:16">
      <c r="A314" s="58">
        <v>8</v>
      </c>
      <c r="B314" s="59" t="str">
        <f>IFERROR(INDEX(الطلاب!$C$5:$C$44,MATCH($D314,الطلاب!$A$5:$A$44,0)),"")</f>
        <v>المقرأة الثانية</v>
      </c>
      <c r="C314" s="59" t="str">
        <f>IFERROR(INDEX(الطلاب!$D$5:$D$44,MATCH($D314,الطلاب!$A$5:$A$44,0)),"")</f>
        <v xml:space="preserve">ابي بن مالك </v>
      </c>
      <c r="D314" s="59">
        <v>30</v>
      </c>
      <c r="E314" s="60" t="str">
        <f>IFERROR(INDEX(الطلاب!$B$5:$B$44,MATCH($D314,الطلاب!$A$5:$A$44,0)),"")</f>
        <v>فواز الشدوخي</v>
      </c>
      <c r="F314" s="40"/>
      <c r="G314" s="40"/>
      <c r="H314" s="40"/>
      <c r="I314" s="40"/>
      <c r="J314" s="40"/>
      <c r="K314" s="36"/>
      <c r="L314" s="43">
        <f>IF(AND($A314='أفضل 5 طلاب'!$C$3,$B314=الإعدادات!$C$8,$N314=1,ISNUMBER($G314)),$G314*100000+N($H314)*100+N($I314)+(1000-ROW())/10000,0)</f>
        <v>0</v>
      </c>
      <c r="M314" s="43">
        <f>IF(AND($A314='أفضل 5 طلاب'!$C$3,$B314=الإعدادات!$C$9,$N314=1,ISNUMBER($G314)),$G314*100000+N($H314)*100+N($I314)+(1000-ROW())/10000,0)</f>
        <v>0</v>
      </c>
      <c r="N314" s="43">
        <f t="shared" si="12"/>
        <v>0</v>
      </c>
      <c r="O314" s="43" t="str">
        <f t="shared" si="14"/>
        <v/>
      </c>
      <c r="P314" s="43">
        <f t="shared" si="13"/>
        <v>0</v>
      </c>
    </row>
    <row r="315" spans="1:16">
      <c r="A315" s="58">
        <v>8</v>
      </c>
      <c r="B315" s="59" t="str">
        <f>IFERROR(INDEX(الطلاب!$C$5:$C$44,MATCH($D315,الطلاب!$A$5:$A$44,0)),"")</f>
        <v>المقرأة الثانية</v>
      </c>
      <c r="C315" s="59" t="str">
        <f>IFERROR(INDEX(الطلاب!$D$5:$D$44,MATCH($D315,الطلاب!$A$5:$A$44,0)),"")</f>
        <v xml:space="preserve">ابي بن مالك </v>
      </c>
      <c r="D315" s="59">
        <v>31</v>
      </c>
      <c r="E315" s="60" t="str">
        <f>IFERROR(INDEX(الطلاب!$B$5:$B$44,MATCH($D315,الطلاب!$A$5:$A$44,0)),"")</f>
        <v>محمد الطامي</v>
      </c>
      <c r="F315" s="40"/>
      <c r="G315" s="40"/>
      <c r="H315" s="40"/>
      <c r="I315" s="40"/>
      <c r="J315" s="40"/>
      <c r="K315" s="36"/>
      <c r="L315" s="43">
        <f>IF(AND($A315='أفضل 5 طلاب'!$C$3,$B315=الإعدادات!$C$8,$N315=1,ISNUMBER($G315)),$G315*100000+N($H315)*100+N($I315)+(1000-ROW())/10000,0)</f>
        <v>0</v>
      </c>
      <c r="M315" s="43">
        <f>IF(AND($A315='أفضل 5 طلاب'!$C$3,$B315=الإعدادات!$C$9,$N315=1,ISNUMBER($G315)),$G315*100000+N($H315)*100+N($I315)+(1000-ROW())/10000,0)</f>
        <v>0</v>
      </c>
      <c r="N315" s="43">
        <f t="shared" si="12"/>
        <v>0</v>
      </c>
      <c r="O315" s="43" t="str">
        <f t="shared" si="14"/>
        <v/>
      </c>
      <c r="P315" s="43">
        <f t="shared" si="13"/>
        <v>0</v>
      </c>
    </row>
    <row r="316" spans="1:16">
      <c r="A316" s="58">
        <v>8</v>
      </c>
      <c r="B316" s="59" t="str">
        <f>IFERROR(INDEX(الطلاب!$C$5:$C$44,MATCH($D316,الطلاب!$A$5:$A$44,0)),"")</f>
        <v>المقرأة الثانية</v>
      </c>
      <c r="C316" s="59" t="str">
        <f>IFERROR(INDEX(الطلاب!$D$5:$D$44,MATCH($D316,الطلاب!$A$5:$A$44,0)),"")</f>
        <v xml:space="preserve">ابي بن مالك </v>
      </c>
      <c r="D316" s="59">
        <v>32</v>
      </c>
      <c r="E316" s="60" t="str">
        <f>IFERROR(INDEX(الطلاب!$B$5:$B$44,MATCH($D316,الطلاب!$A$5:$A$44,0)),"")</f>
        <v xml:space="preserve">مهند الغماس </v>
      </c>
      <c r="F316" s="40"/>
      <c r="G316" s="40"/>
      <c r="H316" s="40"/>
      <c r="I316" s="40"/>
      <c r="J316" s="40"/>
      <c r="K316" s="36"/>
      <c r="L316" s="43">
        <f>IF(AND($A316='أفضل 5 طلاب'!$C$3,$B316=الإعدادات!$C$8,$N316=1,ISNUMBER($G316)),$G316*100000+N($H316)*100+N($I316)+(1000-ROW())/10000,0)</f>
        <v>0</v>
      </c>
      <c r="M316" s="43">
        <f>IF(AND($A316='أفضل 5 طلاب'!$C$3,$B316=الإعدادات!$C$9,$N316=1,ISNUMBER($G316)),$G316*100000+N($H316)*100+N($I316)+(1000-ROW())/10000,0)</f>
        <v>0</v>
      </c>
      <c r="N316" s="43">
        <f t="shared" si="12"/>
        <v>0</v>
      </c>
      <c r="O316" s="43" t="str">
        <f t="shared" si="14"/>
        <v/>
      </c>
      <c r="P316" s="43">
        <f t="shared" si="13"/>
        <v>0</v>
      </c>
    </row>
    <row r="317" spans="1:16">
      <c r="A317" s="58">
        <v>8</v>
      </c>
      <c r="B317" s="59" t="str">
        <f>IFERROR(INDEX(الطلاب!$C$5:$C$44,MATCH($D317,الطلاب!$A$5:$A$44,0)),"")</f>
        <v>المقرأة الثانية</v>
      </c>
      <c r="C317" s="59" t="str">
        <f>IFERROR(INDEX(الطلاب!$D$5:$D$44,MATCH($D317,الطلاب!$A$5:$A$44,0)),"")</f>
        <v xml:space="preserve">ابي بن مالك </v>
      </c>
      <c r="D317" s="59">
        <v>33</v>
      </c>
      <c r="E317" s="60" t="str">
        <f>IFERROR(INDEX(الطلاب!$B$5:$B$44,MATCH($D317,الطلاب!$A$5:$A$44,0)),"")</f>
        <v>يوسف الحربي</v>
      </c>
      <c r="F317" s="40"/>
      <c r="G317" s="40"/>
      <c r="H317" s="40"/>
      <c r="I317" s="40"/>
      <c r="J317" s="40"/>
      <c r="K317" s="36"/>
      <c r="L317" s="43">
        <f>IF(AND($A317='أفضل 5 طلاب'!$C$3,$B317=الإعدادات!$C$8,$N317=1,ISNUMBER($G317)),$G317*100000+N($H317)*100+N($I317)+(1000-ROW())/10000,0)</f>
        <v>0</v>
      </c>
      <c r="M317" s="43">
        <f>IF(AND($A317='أفضل 5 طلاب'!$C$3,$B317=الإعدادات!$C$9,$N317=1,ISNUMBER($G317)),$G317*100000+N($H317)*100+N($I317)+(1000-ROW())/10000,0)</f>
        <v>0</v>
      </c>
      <c r="N317" s="43">
        <f t="shared" si="12"/>
        <v>0</v>
      </c>
      <c r="O317" s="43" t="str">
        <f t="shared" si="14"/>
        <v/>
      </c>
      <c r="P317" s="43">
        <f t="shared" si="13"/>
        <v>0</v>
      </c>
    </row>
    <row r="318" spans="1:16">
      <c r="A318" s="58">
        <v>8</v>
      </c>
      <c r="B318" s="59" t="str">
        <f>IFERROR(INDEX(الطلاب!$C$5:$C$44,MATCH($D318,الطلاب!$A$5:$A$44,0)),"")</f>
        <v>المقرأة الثانية</v>
      </c>
      <c r="C318" s="59" t="str">
        <f>IFERROR(INDEX(الطلاب!$D$5:$D$44,MATCH($D318,الطلاب!$A$5:$A$44,0)),"")</f>
        <v xml:space="preserve">ابي بن مالك </v>
      </c>
      <c r="D318" s="59">
        <v>34</v>
      </c>
      <c r="E318" s="60" t="str">
        <f>IFERROR(INDEX(الطلاب!$B$5:$B$44,MATCH($D318,الطلاب!$A$5:$A$44,0)),"")</f>
        <v xml:space="preserve">عدي الفريح </v>
      </c>
      <c r="F318" s="40"/>
      <c r="G318" s="40"/>
      <c r="H318" s="40"/>
      <c r="I318" s="40"/>
      <c r="J318" s="40"/>
      <c r="K318" s="36"/>
      <c r="L318" s="43">
        <f>IF(AND($A318='أفضل 5 طلاب'!$C$3,$B318=الإعدادات!$C$8,$N318=1,ISNUMBER($G318)),$G318*100000+N($H318)*100+N($I318)+(1000-ROW())/10000,0)</f>
        <v>0</v>
      </c>
      <c r="M318" s="43">
        <f>IF(AND($A318='أفضل 5 طلاب'!$C$3,$B318=الإعدادات!$C$9,$N318=1,ISNUMBER($G318)),$G318*100000+N($H318)*100+N($I318)+(1000-ROW())/10000,0)</f>
        <v>0</v>
      </c>
      <c r="N318" s="43">
        <f t="shared" si="12"/>
        <v>0</v>
      </c>
      <c r="O318" s="43" t="str">
        <f t="shared" si="14"/>
        <v/>
      </c>
      <c r="P318" s="43">
        <f t="shared" si="13"/>
        <v>0</v>
      </c>
    </row>
    <row r="319" spans="1:16">
      <c r="A319" s="58">
        <v>8</v>
      </c>
      <c r="B319" s="59" t="str">
        <f>IFERROR(INDEX(الطلاب!$C$5:$C$44,MATCH($D319,الطلاب!$A$5:$A$44,0)),"")</f>
        <v>المقرأة الثانية</v>
      </c>
      <c r="C319" s="59" t="str">
        <f>IFERROR(INDEX(الطلاب!$D$5:$D$44,MATCH($D319,الطلاب!$A$5:$A$44,0)),"")</f>
        <v xml:space="preserve">ابي بن مالك </v>
      </c>
      <c r="D319" s="59">
        <v>35</v>
      </c>
      <c r="E319" s="60" t="str">
        <f>IFERROR(INDEX(الطلاب!$B$5:$B$44,MATCH($D319,الطلاب!$A$5:$A$44,0)),"")</f>
        <v xml:space="preserve">عبدالله الفايزي </v>
      </c>
      <c r="F319" s="40"/>
      <c r="G319" s="40"/>
      <c r="H319" s="40"/>
      <c r="I319" s="40"/>
      <c r="J319" s="40"/>
      <c r="K319" s="36"/>
      <c r="L319" s="43">
        <f>IF(AND($A319='أفضل 5 طلاب'!$C$3,$B319=الإعدادات!$C$8,$N319=1,ISNUMBER($G319)),$G319*100000+N($H319)*100+N($I319)+(1000-ROW())/10000,0)</f>
        <v>0</v>
      </c>
      <c r="M319" s="43">
        <f>IF(AND($A319='أفضل 5 طلاب'!$C$3,$B319=الإعدادات!$C$9,$N319=1,ISNUMBER($G319)),$G319*100000+N($H319)*100+N($I319)+(1000-ROW())/10000,0)</f>
        <v>0</v>
      </c>
      <c r="N319" s="43">
        <f t="shared" si="12"/>
        <v>0</v>
      </c>
      <c r="O319" s="43" t="str">
        <f t="shared" si="14"/>
        <v/>
      </c>
      <c r="P319" s="43">
        <f t="shared" si="13"/>
        <v>0</v>
      </c>
    </row>
    <row r="320" spans="1:16">
      <c r="A320" s="58">
        <v>8</v>
      </c>
      <c r="B320" s="59">
        <f>IFERROR(INDEX(الطلاب!$C$5:$C$44,MATCH($D320,الطلاب!$A$5:$A$44,0)),"")</f>
        <v>0</v>
      </c>
      <c r="C320" s="59">
        <f>IFERROR(INDEX(الطلاب!$D$5:$D$44,MATCH($D320,الطلاب!$A$5:$A$44,0)),"")</f>
        <v>0</v>
      </c>
      <c r="D320" s="59">
        <v>36</v>
      </c>
      <c r="E320" s="60" t="str">
        <f>IFERROR(INDEX(الطلاب!$B$5:$B$44,MATCH($D320,الطلاب!$A$5:$A$44,0)),"")</f>
        <v xml:space="preserve">عزام الحسن </v>
      </c>
      <c r="F320" s="40"/>
      <c r="G320" s="40"/>
      <c r="H320" s="40"/>
      <c r="I320" s="40"/>
      <c r="J320" s="40"/>
      <c r="K320" s="36"/>
      <c r="L320" s="43">
        <f>IF(AND($A320='أفضل 5 طلاب'!$C$3,$B320=الإعدادات!$C$8,$N320=1,ISNUMBER($G320)),$G320*100000+N($H320)*100+N($I320)+(1000-ROW())/10000,0)</f>
        <v>0</v>
      </c>
      <c r="M320" s="43">
        <f>IF(AND($A320='أفضل 5 طلاب'!$C$3,$B320=الإعدادات!$C$9,$N320=1,ISNUMBER($G320)),$G320*100000+N($H320)*100+N($I320)+(1000-ROW())/10000,0)</f>
        <v>0</v>
      </c>
      <c r="N320" s="43">
        <f t="shared" si="12"/>
        <v>0</v>
      </c>
      <c r="O320" s="43" t="str">
        <f t="shared" si="14"/>
        <v/>
      </c>
      <c r="P320" s="43">
        <f t="shared" si="13"/>
        <v>0</v>
      </c>
    </row>
    <row r="321" spans="1:16">
      <c r="A321" s="58">
        <v>8</v>
      </c>
      <c r="B321" s="59" t="str">
        <f>IFERROR(INDEX(الطلاب!$C$5:$C$44,MATCH($D321,الطلاب!$A$5:$A$44,0)),"")</f>
        <v>المقرأة الأولى</v>
      </c>
      <c r="C321" s="59" t="str">
        <f>IFERROR(INDEX(الطلاب!$D$5:$D$44,MATCH($D321,الطلاب!$A$5:$A$44,0)),"")</f>
        <v xml:space="preserve">عبدالرحمن بن النعمان </v>
      </c>
      <c r="D321" s="59">
        <v>37</v>
      </c>
      <c r="E321" s="60" t="str">
        <f>IFERROR(INDEX(الطلاب!$B$5:$B$44,MATCH($D321,الطلاب!$A$5:$A$44,0)),"")</f>
        <v xml:space="preserve">أسامة السعوي </v>
      </c>
      <c r="F321" s="40"/>
      <c r="G321" s="40"/>
      <c r="H321" s="40"/>
      <c r="I321" s="40"/>
      <c r="J321" s="40"/>
      <c r="K321" s="36"/>
      <c r="L321" s="43">
        <f>IF(AND($A321='أفضل 5 طلاب'!$C$3,$B321=الإعدادات!$C$8,$N321=1,ISNUMBER($G321)),$G321*100000+N($H321)*100+N($I321)+(1000-ROW())/10000,0)</f>
        <v>0</v>
      </c>
      <c r="M321" s="43">
        <f>IF(AND($A321='أفضل 5 طلاب'!$C$3,$B321=الإعدادات!$C$9,$N321=1,ISNUMBER($G321)),$G321*100000+N($H321)*100+N($I321)+(1000-ROW())/10000,0)</f>
        <v>0</v>
      </c>
      <c r="N321" s="43">
        <f t="shared" si="12"/>
        <v>0</v>
      </c>
      <c r="O321" s="43" t="str">
        <f t="shared" si="14"/>
        <v/>
      </c>
      <c r="P321" s="43">
        <f t="shared" si="13"/>
        <v>0</v>
      </c>
    </row>
    <row r="322" spans="1:16">
      <c r="A322" s="58">
        <v>8</v>
      </c>
      <c r="B322" s="59" t="str">
        <f>IFERROR(INDEX(الطلاب!$C$5:$C$44,MATCH($D322,الطلاب!$A$5:$A$44,0)),"")</f>
        <v>المقرأة الأولى</v>
      </c>
      <c r="C322" s="59" t="str">
        <f>IFERROR(INDEX(الطلاب!$D$5:$D$44,MATCH($D322,الطلاب!$A$5:$A$44,0)),"")</f>
        <v xml:space="preserve">حسان بن ثابت </v>
      </c>
      <c r="D322" s="59">
        <v>38</v>
      </c>
      <c r="E322" s="60" t="str">
        <f>IFERROR(INDEX(الطلاب!$B$5:$B$44,MATCH($D322,الطلاب!$A$5:$A$44,0)),"")</f>
        <v xml:space="preserve">عاصم الضالع </v>
      </c>
      <c r="F322" s="40"/>
      <c r="G322" s="40"/>
      <c r="H322" s="40"/>
      <c r="I322" s="40"/>
      <c r="J322" s="40"/>
      <c r="K322" s="36"/>
      <c r="L322" s="43">
        <f>IF(AND($A322='أفضل 5 طلاب'!$C$3,$B322=الإعدادات!$C$8,$N322=1,ISNUMBER($G322)),$G322*100000+N($H322)*100+N($I322)+(1000-ROW())/10000,0)</f>
        <v>0</v>
      </c>
      <c r="M322" s="43">
        <f>IF(AND($A322='أفضل 5 طلاب'!$C$3,$B322=الإعدادات!$C$9,$N322=1,ISNUMBER($G322)),$G322*100000+N($H322)*100+N($I322)+(1000-ROW())/10000,0)</f>
        <v>0</v>
      </c>
      <c r="N322" s="43">
        <f t="shared" si="12"/>
        <v>0</v>
      </c>
      <c r="O322" s="43" t="str">
        <f t="shared" si="14"/>
        <v/>
      </c>
      <c r="P322" s="43">
        <f t="shared" si="13"/>
        <v>0</v>
      </c>
    </row>
    <row r="323" spans="1:16">
      <c r="A323" s="58">
        <v>8</v>
      </c>
      <c r="B323" s="59">
        <f>IFERROR(INDEX(الطلاب!$C$5:$C$44,MATCH($D323,الطلاب!$A$5:$A$44,0)),"")</f>
        <v>0</v>
      </c>
      <c r="C323" s="59">
        <f>IFERROR(INDEX(الطلاب!$D$5:$D$44,MATCH($D323,الطلاب!$A$5:$A$44,0)),"")</f>
        <v>0</v>
      </c>
      <c r="D323" s="59">
        <v>39</v>
      </c>
      <c r="E323" s="60">
        <f>IFERROR(INDEX(الطلاب!$B$5:$B$44,MATCH($D323,الطلاب!$A$5:$A$44,0)),"")</f>
        <v>0</v>
      </c>
      <c r="F323" s="40"/>
      <c r="G323" s="40"/>
      <c r="H323" s="40"/>
      <c r="I323" s="40"/>
      <c r="J323" s="40"/>
      <c r="K323" s="36"/>
      <c r="L323" s="43">
        <f>IF(AND($A323='أفضل 5 طلاب'!$C$3,$B323=الإعدادات!$C$8,$N323=1,ISNUMBER($G323)),$G323*100000+N($H323)*100+N($I323)+(1000-ROW())/10000,0)</f>
        <v>0</v>
      </c>
      <c r="M323" s="43">
        <f>IF(AND($A323='أفضل 5 طلاب'!$C$3,$B323=الإعدادات!$C$9,$N323=1,ISNUMBER($G323)),$G323*100000+N($H323)*100+N($I323)+(1000-ROW())/10000,0)</f>
        <v>0</v>
      </c>
      <c r="N323" s="43">
        <f t="shared" si="12"/>
        <v>0</v>
      </c>
      <c r="O323" s="43" t="str">
        <f t="shared" si="14"/>
        <v/>
      </c>
      <c r="P323" s="43">
        <f t="shared" si="13"/>
        <v>0</v>
      </c>
    </row>
    <row r="324" spans="1:16" ht="15.95" thickBot="1">
      <c r="A324" s="58">
        <v>8</v>
      </c>
      <c r="B324" s="59">
        <f>IFERROR(INDEX(الطلاب!$C$5:$C$44,MATCH($D324,الطلاب!$A$5:$A$44,0)),"")</f>
        <v>0</v>
      </c>
      <c r="C324" s="59">
        <f>IFERROR(INDEX(الطلاب!$D$5:$D$44,MATCH($D324,الطلاب!$A$5:$A$44,0)),"")</f>
        <v>0</v>
      </c>
      <c r="D324" s="59">
        <v>40</v>
      </c>
      <c r="E324" s="60">
        <f>IFERROR(INDEX(الطلاب!$B$5:$B$44,MATCH($D324,الطلاب!$A$5:$A$44,0)),"")</f>
        <v>0</v>
      </c>
      <c r="F324" s="40"/>
      <c r="G324" s="40"/>
      <c r="H324" s="40"/>
      <c r="I324" s="40"/>
      <c r="J324" s="40"/>
      <c r="K324" s="36"/>
      <c r="L324" s="43">
        <f>IF(AND($A324='أفضل 5 طلاب'!$C$3,$B324=الإعدادات!$C$8,$N324=1,ISNUMBER($G324)),$G324*100000+N($H324)*100+N($I324)+(1000-ROW())/10000,0)</f>
        <v>0</v>
      </c>
      <c r="M324" s="43">
        <f>IF(AND($A324='أفضل 5 طلاب'!$C$3,$B324=الإعدادات!$C$9,$N324=1,ISNUMBER($G324)),$G324*100000+N($H324)*100+N($I324)+(1000-ROW())/10000,0)</f>
        <v>0</v>
      </c>
      <c r="N324" s="43">
        <f t="shared" si="12"/>
        <v>0</v>
      </c>
      <c r="O324" s="43" t="str">
        <f t="shared" si="14"/>
        <v/>
      </c>
      <c r="P324" s="43">
        <f t="shared" si="13"/>
        <v>0</v>
      </c>
    </row>
    <row r="325" spans="1:16">
      <c r="A325" s="44">
        <v>9</v>
      </c>
      <c r="B325" s="45" t="str">
        <f>IFERROR(INDEX(الطلاب!$C$5:$C$44,MATCH($D325,الطلاب!$A$5:$A$44,0)),"")</f>
        <v>المقرأة الأولى</v>
      </c>
      <c r="C325" s="45" t="str">
        <f>IFERROR(INDEX(الطلاب!$D$5:$D$44,MATCH($D325,الطلاب!$A$5:$A$44,0)),"")</f>
        <v xml:space="preserve">عبدالرحمن بن النعمان </v>
      </c>
      <c r="D325" s="45">
        <v>1</v>
      </c>
      <c r="E325" s="46" t="str">
        <f>IFERROR(INDEX(الطلاب!$B$5:$B$44,MATCH($D325,الطلاب!$A$5:$A$44,0)),"")</f>
        <v>غسان اليحيى</v>
      </c>
      <c r="F325" s="47"/>
      <c r="G325" s="47"/>
      <c r="H325" s="47"/>
      <c r="I325" s="47"/>
      <c r="J325" s="47"/>
      <c r="K325" s="36"/>
      <c r="L325" s="43">
        <f>IF(AND($A325='أفضل 5 طلاب'!$C$3,$B325=الإعدادات!$C$8,$N325=1,ISNUMBER($G325)),$G325*100000+N($H325)*100+N($I325)+(1000-ROW())/10000,0)</f>
        <v>0</v>
      </c>
      <c r="M325" s="43">
        <f>IF(AND($A325='أفضل 5 طلاب'!$C$3,$B325=الإعدادات!$C$9,$N325=1,ISNUMBER($G325)),$G325*100000+N($H325)*100+N($I325)+(1000-ROW())/10000,0)</f>
        <v>0</v>
      </c>
      <c r="N325" s="43">
        <f t="shared" ref="N325:N388" si="15">IF(OR($F325="حاضر",$F325="متأخر"),1,0)</f>
        <v>0</v>
      </c>
      <c r="O325" s="43" t="str">
        <f t="shared" si="14"/>
        <v/>
      </c>
      <c r="P325" s="43">
        <f t="shared" ref="P325:P388" si="16">IF(ISNUMBER($O325),1,0)</f>
        <v>0</v>
      </c>
    </row>
    <row r="326" spans="1:16">
      <c r="A326" s="48">
        <v>9</v>
      </c>
      <c r="B326" s="49" t="str">
        <f>IFERROR(INDEX(الطلاب!$C$5:$C$44,MATCH($D326,الطلاب!$A$5:$A$44,0)),"")</f>
        <v>المقرأة الأولى</v>
      </c>
      <c r="C326" s="49" t="str">
        <f>IFERROR(INDEX(الطلاب!$D$5:$D$44,MATCH($D326,الطلاب!$A$5:$A$44,0)),"")</f>
        <v xml:space="preserve">عبدالرحمن بن النعمان </v>
      </c>
      <c r="D326" s="49">
        <v>2</v>
      </c>
      <c r="E326" s="50" t="str">
        <f>IFERROR(INDEX(الطلاب!$B$5:$B$44,MATCH($D326,الطلاب!$A$5:$A$44,0)),"")</f>
        <v xml:space="preserve">صالح الشريف </v>
      </c>
      <c r="F326" s="40"/>
      <c r="G326" s="40"/>
      <c r="H326" s="40"/>
      <c r="I326" s="40"/>
      <c r="J326" s="40"/>
      <c r="K326" s="36"/>
      <c r="L326" s="43">
        <f>IF(AND($A326='أفضل 5 طلاب'!$C$3,$B326=الإعدادات!$C$8,$N326=1,ISNUMBER($G326)),$G326*100000+N($H326)*100+N($I326)+(1000-ROW())/10000,0)</f>
        <v>0</v>
      </c>
      <c r="M326" s="43">
        <f>IF(AND($A326='أفضل 5 طلاب'!$C$3,$B326=الإعدادات!$C$9,$N326=1,ISNUMBER($G326)),$G326*100000+N($H326)*100+N($I326)+(1000-ROW())/10000,0)</f>
        <v>0</v>
      </c>
      <c r="N326" s="43">
        <f t="shared" si="15"/>
        <v>0</v>
      </c>
      <c r="O326" s="43" t="str">
        <f t="shared" ref="O326:O389" si="17">IF(OR($N326=1,$F326="معتذر",$F326="غائب"),IF(ISNUMBER($G326),$G326,IF($N326=1,"",0)),"")</f>
        <v/>
      </c>
      <c r="P326" s="43">
        <f t="shared" si="16"/>
        <v>0</v>
      </c>
    </row>
    <row r="327" spans="1:16">
      <c r="A327" s="48">
        <v>9</v>
      </c>
      <c r="B327" s="49" t="str">
        <f>IFERROR(INDEX(الطلاب!$C$5:$C$44,MATCH($D327,الطلاب!$A$5:$A$44,0)),"")</f>
        <v>المقرأة الأولى</v>
      </c>
      <c r="C327" s="49" t="str">
        <f>IFERROR(INDEX(الطلاب!$D$5:$D$44,MATCH($D327,الطلاب!$A$5:$A$44,0)),"")</f>
        <v xml:space="preserve">عبدالرحمن بن النعمان </v>
      </c>
      <c r="D327" s="49">
        <v>3</v>
      </c>
      <c r="E327" s="50" t="str">
        <f>IFERROR(INDEX(الطلاب!$B$5:$B$44,MATCH($D327,الطلاب!$A$5:$A$44,0)),"")</f>
        <v xml:space="preserve">فهد المشيقح </v>
      </c>
      <c r="F327" s="40"/>
      <c r="G327" s="40"/>
      <c r="H327" s="40"/>
      <c r="I327" s="40"/>
      <c r="J327" s="40"/>
      <c r="K327" s="36"/>
      <c r="L327" s="43">
        <f>IF(AND($A327='أفضل 5 طلاب'!$C$3,$B327=الإعدادات!$C$8,$N327=1,ISNUMBER($G327)),$G327*100000+N($H327)*100+N($I327)+(1000-ROW())/10000,0)</f>
        <v>0</v>
      </c>
      <c r="M327" s="43">
        <f>IF(AND($A327='أفضل 5 طلاب'!$C$3,$B327=الإعدادات!$C$9,$N327=1,ISNUMBER($G327)),$G327*100000+N($H327)*100+N($I327)+(1000-ROW())/10000,0)</f>
        <v>0</v>
      </c>
      <c r="N327" s="43">
        <f t="shared" si="15"/>
        <v>0</v>
      </c>
      <c r="O327" s="43" t="str">
        <f t="shared" si="17"/>
        <v/>
      </c>
      <c r="P327" s="43">
        <f t="shared" si="16"/>
        <v>0</v>
      </c>
    </row>
    <row r="328" spans="1:16">
      <c r="A328" s="48">
        <v>9</v>
      </c>
      <c r="B328" s="49" t="str">
        <f>IFERROR(INDEX(الطلاب!$C$5:$C$44,MATCH($D328,الطلاب!$A$5:$A$44,0)),"")</f>
        <v>المقرأة الأولى</v>
      </c>
      <c r="C328" s="49" t="str">
        <f>IFERROR(INDEX(الطلاب!$D$5:$D$44,MATCH($D328,الطلاب!$A$5:$A$44,0)),"")</f>
        <v xml:space="preserve">عبدالرحمن بن النعمان </v>
      </c>
      <c r="D328" s="49">
        <v>4</v>
      </c>
      <c r="E328" s="50" t="str">
        <f>IFERROR(INDEX(الطلاب!$B$5:$B$44,MATCH($D328,الطلاب!$A$5:$A$44,0)),"")</f>
        <v>عبدالله الحفير</v>
      </c>
      <c r="F328" s="40"/>
      <c r="G328" s="40"/>
      <c r="H328" s="40"/>
      <c r="I328" s="40"/>
      <c r="J328" s="40"/>
      <c r="K328" s="36"/>
      <c r="L328" s="43">
        <f>IF(AND($A328='أفضل 5 طلاب'!$C$3,$B328=الإعدادات!$C$8,$N328=1,ISNUMBER($G328)),$G328*100000+N($H328)*100+N($I328)+(1000-ROW())/10000,0)</f>
        <v>0</v>
      </c>
      <c r="M328" s="43">
        <f>IF(AND($A328='أفضل 5 طلاب'!$C$3,$B328=الإعدادات!$C$9,$N328=1,ISNUMBER($G328)),$G328*100000+N($H328)*100+N($I328)+(1000-ROW())/10000,0)</f>
        <v>0</v>
      </c>
      <c r="N328" s="43">
        <f t="shared" si="15"/>
        <v>0</v>
      </c>
      <c r="O328" s="43" t="str">
        <f t="shared" si="17"/>
        <v/>
      </c>
      <c r="P328" s="43">
        <f t="shared" si="16"/>
        <v>0</v>
      </c>
    </row>
    <row r="329" spans="1:16">
      <c r="A329" s="48">
        <v>9</v>
      </c>
      <c r="B329" s="49" t="str">
        <f>IFERROR(INDEX(الطلاب!$C$5:$C$44,MATCH($D329,الطلاب!$A$5:$A$44,0)),"")</f>
        <v>المقرأة الأولى</v>
      </c>
      <c r="C329" s="49" t="str">
        <f>IFERROR(INDEX(الطلاب!$D$5:$D$44,MATCH($D329,الطلاب!$A$5:$A$44,0)),"")</f>
        <v xml:space="preserve">عبدالرحمن بن النعمان </v>
      </c>
      <c r="D329" s="49">
        <v>5</v>
      </c>
      <c r="E329" s="50" t="str">
        <f>IFERROR(INDEX(الطلاب!$B$5:$B$44,MATCH($D329,الطلاب!$A$5:$A$44,0)),"")</f>
        <v>زياد الدخيل الله</v>
      </c>
      <c r="F329" s="40"/>
      <c r="G329" s="40"/>
      <c r="H329" s="40"/>
      <c r="I329" s="40"/>
      <c r="J329" s="40"/>
      <c r="K329" s="36"/>
      <c r="L329" s="43">
        <f>IF(AND($A329='أفضل 5 طلاب'!$C$3,$B329=الإعدادات!$C$8,$N329=1,ISNUMBER($G329)),$G329*100000+N($H329)*100+N($I329)+(1000-ROW())/10000,0)</f>
        <v>0</v>
      </c>
      <c r="M329" s="43">
        <f>IF(AND($A329='أفضل 5 طلاب'!$C$3,$B329=الإعدادات!$C$9,$N329=1,ISNUMBER($G329)),$G329*100000+N($H329)*100+N($I329)+(1000-ROW())/10000,0)</f>
        <v>0</v>
      </c>
      <c r="N329" s="43">
        <f t="shared" si="15"/>
        <v>0</v>
      </c>
      <c r="O329" s="43" t="str">
        <f t="shared" si="17"/>
        <v/>
      </c>
      <c r="P329" s="43">
        <f t="shared" si="16"/>
        <v>0</v>
      </c>
    </row>
    <row r="330" spans="1:16">
      <c r="A330" s="48">
        <v>9</v>
      </c>
      <c r="B330" s="49" t="str">
        <f>IFERROR(INDEX(الطلاب!$C$5:$C$44,MATCH($D330,الطلاب!$A$5:$A$44,0)),"")</f>
        <v>المقرأة الأولى</v>
      </c>
      <c r="C330" s="49" t="str">
        <f>IFERROR(INDEX(الطلاب!$D$5:$D$44,MATCH($D330,الطلاب!$A$5:$A$44,0)),"")</f>
        <v xml:space="preserve">ابن رجب </v>
      </c>
      <c r="D330" s="49">
        <v>6</v>
      </c>
      <c r="E330" s="50" t="str">
        <f>IFERROR(INDEX(الطلاب!$B$5:$B$44,MATCH($D330,الطلاب!$A$5:$A$44,0)),"")</f>
        <v xml:space="preserve">عاصم الضبيعي </v>
      </c>
      <c r="F330" s="40"/>
      <c r="G330" s="40"/>
      <c r="H330" s="40"/>
      <c r="I330" s="40"/>
      <c r="J330" s="40"/>
      <c r="K330" s="36"/>
      <c r="L330" s="43">
        <f>IF(AND($A330='أفضل 5 طلاب'!$C$3,$B330=الإعدادات!$C$8,$N330=1,ISNUMBER($G330)),$G330*100000+N($H330)*100+N($I330)+(1000-ROW())/10000,0)</f>
        <v>0</v>
      </c>
      <c r="M330" s="43">
        <f>IF(AND($A330='أفضل 5 طلاب'!$C$3,$B330=الإعدادات!$C$9,$N330=1,ISNUMBER($G330)),$G330*100000+N($H330)*100+N($I330)+(1000-ROW())/10000,0)</f>
        <v>0</v>
      </c>
      <c r="N330" s="43">
        <f t="shared" si="15"/>
        <v>0</v>
      </c>
      <c r="O330" s="43" t="str">
        <f t="shared" si="17"/>
        <v/>
      </c>
      <c r="P330" s="43">
        <f t="shared" si="16"/>
        <v>0</v>
      </c>
    </row>
    <row r="331" spans="1:16">
      <c r="A331" s="48">
        <v>9</v>
      </c>
      <c r="B331" s="49" t="str">
        <f>IFERROR(INDEX(الطلاب!$C$5:$C$44,MATCH($D331,الطلاب!$A$5:$A$44,0)),"")</f>
        <v>المقرأة الأولى</v>
      </c>
      <c r="C331" s="49" t="str">
        <f>IFERROR(INDEX(الطلاب!$D$5:$D$44,MATCH($D331,الطلاب!$A$5:$A$44,0)),"")</f>
        <v xml:space="preserve">ابن رجب </v>
      </c>
      <c r="D331" s="49">
        <v>7</v>
      </c>
      <c r="E331" s="50" t="str">
        <f>IFERROR(INDEX(الطلاب!$B$5:$B$44,MATCH($D331,الطلاب!$A$5:$A$44,0)),"")</f>
        <v>محمد السعوي</v>
      </c>
      <c r="F331" s="40"/>
      <c r="G331" s="40"/>
      <c r="H331" s="40"/>
      <c r="I331" s="40"/>
      <c r="J331" s="40"/>
      <c r="K331" s="36"/>
      <c r="L331" s="43">
        <f>IF(AND($A331='أفضل 5 طلاب'!$C$3,$B331=الإعدادات!$C$8,$N331=1,ISNUMBER($G331)),$G331*100000+N($H331)*100+N($I331)+(1000-ROW())/10000,0)</f>
        <v>0</v>
      </c>
      <c r="M331" s="43">
        <f>IF(AND($A331='أفضل 5 طلاب'!$C$3,$B331=الإعدادات!$C$9,$N331=1,ISNUMBER($G331)),$G331*100000+N($H331)*100+N($I331)+(1000-ROW())/10000,0)</f>
        <v>0</v>
      </c>
      <c r="N331" s="43">
        <f t="shared" si="15"/>
        <v>0</v>
      </c>
      <c r="O331" s="43" t="str">
        <f t="shared" si="17"/>
        <v/>
      </c>
      <c r="P331" s="43">
        <f t="shared" si="16"/>
        <v>0</v>
      </c>
    </row>
    <row r="332" spans="1:16">
      <c r="A332" s="48">
        <v>9</v>
      </c>
      <c r="B332" s="49" t="str">
        <f>IFERROR(INDEX(الطلاب!$C$5:$C$44,MATCH($D332,الطلاب!$A$5:$A$44,0)),"")</f>
        <v>المقرأة الأولى</v>
      </c>
      <c r="C332" s="49" t="str">
        <f>IFERROR(INDEX(الطلاب!$D$5:$D$44,MATCH($D332,الطلاب!$A$5:$A$44,0)),"")</f>
        <v xml:space="preserve">ابن رجب </v>
      </c>
      <c r="D332" s="49">
        <v>8</v>
      </c>
      <c r="E332" s="50" t="str">
        <f>IFERROR(INDEX(الطلاب!$B$5:$B$44,MATCH($D332,الطلاب!$A$5:$A$44,0)),"")</f>
        <v>هشام المخلف</v>
      </c>
      <c r="F332" s="40"/>
      <c r="G332" s="40"/>
      <c r="H332" s="40"/>
      <c r="I332" s="40"/>
      <c r="J332" s="40"/>
      <c r="K332" s="36"/>
      <c r="L332" s="43">
        <f>IF(AND($A332='أفضل 5 طلاب'!$C$3,$B332=الإعدادات!$C$8,$N332=1,ISNUMBER($G332)),$G332*100000+N($H332)*100+N($I332)+(1000-ROW())/10000,0)</f>
        <v>0</v>
      </c>
      <c r="M332" s="43">
        <f>IF(AND($A332='أفضل 5 طلاب'!$C$3,$B332=الإعدادات!$C$9,$N332=1,ISNUMBER($G332)),$G332*100000+N($H332)*100+N($I332)+(1000-ROW())/10000,0)</f>
        <v>0</v>
      </c>
      <c r="N332" s="43">
        <f t="shared" si="15"/>
        <v>0</v>
      </c>
      <c r="O332" s="43" t="str">
        <f t="shared" si="17"/>
        <v/>
      </c>
      <c r="P332" s="43">
        <f t="shared" si="16"/>
        <v>0</v>
      </c>
    </row>
    <row r="333" spans="1:16">
      <c r="A333" s="48">
        <v>9</v>
      </c>
      <c r="B333" s="49" t="str">
        <f>IFERROR(INDEX(الطلاب!$C$5:$C$44,MATCH($D333,الطلاب!$A$5:$A$44,0)),"")</f>
        <v>المقرأة الأولى</v>
      </c>
      <c r="C333" s="49" t="str">
        <f>IFERROR(INDEX(الطلاب!$D$5:$D$44,MATCH($D333,الطلاب!$A$5:$A$44,0)),"")</f>
        <v xml:space="preserve">ابن رجب </v>
      </c>
      <c r="D333" s="49">
        <v>9</v>
      </c>
      <c r="E333" s="50" t="str">
        <f>IFERROR(INDEX(الطلاب!$B$5:$B$44,MATCH($D333,الطلاب!$A$5:$A$44,0)),"")</f>
        <v xml:space="preserve">اسامة السعدون </v>
      </c>
      <c r="F333" s="40"/>
      <c r="G333" s="40"/>
      <c r="H333" s="40"/>
      <c r="I333" s="40"/>
      <c r="J333" s="40"/>
      <c r="K333" s="36"/>
      <c r="L333" s="43">
        <f>IF(AND($A333='أفضل 5 طلاب'!$C$3,$B333=الإعدادات!$C$8,$N333=1,ISNUMBER($G333)),$G333*100000+N($H333)*100+N($I333)+(1000-ROW())/10000,0)</f>
        <v>0</v>
      </c>
      <c r="M333" s="43">
        <f>IF(AND($A333='أفضل 5 طلاب'!$C$3,$B333=الإعدادات!$C$9,$N333=1,ISNUMBER($G333)),$G333*100000+N($H333)*100+N($I333)+(1000-ROW())/10000,0)</f>
        <v>0</v>
      </c>
      <c r="N333" s="43">
        <f t="shared" si="15"/>
        <v>0</v>
      </c>
      <c r="O333" s="43" t="str">
        <f t="shared" si="17"/>
        <v/>
      </c>
      <c r="P333" s="43">
        <f t="shared" si="16"/>
        <v>0</v>
      </c>
    </row>
    <row r="334" spans="1:16">
      <c r="A334" s="48">
        <v>9</v>
      </c>
      <c r="B334" s="49" t="str">
        <f>IFERROR(INDEX(الطلاب!$C$5:$C$44,MATCH($D334,الطلاب!$A$5:$A$44,0)),"")</f>
        <v>المقرأة الأولى</v>
      </c>
      <c r="C334" s="49" t="str">
        <f>IFERROR(INDEX(الطلاب!$D$5:$D$44,MATCH($D334,الطلاب!$A$5:$A$44,0)),"")</f>
        <v xml:space="preserve">حسان بن ثابت </v>
      </c>
      <c r="D334" s="49">
        <v>10</v>
      </c>
      <c r="E334" s="50" t="str">
        <f>IFERROR(INDEX(الطلاب!$B$5:$B$44,MATCH($D334,الطلاب!$A$5:$A$44,0)),"")</f>
        <v xml:space="preserve">محمد الثنيان </v>
      </c>
      <c r="F334" s="40"/>
      <c r="G334" s="40"/>
      <c r="H334" s="40"/>
      <c r="I334" s="40"/>
      <c r="J334" s="40"/>
      <c r="K334" s="36"/>
      <c r="L334" s="43">
        <f>IF(AND($A334='أفضل 5 طلاب'!$C$3,$B334=الإعدادات!$C$8,$N334=1,ISNUMBER($G334)),$G334*100000+N($H334)*100+N($I334)+(1000-ROW())/10000,0)</f>
        <v>0</v>
      </c>
      <c r="M334" s="43">
        <f>IF(AND($A334='أفضل 5 طلاب'!$C$3,$B334=الإعدادات!$C$9,$N334=1,ISNUMBER($G334)),$G334*100000+N($H334)*100+N($I334)+(1000-ROW())/10000,0)</f>
        <v>0</v>
      </c>
      <c r="N334" s="43">
        <f t="shared" si="15"/>
        <v>0</v>
      </c>
      <c r="O334" s="43" t="str">
        <f t="shared" si="17"/>
        <v/>
      </c>
      <c r="P334" s="43">
        <f t="shared" si="16"/>
        <v>0</v>
      </c>
    </row>
    <row r="335" spans="1:16">
      <c r="A335" s="48">
        <v>9</v>
      </c>
      <c r="B335" s="49" t="str">
        <f>IFERROR(INDEX(الطلاب!$C$5:$C$44,MATCH($D335,الطلاب!$A$5:$A$44,0)),"")</f>
        <v>المقرأة الأولى</v>
      </c>
      <c r="C335" s="49" t="str">
        <f>IFERROR(INDEX(الطلاب!$D$5:$D$44,MATCH($D335,الطلاب!$A$5:$A$44,0)),"")</f>
        <v xml:space="preserve">حسان بن ثابت </v>
      </c>
      <c r="D335" s="49">
        <v>11</v>
      </c>
      <c r="E335" s="50" t="str">
        <f>IFERROR(INDEX(الطلاب!$B$5:$B$44,MATCH($D335,الطلاب!$A$5:$A$44,0)),"")</f>
        <v xml:space="preserve">كنان الجريفاني </v>
      </c>
      <c r="F335" s="40"/>
      <c r="G335" s="40"/>
      <c r="H335" s="40"/>
      <c r="I335" s="40"/>
      <c r="J335" s="40"/>
      <c r="K335" s="36"/>
      <c r="L335" s="43">
        <f>IF(AND($A335='أفضل 5 طلاب'!$C$3,$B335=الإعدادات!$C$8,$N335=1,ISNUMBER($G335)),$G335*100000+N($H335)*100+N($I335)+(1000-ROW())/10000,0)</f>
        <v>0</v>
      </c>
      <c r="M335" s="43">
        <f>IF(AND($A335='أفضل 5 طلاب'!$C$3,$B335=الإعدادات!$C$9,$N335=1,ISNUMBER($G335)),$G335*100000+N($H335)*100+N($I335)+(1000-ROW())/10000,0)</f>
        <v>0</v>
      </c>
      <c r="N335" s="43">
        <f t="shared" si="15"/>
        <v>0</v>
      </c>
      <c r="O335" s="43" t="str">
        <f t="shared" si="17"/>
        <v/>
      </c>
      <c r="P335" s="43">
        <f t="shared" si="16"/>
        <v>0</v>
      </c>
    </row>
    <row r="336" spans="1:16">
      <c r="A336" s="48">
        <v>9</v>
      </c>
      <c r="B336" s="49" t="str">
        <f>IFERROR(INDEX(الطلاب!$C$5:$C$44,MATCH($D336,الطلاب!$A$5:$A$44,0)),"")</f>
        <v>المقرأة الأولى</v>
      </c>
      <c r="C336" s="49" t="str">
        <f>IFERROR(INDEX(الطلاب!$D$5:$D$44,MATCH($D336,الطلاب!$A$5:$A$44,0)),"")</f>
        <v xml:space="preserve">حسان بن ثابت </v>
      </c>
      <c r="D336" s="49">
        <v>12</v>
      </c>
      <c r="E336" s="50" t="str">
        <f>IFERROR(INDEX(الطلاب!$B$5:$B$44,MATCH($D336,الطلاب!$A$5:$A$44,0)),"")</f>
        <v xml:space="preserve">عبدالمجيد الربعي </v>
      </c>
      <c r="F336" s="40"/>
      <c r="G336" s="40"/>
      <c r="H336" s="40"/>
      <c r="I336" s="40"/>
      <c r="J336" s="40"/>
      <c r="K336" s="36"/>
      <c r="L336" s="43">
        <f>IF(AND($A336='أفضل 5 طلاب'!$C$3,$B336=الإعدادات!$C$8,$N336=1,ISNUMBER($G336)),$G336*100000+N($H336)*100+N($I336)+(1000-ROW())/10000,0)</f>
        <v>0</v>
      </c>
      <c r="M336" s="43">
        <f>IF(AND($A336='أفضل 5 طلاب'!$C$3,$B336=الإعدادات!$C$9,$N336=1,ISNUMBER($G336)),$G336*100000+N($H336)*100+N($I336)+(1000-ROW())/10000,0)</f>
        <v>0</v>
      </c>
      <c r="N336" s="43">
        <f t="shared" si="15"/>
        <v>0</v>
      </c>
      <c r="O336" s="43" t="str">
        <f t="shared" si="17"/>
        <v/>
      </c>
      <c r="P336" s="43">
        <f t="shared" si="16"/>
        <v>0</v>
      </c>
    </row>
    <row r="337" spans="1:16">
      <c r="A337" s="48">
        <v>9</v>
      </c>
      <c r="B337" s="49" t="str">
        <f>IFERROR(INDEX(الطلاب!$C$5:$C$44,MATCH($D337,الطلاب!$A$5:$A$44,0)),"")</f>
        <v>المقرأة الأولى</v>
      </c>
      <c r="C337" s="49" t="str">
        <f>IFERROR(INDEX(الطلاب!$D$5:$D$44,MATCH($D337,الطلاب!$A$5:$A$44,0)),"")</f>
        <v xml:space="preserve">حسان بن ثابت </v>
      </c>
      <c r="D337" s="49">
        <v>13</v>
      </c>
      <c r="E337" s="50" t="str">
        <f>IFERROR(INDEX(الطلاب!$B$5:$B$44,MATCH($D337,الطلاب!$A$5:$A$44,0)),"")</f>
        <v xml:space="preserve">عبدالله التويجري </v>
      </c>
      <c r="F337" s="40"/>
      <c r="G337" s="40"/>
      <c r="H337" s="40"/>
      <c r="I337" s="40"/>
      <c r="J337" s="40"/>
      <c r="K337" s="36"/>
      <c r="L337" s="43">
        <f>IF(AND($A337='أفضل 5 طلاب'!$C$3,$B337=الإعدادات!$C$8,$N337=1,ISNUMBER($G337)),$G337*100000+N($H337)*100+N($I337)+(1000-ROW())/10000,0)</f>
        <v>0</v>
      </c>
      <c r="M337" s="43">
        <f>IF(AND($A337='أفضل 5 طلاب'!$C$3,$B337=الإعدادات!$C$9,$N337=1,ISNUMBER($G337)),$G337*100000+N($H337)*100+N($I337)+(1000-ROW())/10000,0)</f>
        <v>0</v>
      </c>
      <c r="N337" s="43">
        <f t="shared" si="15"/>
        <v>0</v>
      </c>
      <c r="O337" s="43" t="str">
        <f t="shared" si="17"/>
        <v/>
      </c>
      <c r="P337" s="43">
        <f t="shared" si="16"/>
        <v>0</v>
      </c>
    </row>
    <row r="338" spans="1:16">
      <c r="A338" s="48">
        <v>9</v>
      </c>
      <c r="B338" s="49" t="str">
        <f>IFERROR(INDEX(الطلاب!$C$5:$C$44,MATCH($D338,الطلاب!$A$5:$A$44,0)),"")</f>
        <v>المقرأة الأولى</v>
      </c>
      <c r="C338" s="49" t="str">
        <f>IFERROR(INDEX(الطلاب!$D$5:$D$44,MATCH($D338,الطلاب!$A$5:$A$44,0)),"")</f>
        <v xml:space="preserve">حسان بن ثابت </v>
      </c>
      <c r="D338" s="49">
        <v>14</v>
      </c>
      <c r="E338" s="50" t="str">
        <f>IFERROR(INDEX(الطلاب!$B$5:$B$44,MATCH($D338,الطلاب!$A$5:$A$44,0)),"")</f>
        <v xml:space="preserve">حسام التويجري </v>
      </c>
      <c r="F338" s="40"/>
      <c r="G338" s="40"/>
      <c r="H338" s="40"/>
      <c r="I338" s="40"/>
      <c r="J338" s="40"/>
      <c r="K338" s="36"/>
      <c r="L338" s="43">
        <f>IF(AND($A338='أفضل 5 طلاب'!$C$3,$B338=الإعدادات!$C$8,$N338=1,ISNUMBER($G338)),$G338*100000+N($H338)*100+N($I338)+(1000-ROW())/10000,0)</f>
        <v>0</v>
      </c>
      <c r="M338" s="43">
        <f>IF(AND($A338='أفضل 5 طلاب'!$C$3,$B338=الإعدادات!$C$9,$N338=1,ISNUMBER($G338)),$G338*100000+N($H338)*100+N($I338)+(1000-ROW())/10000,0)</f>
        <v>0</v>
      </c>
      <c r="N338" s="43">
        <f t="shared" si="15"/>
        <v>0</v>
      </c>
      <c r="O338" s="43" t="str">
        <f t="shared" si="17"/>
        <v/>
      </c>
      <c r="P338" s="43">
        <f t="shared" si="16"/>
        <v>0</v>
      </c>
    </row>
    <row r="339" spans="1:16">
      <c r="A339" s="48">
        <v>9</v>
      </c>
      <c r="B339" s="49" t="str">
        <f>IFERROR(INDEX(الطلاب!$C$5:$C$44,MATCH($D339,الطلاب!$A$5:$A$44,0)),"")</f>
        <v>المقرأة الأولى</v>
      </c>
      <c r="C339" s="49" t="str">
        <f>IFERROR(INDEX(الطلاب!$D$5:$D$44,MATCH($D339,الطلاب!$A$5:$A$44,0)),"")</f>
        <v xml:space="preserve">حسان بن ثابت </v>
      </c>
      <c r="D339" s="49">
        <v>15</v>
      </c>
      <c r="E339" s="50" t="str">
        <f>IFERROR(INDEX(الطلاب!$B$5:$B$44,MATCH($D339,الطلاب!$A$5:$A$44,0)),"")</f>
        <v xml:space="preserve">عبدالرحمن البريدي </v>
      </c>
      <c r="F339" s="40"/>
      <c r="G339" s="40"/>
      <c r="H339" s="40"/>
      <c r="I339" s="40"/>
      <c r="J339" s="40"/>
      <c r="K339" s="36"/>
      <c r="L339" s="43">
        <f>IF(AND($A339='أفضل 5 طلاب'!$C$3,$B339=الإعدادات!$C$8,$N339=1,ISNUMBER($G339)),$G339*100000+N($H339)*100+N($I339)+(1000-ROW())/10000,0)</f>
        <v>0</v>
      </c>
      <c r="M339" s="43">
        <f>IF(AND($A339='أفضل 5 طلاب'!$C$3,$B339=الإعدادات!$C$9,$N339=1,ISNUMBER($G339)),$G339*100000+N($H339)*100+N($I339)+(1000-ROW())/10000,0)</f>
        <v>0</v>
      </c>
      <c r="N339" s="43">
        <f t="shared" si="15"/>
        <v>0</v>
      </c>
      <c r="O339" s="43" t="str">
        <f t="shared" si="17"/>
        <v/>
      </c>
      <c r="P339" s="43">
        <f t="shared" si="16"/>
        <v>0</v>
      </c>
    </row>
    <row r="340" spans="1:16">
      <c r="A340" s="48">
        <v>9</v>
      </c>
      <c r="B340" s="49" t="str">
        <f>IFERROR(INDEX(الطلاب!$C$5:$C$44,MATCH($D340,الطلاب!$A$5:$A$44,0)),"")</f>
        <v>المقرأة الأولى</v>
      </c>
      <c r="C340" s="49" t="str">
        <f>IFERROR(INDEX(الطلاب!$D$5:$D$44,MATCH($D340,الطلاب!$A$5:$A$44,0)),"")</f>
        <v xml:space="preserve">حسان بن ثابت </v>
      </c>
      <c r="D340" s="49">
        <v>16</v>
      </c>
      <c r="E340" s="50" t="str">
        <f>IFERROR(INDEX(الطلاب!$B$5:$B$44,MATCH($D340,الطلاب!$A$5:$A$44,0)),"")</f>
        <v>عبدالرحمن بازرعة</v>
      </c>
      <c r="F340" s="40"/>
      <c r="G340" s="40"/>
      <c r="H340" s="40"/>
      <c r="I340" s="40"/>
      <c r="J340" s="40"/>
      <c r="K340" s="36"/>
      <c r="L340" s="43">
        <f>IF(AND($A340='أفضل 5 طلاب'!$C$3,$B340=الإعدادات!$C$8,$N340=1,ISNUMBER($G340)),$G340*100000+N($H340)*100+N($I340)+(1000-ROW())/10000,0)</f>
        <v>0</v>
      </c>
      <c r="M340" s="43">
        <f>IF(AND($A340='أفضل 5 طلاب'!$C$3,$B340=الإعدادات!$C$9,$N340=1,ISNUMBER($G340)),$G340*100000+N($H340)*100+N($I340)+(1000-ROW())/10000,0)</f>
        <v>0</v>
      </c>
      <c r="N340" s="43">
        <f t="shared" si="15"/>
        <v>0</v>
      </c>
      <c r="O340" s="43" t="str">
        <f t="shared" si="17"/>
        <v/>
      </c>
      <c r="P340" s="43">
        <f t="shared" si="16"/>
        <v>0</v>
      </c>
    </row>
    <row r="341" spans="1:16">
      <c r="A341" s="48">
        <v>9</v>
      </c>
      <c r="B341" s="49" t="str">
        <f>IFERROR(INDEX(الطلاب!$C$5:$C$44,MATCH($D341,الطلاب!$A$5:$A$44,0)),"")</f>
        <v>المقرأة الأولى</v>
      </c>
      <c r="C341" s="49" t="str">
        <f>IFERROR(INDEX(الطلاب!$D$5:$D$44,MATCH($D341,الطلاب!$A$5:$A$44,0)),"")</f>
        <v xml:space="preserve">حسان بن ثابت </v>
      </c>
      <c r="D341" s="49">
        <v>17</v>
      </c>
      <c r="E341" s="50" t="str">
        <f>IFERROR(INDEX(الطلاب!$B$5:$B$44,MATCH($D341,الطلاب!$A$5:$A$44,0)),"")</f>
        <v xml:space="preserve">عبدالله الضحيان </v>
      </c>
      <c r="F341" s="40"/>
      <c r="G341" s="40"/>
      <c r="H341" s="40"/>
      <c r="I341" s="40"/>
      <c r="J341" s="40"/>
      <c r="K341" s="36"/>
      <c r="L341" s="43">
        <f>IF(AND($A341='أفضل 5 طلاب'!$C$3,$B341=الإعدادات!$C$8,$N341=1,ISNUMBER($G341)),$G341*100000+N($H341)*100+N($I341)+(1000-ROW())/10000,0)</f>
        <v>0</v>
      </c>
      <c r="M341" s="43">
        <f>IF(AND($A341='أفضل 5 طلاب'!$C$3,$B341=الإعدادات!$C$9,$N341=1,ISNUMBER($G341)),$G341*100000+N($H341)*100+N($I341)+(1000-ROW())/10000,0)</f>
        <v>0</v>
      </c>
      <c r="N341" s="43">
        <f t="shared" si="15"/>
        <v>0</v>
      </c>
      <c r="O341" s="43" t="str">
        <f t="shared" si="17"/>
        <v/>
      </c>
      <c r="P341" s="43">
        <f t="shared" si="16"/>
        <v>0</v>
      </c>
    </row>
    <row r="342" spans="1:16">
      <c r="A342" s="48">
        <v>9</v>
      </c>
      <c r="B342" s="49" t="str">
        <f>IFERROR(INDEX(الطلاب!$C$5:$C$44,MATCH($D342,الطلاب!$A$5:$A$44,0)),"")</f>
        <v>المقرأة الأولى</v>
      </c>
      <c r="C342" s="49" t="str">
        <f>IFERROR(INDEX(الطلاب!$D$5:$D$44,MATCH($D342,الطلاب!$A$5:$A$44,0)),"")</f>
        <v xml:space="preserve">حسان بن ثابت </v>
      </c>
      <c r="D342" s="49">
        <v>18</v>
      </c>
      <c r="E342" s="50" t="str">
        <f>IFERROR(INDEX(الطلاب!$B$5:$B$44,MATCH($D342,الطلاب!$A$5:$A$44,0)),"")</f>
        <v xml:space="preserve">فيصل الدخيل </v>
      </c>
      <c r="F342" s="40"/>
      <c r="G342" s="40"/>
      <c r="H342" s="40"/>
      <c r="I342" s="40"/>
      <c r="J342" s="40"/>
      <c r="K342" s="36"/>
      <c r="L342" s="43">
        <f>IF(AND($A342='أفضل 5 طلاب'!$C$3,$B342=الإعدادات!$C$8,$N342=1,ISNUMBER($G342)),$G342*100000+N($H342)*100+N($I342)+(1000-ROW())/10000,0)</f>
        <v>0</v>
      </c>
      <c r="M342" s="43">
        <f>IF(AND($A342='أفضل 5 طلاب'!$C$3,$B342=الإعدادات!$C$9,$N342=1,ISNUMBER($G342)),$G342*100000+N($H342)*100+N($I342)+(1000-ROW())/10000,0)</f>
        <v>0</v>
      </c>
      <c r="N342" s="43">
        <f t="shared" si="15"/>
        <v>0</v>
      </c>
      <c r="O342" s="43" t="str">
        <f t="shared" si="17"/>
        <v/>
      </c>
      <c r="P342" s="43">
        <f t="shared" si="16"/>
        <v>0</v>
      </c>
    </row>
    <row r="343" spans="1:16">
      <c r="A343" s="48">
        <v>9</v>
      </c>
      <c r="B343" s="49" t="str">
        <f>IFERROR(INDEX(الطلاب!$C$5:$C$44,MATCH($D343,الطلاب!$A$5:$A$44,0)),"")</f>
        <v>المقرأة الأولى</v>
      </c>
      <c r="C343" s="49" t="str">
        <f>IFERROR(INDEX(الطلاب!$D$5:$D$44,MATCH($D343,الطلاب!$A$5:$A$44,0)),"")</f>
        <v xml:space="preserve">حسان بن ثابت </v>
      </c>
      <c r="D343" s="49">
        <v>19</v>
      </c>
      <c r="E343" s="50" t="str">
        <f>IFERROR(INDEX(الطلاب!$B$5:$B$44,MATCH($D343,الطلاب!$A$5:$A$44,0)),"")</f>
        <v xml:space="preserve">سليمان المحيميد </v>
      </c>
      <c r="F343" s="40"/>
      <c r="G343" s="40"/>
      <c r="H343" s="40"/>
      <c r="I343" s="40"/>
      <c r="J343" s="40"/>
      <c r="K343" s="36"/>
      <c r="L343" s="43">
        <f>IF(AND($A343='أفضل 5 طلاب'!$C$3,$B343=الإعدادات!$C$8,$N343=1,ISNUMBER($G343)),$G343*100000+N($H343)*100+N($I343)+(1000-ROW())/10000,0)</f>
        <v>0</v>
      </c>
      <c r="M343" s="43">
        <f>IF(AND($A343='أفضل 5 طلاب'!$C$3,$B343=الإعدادات!$C$9,$N343=1,ISNUMBER($G343)),$G343*100000+N($H343)*100+N($I343)+(1000-ROW())/10000,0)</f>
        <v>0</v>
      </c>
      <c r="N343" s="43">
        <f t="shared" si="15"/>
        <v>0</v>
      </c>
      <c r="O343" s="43" t="str">
        <f t="shared" si="17"/>
        <v/>
      </c>
      <c r="P343" s="43">
        <f t="shared" si="16"/>
        <v>0</v>
      </c>
    </row>
    <row r="344" spans="1:16">
      <c r="A344" s="48">
        <v>9</v>
      </c>
      <c r="B344" s="49" t="str">
        <f>IFERROR(INDEX(الطلاب!$C$5:$C$44,MATCH($D344,الطلاب!$A$5:$A$44,0)),"")</f>
        <v>المقرأة الثانية</v>
      </c>
      <c r="C344" s="49" t="str">
        <f>IFERROR(INDEX(الطلاب!$D$5:$D$44,MATCH($D344,الطلاب!$A$5:$A$44,0)),"")</f>
        <v xml:space="preserve">ابن رجب </v>
      </c>
      <c r="D344" s="49">
        <v>20</v>
      </c>
      <c r="E344" s="50" t="str">
        <f>IFERROR(INDEX(الطلاب!$B$5:$B$44,MATCH($D344,الطلاب!$A$5:$A$44,0)),"")</f>
        <v xml:space="preserve">اصيل التويجري </v>
      </c>
      <c r="F344" s="40"/>
      <c r="G344" s="40"/>
      <c r="H344" s="40"/>
      <c r="I344" s="40"/>
      <c r="J344" s="40"/>
      <c r="K344" s="36"/>
      <c r="L344" s="43">
        <f>IF(AND($A344='أفضل 5 طلاب'!$C$3,$B344=الإعدادات!$C$8,$N344=1,ISNUMBER($G344)),$G344*100000+N($H344)*100+N($I344)+(1000-ROW())/10000,0)</f>
        <v>0</v>
      </c>
      <c r="M344" s="43">
        <f>IF(AND($A344='أفضل 5 طلاب'!$C$3,$B344=الإعدادات!$C$9,$N344=1,ISNUMBER($G344)),$G344*100000+N($H344)*100+N($I344)+(1000-ROW())/10000,0)</f>
        <v>0</v>
      </c>
      <c r="N344" s="43">
        <f t="shared" si="15"/>
        <v>0</v>
      </c>
      <c r="O344" s="43" t="str">
        <f t="shared" si="17"/>
        <v/>
      </c>
      <c r="P344" s="43">
        <f t="shared" si="16"/>
        <v>0</v>
      </c>
    </row>
    <row r="345" spans="1:16">
      <c r="A345" s="48">
        <v>9</v>
      </c>
      <c r="B345" s="49" t="str">
        <f>IFERROR(INDEX(الطلاب!$C$5:$C$44,MATCH($D345,الطلاب!$A$5:$A$44,0)),"")</f>
        <v>المقرأة الثانية</v>
      </c>
      <c r="C345" s="49" t="str">
        <f>IFERROR(INDEX(الطلاب!$D$5:$D$44,MATCH($D345,الطلاب!$A$5:$A$44,0)),"")</f>
        <v xml:space="preserve">ابن رجب </v>
      </c>
      <c r="D345" s="49">
        <v>21</v>
      </c>
      <c r="E345" s="50" t="str">
        <f>IFERROR(INDEX(الطلاب!$B$5:$B$44,MATCH($D345,الطلاب!$A$5:$A$44,0)),"")</f>
        <v xml:space="preserve">جواد الرفيعي </v>
      </c>
      <c r="F345" s="40"/>
      <c r="G345" s="40"/>
      <c r="H345" s="40"/>
      <c r="I345" s="40"/>
      <c r="J345" s="40"/>
      <c r="K345" s="36"/>
      <c r="L345" s="43">
        <f>IF(AND($A345='أفضل 5 طلاب'!$C$3,$B345=الإعدادات!$C$8,$N345=1,ISNUMBER($G345)),$G345*100000+N($H345)*100+N($I345)+(1000-ROW())/10000,0)</f>
        <v>0</v>
      </c>
      <c r="M345" s="43">
        <f>IF(AND($A345='أفضل 5 طلاب'!$C$3,$B345=الإعدادات!$C$9,$N345=1,ISNUMBER($G345)),$G345*100000+N($H345)*100+N($I345)+(1000-ROW())/10000,0)</f>
        <v>0</v>
      </c>
      <c r="N345" s="43">
        <f t="shared" si="15"/>
        <v>0</v>
      </c>
      <c r="O345" s="43" t="str">
        <f t="shared" si="17"/>
        <v/>
      </c>
      <c r="P345" s="43">
        <f t="shared" si="16"/>
        <v>0</v>
      </c>
    </row>
    <row r="346" spans="1:16">
      <c r="A346" s="48">
        <v>9</v>
      </c>
      <c r="B346" s="49" t="str">
        <f>IFERROR(INDEX(الطلاب!$C$5:$C$44,MATCH($D346,الطلاب!$A$5:$A$44,0)),"")</f>
        <v>المقرأة الثانية</v>
      </c>
      <c r="C346" s="49" t="str">
        <f>IFERROR(INDEX(الطلاب!$D$5:$D$44,MATCH($D346,الطلاب!$A$5:$A$44,0)),"")</f>
        <v xml:space="preserve">ابن رجب </v>
      </c>
      <c r="D346" s="49">
        <v>22</v>
      </c>
      <c r="E346" s="50" t="str">
        <f>IFERROR(INDEX(الطلاب!$B$5:$B$44,MATCH($D346,الطلاب!$A$5:$A$44,0)),"")</f>
        <v xml:space="preserve">سفيان السبيعي </v>
      </c>
      <c r="F346" s="40"/>
      <c r="G346" s="40"/>
      <c r="H346" s="40"/>
      <c r="I346" s="40"/>
      <c r="J346" s="40"/>
      <c r="K346" s="36"/>
      <c r="L346" s="43">
        <f>IF(AND($A346='أفضل 5 طلاب'!$C$3,$B346=الإعدادات!$C$8,$N346=1,ISNUMBER($G346)),$G346*100000+N($H346)*100+N($I346)+(1000-ROW())/10000,0)</f>
        <v>0</v>
      </c>
      <c r="M346" s="43">
        <f>IF(AND($A346='أفضل 5 طلاب'!$C$3,$B346=الإعدادات!$C$9,$N346=1,ISNUMBER($G346)),$G346*100000+N($H346)*100+N($I346)+(1000-ROW())/10000,0)</f>
        <v>0</v>
      </c>
      <c r="N346" s="43">
        <f t="shared" si="15"/>
        <v>0</v>
      </c>
      <c r="O346" s="43" t="str">
        <f t="shared" si="17"/>
        <v/>
      </c>
      <c r="P346" s="43">
        <f t="shared" si="16"/>
        <v>0</v>
      </c>
    </row>
    <row r="347" spans="1:16">
      <c r="A347" s="48">
        <v>9</v>
      </c>
      <c r="B347" s="49" t="str">
        <f>IFERROR(INDEX(الطلاب!$C$5:$C$44,MATCH($D347,الطلاب!$A$5:$A$44,0)),"")</f>
        <v>المقرأة الثانية</v>
      </c>
      <c r="C347" s="49" t="str">
        <f>IFERROR(INDEX(الطلاب!$D$5:$D$44,MATCH($D347,الطلاب!$A$5:$A$44,0)),"")</f>
        <v xml:space="preserve">ابن رجب </v>
      </c>
      <c r="D347" s="49">
        <v>23</v>
      </c>
      <c r="E347" s="50" t="str">
        <f>IFERROR(INDEX(الطلاب!$B$5:$B$44,MATCH($D347,الطلاب!$A$5:$A$44,0)),"")</f>
        <v xml:space="preserve">عمار الفضل </v>
      </c>
      <c r="F347" s="40"/>
      <c r="G347" s="40"/>
      <c r="H347" s="40"/>
      <c r="I347" s="40"/>
      <c r="J347" s="40"/>
      <c r="K347" s="36"/>
      <c r="L347" s="43">
        <f>IF(AND($A347='أفضل 5 طلاب'!$C$3,$B347=الإعدادات!$C$8,$N347=1,ISNUMBER($G347)),$G347*100000+N($H347)*100+N($I347)+(1000-ROW())/10000,0)</f>
        <v>0</v>
      </c>
      <c r="M347" s="43">
        <f>IF(AND($A347='أفضل 5 طلاب'!$C$3,$B347=الإعدادات!$C$9,$N347=1,ISNUMBER($G347)),$G347*100000+N($H347)*100+N($I347)+(1000-ROW())/10000,0)</f>
        <v>0</v>
      </c>
      <c r="N347" s="43">
        <f t="shared" si="15"/>
        <v>0</v>
      </c>
      <c r="O347" s="43" t="str">
        <f t="shared" si="17"/>
        <v/>
      </c>
      <c r="P347" s="43">
        <f t="shared" si="16"/>
        <v>0</v>
      </c>
    </row>
    <row r="348" spans="1:16">
      <c r="A348" s="48">
        <v>9</v>
      </c>
      <c r="B348" s="49" t="str">
        <f>IFERROR(INDEX(الطلاب!$C$5:$C$44,MATCH($D348,الطلاب!$A$5:$A$44,0)),"")</f>
        <v>المقرأة الثانية</v>
      </c>
      <c r="C348" s="49" t="str">
        <f>IFERROR(INDEX(الطلاب!$D$5:$D$44,MATCH($D348,الطلاب!$A$5:$A$44,0)),"")</f>
        <v xml:space="preserve">ابن رجب </v>
      </c>
      <c r="D348" s="49">
        <v>24</v>
      </c>
      <c r="E348" s="50" t="str">
        <f>IFERROR(INDEX(الطلاب!$B$5:$B$44,MATCH($D348,الطلاب!$A$5:$A$44,0)),"")</f>
        <v xml:space="preserve">مروان المهوس </v>
      </c>
      <c r="F348" s="40"/>
      <c r="G348" s="40"/>
      <c r="H348" s="40"/>
      <c r="I348" s="40"/>
      <c r="J348" s="40"/>
      <c r="K348" s="36"/>
      <c r="L348" s="43">
        <f>IF(AND($A348='أفضل 5 طلاب'!$C$3,$B348=الإعدادات!$C$8,$N348=1,ISNUMBER($G348)),$G348*100000+N($H348)*100+N($I348)+(1000-ROW())/10000,0)</f>
        <v>0</v>
      </c>
      <c r="M348" s="43">
        <f>IF(AND($A348='أفضل 5 طلاب'!$C$3,$B348=الإعدادات!$C$9,$N348=1,ISNUMBER($G348)),$G348*100000+N($H348)*100+N($I348)+(1000-ROW())/10000,0)</f>
        <v>0</v>
      </c>
      <c r="N348" s="43">
        <f t="shared" si="15"/>
        <v>0</v>
      </c>
      <c r="O348" s="43" t="str">
        <f t="shared" si="17"/>
        <v/>
      </c>
      <c r="P348" s="43">
        <f t="shared" si="16"/>
        <v>0</v>
      </c>
    </row>
    <row r="349" spans="1:16">
      <c r="A349" s="48">
        <v>9</v>
      </c>
      <c r="B349" s="49" t="str">
        <f>IFERROR(INDEX(الطلاب!$C$5:$C$44,MATCH($D349,الطلاب!$A$5:$A$44,0)),"")</f>
        <v>المقرأة الثانية</v>
      </c>
      <c r="C349" s="49" t="str">
        <f>IFERROR(INDEX(الطلاب!$D$5:$D$44,MATCH($D349,الطلاب!$A$5:$A$44,0)),"")</f>
        <v xml:space="preserve">ابن رجب </v>
      </c>
      <c r="D349" s="49">
        <v>25</v>
      </c>
      <c r="E349" s="50" t="str">
        <f>IFERROR(INDEX(الطلاب!$B$5:$B$44,MATCH($D349,الطلاب!$A$5:$A$44,0)),"")</f>
        <v>جهاد الجدعان</v>
      </c>
      <c r="F349" s="40"/>
      <c r="G349" s="40"/>
      <c r="H349" s="40"/>
      <c r="I349" s="40"/>
      <c r="J349" s="40"/>
      <c r="K349" s="36"/>
      <c r="L349" s="43">
        <f>IF(AND($A349='أفضل 5 طلاب'!$C$3,$B349=الإعدادات!$C$8,$N349=1,ISNUMBER($G349)),$G349*100000+N($H349)*100+N($I349)+(1000-ROW())/10000,0)</f>
        <v>0</v>
      </c>
      <c r="M349" s="43">
        <f>IF(AND($A349='أفضل 5 طلاب'!$C$3,$B349=الإعدادات!$C$9,$N349=1,ISNUMBER($G349)),$G349*100000+N($H349)*100+N($I349)+(1000-ROW())/10000,0)</f>
        <v>0</v>
      </c>
      <c r="N349" s="43">
        <f t="shared" si="15"/>
        <v>0</v>
      </c>
      <c r="O349" s="43" t="str">
        <f t="shared" si="17"/>
        <v/>
      </c>
      <c r="P349" s="43">
        <f t="shared" si="16"/>
        <v>0</v>
      </c>
    </row>
    <row r="350" spans="1:16">
      <c r="A350" s="48">
        <v>9</v>
      </c>
      <c r="B350" s="49" t="str">
        <f>IFERROR(INDEX(الطلاب!$C$5:$C$44,MATCH($D350,الطلاب!$A$5:$A$44,0)),"")</f>
        <v>المقرأة الثانية</v>
      </c>
      <c r="C350" s="49" t="str">
        <f>IFERROR(INDEX(الطلاب!$D$5:$D$44,MATCH($D350,الطلاب!$A$5:$A$44,0)),"")</f>
        <v xml:space="preserve">ابن رجب </v>
      </c>
      <c r="D350" s="49">
        <v>26</v>
      </c>
      <c r="E350" s="50" t="str">
        <f>IFERROR(INDEX(الطلاب!$B$5:$B$44,MATCH($D350,الطلاب!$A$5:$A$44,0)),"")</f>
        <v>صلاح مسعد</v>
      </c>
      <c r="F350" s="40"/>
      <c r="G350" s="40"/>
      <c r="H350" s="40"/>
      <c r="I350" s="40"/>
      <c r="J350" s="40"/>
      <c r="K350" s="36"/>
      <c r="L350" s="43">
        <f>IF(AND($A350='أفضل 5 طلاب'!$C$3,$B350=الإعدادات!$C$8,$N350=1,ISNUMBER($G350)),$G350*100000+N($H350)*100+N($I350)+(1000-ROW())/10000,0)</f>
        <v>0</v>
      </c>
      <c r="M350" s="43">
        <f>IF(AND($A350='أفضل 5 طلاب'!$C$3,$B350=الإعدادات!$C$9,$N350=1,ISNUMBER($G350)),$G350*100000+N($H350)*100+N($I350)+(1000-ROW())/10000,0)</f>
        <v>0</v>
      </c>
      <c r="N350" s="43">
        <f t="shared" si="15"/>
        <v>0</v>
      </c>
      <c r="O350" s="43" t="str">
        <f t="shared" si="17"/>
        <v/>
      </c>
      <c r="P350" s="43">
        <f t="shared" si="16"/>
        <v>0</v>
      </c>
    </row>
    <row r="351" spans="1:16">
      <c r="A351" s="48">
        <v>9</v>
      </c>
      <c r="B351" s="49" t="str">
        <f>IFERROR(INDEX(الطلاب!$C$5:$C$44,MATCH($D351,الطلاب!$A$5:$A$44,0)),"")</f>
        <v>المقرأة الثانية</v>
      </c>
      <c r="C351" s="49" t="str">
        <f>IFERROR(INDEX(الطلاب!$D$5:$D$44,MATCH($D351,الطلاب!$A$5:$A$44,0)),"")</f>
        <v xml:space="preserve">ابي بن مالك </v>
      </c>
      <c r="D351" s="49">
        <v>27</v>
      </c>
      <c r="E351" s="50" t="str">
        <f>IFERROR(INDEX(الطلاب!$B$5:$B$44,MATCH($D351,الطلاب!$A$5:$A$44,0)),"")</f>
        <v>سالم بانوير</v>
      </c>
      <c r="F351" s="40"/>
      <c r="G351" s="40"/>
      <c r="H351" s="40"/>
      <c r="I351" s="40"/>
      <c r="J351" s="40"/>
      <c r="K351" s="36"/>
      <c r="L351" s="43">
        <f>IF(AND($A351='أفضل 5 طلاب'!$C$3,$B351=الإعدادات!$C$8,$N351=1,ISNUMBER($G351)),$G351*100000+N($H351)*100+N($I351)+(1000-ROW())/10000,0)</f>
        <v>0</v>
      </c>
      <c r="M351" s="43">
        <f>IF(AND($A351='أفضل 5 طلاب'!$C$3,$B351=الإعدادات!$C$9,$N351=1,ISNUMBER($G351)),$G351*100000+N($H351)*100+N($I351)+(1000-ROW())/10000,0)</f>
        <v>0</v>
      </c>
      <c r="N351" s="43">
        <f t="shared" si="15"/>
        <v>0</v>
      </c>
      <c r="O351" s="43" t="str">
        <f t="shared" si="17"/>
        <v/>
      </c>
      <c r="P351" s="43">
        <f t="shared" si="16"/>
        <v>0</v>
      </c>
    </row>
    <row r="352" spans="1:16">
      <c r="A352" s="48">
        <v>9</v>
      </c>
      <c r="B352" s="49" t="str">
        <f>IFERROR(INDEX(الطلاب!$C$5:$C$44,MATCH($D352,الطلاب!$A$5:$A$44,0)),"")</f>
        <v>المقرأة الثانية</v>
      </c>
      <c r="C352" s="49" t="str">
        <f>IFERROR(INDEX(الطلاب!$D$5:$D$44,MATCH($D352,الطلاب!$A$5:$A$44,0)),"")</f>
        <v xml:space="preserve">ابي بن مالك </v>
      </c>
      <c r="D352" s="49">
        <v>28</v>
      </c>
      <c r="E352" s="50" t="str">
        <f>IFERROR(INDEX(الطلاب!$B$5:$B$44,MATCH($D352,الطلاب!$A$5:$A$44,0)),"")</f>
        <v xml:space="preserve">عبدالعزيز الصقعبي </v>
      </c>
      <c r="F352" s="40"/>
      <c r="G352" s="40"/>
      <c r="H352" s="40"/>
      <c r="I352" s="40"/>
      <c r="J352" s="40"/>
      <c r="K352" s="36"/>
      <c r="L352" s="43">
        <f>IF(AND($A352='أفضل 5 طلاب'!$C$3,$B352=الإعدادات!$C$8,$N352=1,ISNUMBER($G352)),$G352*100000+N($H352)*100+N($I352)+(1000-ROW())/10000,0)</f>
        <v>0</v>
      </c>
      <c r="M352" s="43">
        <f>IF(AND($A352='أفضل 5 طلاب'!$C$3,$B352=الإعدادات!$C$9,$N352=1,ISNUMBER($G352)),$G352*100000+N($H352)*100+N($I352)+(1000-ROW())/10000,0)</f>
        <v>0</v>
      </c>
      <c r="N352" s="43">
        <f t="shared" si="15"/>
        <v>0</v>
      </c>
      <c r="O352" s="43" t="str">
        <f t="shared" si="17"/>
        <v/>
      </c>
      <c r="P352" s="43">
        <f t="shared" si="16"/>
        <v>0</v>
      </c>
    </row>
    <row r="353" spans="1:16">
      <c r="A353" s="48">
        <v>9</v>
      </c>
      <c r="B353" s="49" t="str">
        <f>IFERROR(INDEX(الطلاب!$C$5:$C$44,MATCH($D353,الطلاب!$A$5:$A$44,0)),"")</f>
        <v>المقرأة الثانية</v>
      </c>
      <c r="C353" s="49" t="str">
        <f>IFERROR(INDEX(الطلاب!$D$5:$D$44,MATCH($D353,الطلاب!$A$5:$A$44,0)),"")</f>
        <v xml:space="preserve">ابي بن مالك </v>
      </c>
      <c r="D353" s="49">
        <v>29</v>
      </c>
      <c r="E353" s="50" t="str">
        <f>IFERROR(INDEX(الطلاب!$B$5:$B$44,MATCH($D353,الطلاب!$A$5:$A$44,0)),"")</f>
        <v xml:space="preserve">عبدالله المجيدل </v>
      </c>
      <c r="F353" s="40"/>
      <c r="G353" s="40"/>
      <c r="H353" s="40"/>
      <c r="I353" s="40"/>
      <c r="J353" s="40"/>
      <c r="K353" s="36"/>
      <c r="L353" s="43">
        <f>IF(AND($A353='أفضل 5 طلاب'!$C$3,$B353=الإعدادات!$C$8,$N353=1,ISNUMBER($G353)),$G353*100000+N($H353)*100+N($I353)+(1000-ROW())/10000,0)</f>
        <v>0</v>
      </c>
      <c r="M353" s="43">
        <f>IF(AND($A353='أفضل 5 طلاب'!$C$3,$B353=الإعدادات!$C$9,$N353=1,ISNUMBER($G353)),$G353*100000+N($H353)*100+N($I353)+(1000-ROW())/10000,0)</f>
        <v>0</v>
      </c>
      <c r="N353" s="43">
        <f t="shared" si="15"/>
        <v>0</v>
      </c>
      <c r="O353" s="43" t="str">
        <f t="shared" si="17"/>
        <v/>
      </c>
      <c r="P353" s="43">
        <f t="shared" si="16"/>
        <v>0</v>
      </c>
    </row>
    <row r="354" spans="1:16">
      <c r="A354" s="48">
        <v>9</v>
      </c>
      <c r="B354" s="49" t="str">
        <f>IFERROR(INDEX(الطلاب!$C$5:$C$44,MATCH($D354,الطلاب!$A$5:$A$44,0)),"")</f>
        <v>المقرأة الثانية</v>
      </c>
      <c r="C354" s="49" t="str">
        <f>IFERROR(INDEX(الطلاب!$D$5:$D$44,MATCH($D354,الطلاب!$A$5:$A$44,0)),"")</f>
        <v xml:space="preserve">ابي بن مالك </v>
      </c>
      <c r="D354" s="49">
        <v>30</v>
      </c>
      <c r="E354" s="50" t="str">
        <f>IFERROR(INDEX(الطلاب!$B$5:$B$44,MATCH($D354,الطلاب!$A$5:$A$44,0)),"")</f>
        <v>فواز الشدوخي</v>
      </c>
      <c r="F354" s="40"/>
      <c r="G354" s="40"/>
      <c r="H354" s="40"/>
      <c r="I354" s="40"/>
      <c r="J354" s="40"/>
      <c r="K354" s="36"/>
      <c r="L354" s="43">
        <f>IF(AND($A354='أفضل 5 طلاب'!$C$3,$B354=الإعدادات!$C$8,$N354=1,ISNUMBER($G354)),$G354*100000+N($H354)*100+N($I354)+(1000-ROW())/10000,0)</f>
        <v>0</v>
      </c>
      <c r="M354" s="43">
        <f>IF(AND($A354='أفضل 5 طلاب'!$C$3,$B354=الإعدادات!$C$9,$N354=1,ISNUMBER($G354)),$G354*100000+N($H354)*100+N($I354)+(1000-ROW())/10000,0)</f>
        <v>0</v>
      </c>
      <c r="N354" s="43">
        <f t="shared" si="15"/>
        <v>0</v>
      </c>
      <c r="O354" s="43" t="str">
        <f t="shared" si="17"/>
        <v/>
      </c>
      <c r="P354" s="43">
        <f t="shared" si="16"/>
        <v>0</v>
      </c>
    </row>
    <row r="355" spans="1:16">
      <c r="A355" s="48">
        <v>9</v>
      </c>
      <c r="B355" s="49" t="str">
        <f>IFERROR(INDEX(الطلاب!$C$5:$C$44,MATCH($D355,الطلاب!$A$5:$A$44,0)),"")</f>
        <v>المقرأة الثانية</v>
      </c>
      <c r="C355" s="49" t="str">
        <f>IFERROR(INDEX(الطلاب!$D$5:$D$44,MATCH($D355,الطلاب!$A$5:$A$44,0)),"")</f>
        <v xml:space="preserve">ابي بن مالك </v>
      </c>
      <c r="D355" s="49">
        <v>31</v>
      </c>
      <c r="E355" s="50" t="str">
        <f>IFERROR(INDEX(الطلاب!$B$5:$B$44,MATCH($D355,الطلاب!$A$5:$A$44,0)),"")</f>
        <v>محمد الطامي</v>
      </c>
      <c r="F355" s="40"/>
      <c r="G355" s="40"/>
      <c r="H355" s="40"/>
      <c r="I355" s="40"/>
      <c r="J355" s="40"/>
      <c r="K355" s="36"/>
      <c r="L355" s="43">
        <f>IF(AND($A355='أفضل 5 طلاب'!$C$3,$B355=الإعدادات!$C$8,$N355=1,ISNUMBER($G355)),$G355*100000+N($H355)*100+N($I355)+(1000-ROW())/10000,0)</f>
        <v>0</v>
      </c>
      <c r="M355" s="43">
        <f>IF(AND($A355='أفضل 5 طلاب'!$C$3,$B355=الإعدادات!$C$9,$N355=1,ISNUMBER($G355)),$G355*100000+N($H355)*100+N($I355)+(1000-ROW())/10000,0)</f>
        <v>0</v>
      </c>
      <c r="N355" s="43">
        <f t="shared" si="15"/>
        <v>0</v>
      </c>
      <c r="O355" s="43" t="str">
        <f t="shared" si="17"/>
        <v/>
      </c>
      <c r="P355" s="43">
        <f t="shared" si="16"/>
        <v>0</v>
      </c>
    </row>
    <row r="356" spans="1:16">
      <c r="A356" s="48">
        <v>9</v>
      </c>
      <c r="B356" s="49" t="str">
        <f>IFERROR(INDEX(الطلاب!$C$5:$C$44,MATCH($D356,الطلاب!$A$5:$A$44,0)),"")</f>
        <v>المقرأة الثانية</v>
      </c>
      <c r="C356" s="49" t="str">
        <f>IFERROR(INDEX(الطلاب!$D$5:$D$44,MATCH($D356,الطلاب!$A$5:$A$44,0)),"")</f>
        <v xml:space="preserve">ابي بن مالك </v>
      </c>
      <c r="D356" s="49">
        <v>32</v>
      </c>
      <c r="E356" s="50" t="str">
        <f>IFERROR(INDEX(الطلاب!$B$5:$B$44,MATCH($D356,الطلاب!$A$5:$A$44,0)),"")</f>
        <v xml:space="preserve">مهند الغماس </v>
      </c>
      <c r="F356" s="40"/>
      <c r="G356" s="40"/>
      <c r="H356" s="40"/>
      <c r="I356" s="40"/>
      <c r="J356" s="40"/>
      <c r="K356" s="36"/>
      <c r="L356" s="43">
        <f>IF(AND($A356='أفضل 5 طلاب'!$C$3,$B356=الإعدادات!$C$8,$N356=1,ISNUMBER($G356)),$G356*100000+N($H356)*100+N($I356)+(1000-ROW())/10000,0)</f>
        <v>0</v>
      </c>
      <c r="M356" s="43">
        <f>IF(AND($A356='أفضل 5 طلاب'!$C$3,$B356=الإعدادات!$C$9,$N356=1,ISNUMBER($G356)),$G356*100000+N($H356)*100+N($I356)+(1000-ROW())/10000,0)</f>
        <v>0</v>
      </c>
      <c r="N356" s="43">
        <f t="shared" si="15"/>
        <v>0</v>
      </c>
      <c r="O356" s="43" t="str">
        <f t="shared" si="17"/>
        <v/>
      </c>
      <c r="P356" s="43">
        <f t="shared" si="16"/>
        <v>0</v>
      </c>
    </row>
    <row r="357" spans="1:16">
      <c r="A357" s="48">
        <v>9</v>
      </c>
      <c r="B357" s="49" t="str">
        <f>IFERROR(INDEX(الطلاب!$C$5:$C$44,MATCH($D357,الطلاب!$A$5:$A$44,0)),"")</f>
        <v>المقرأة الثانية</v>
      </c>
      <c r="C357" s="49" t="str">
        <f>IFERROR(INDEX(الطلاب!$D$5:$D$44,MATCH($D357,الطلاب!$A$5:$A$44,0)),"")</f>
        <v xml:space="preserve">ابي بن مالك </v>
      </c>
      <c r="D357" s="49">
        <v>33</v>
      </c>
      <c r="E357" s="50" t="str">
        <f>IFERROR(INDEX(الطلاب!$B$5:$B$44,MATCH($D357,الطلاب!$A$5:$A$44,0)),"")</f>
        <v>يوسف الحربي</v>
      </c>
      <c r="F357" s="40"/>
      <c r="G357" s="40"/>
      <c r="H357" s="40"/>
      <c r="I357" s="40"/>
      <c r="J357" s="40"/>
      <c r="K357" s="36"/>
      <c r="L357" s="43">
        <f>IF(AND($A357='أفضل 5 طلاب'!$C$3,$B357=الإعدادات!$C$8,$N357=1,ISNUMBER($G357)),$G357*100000+N($H357)*100+N($I357)+(1000-ROW())/10000,0)</f>
        <v>0</v>
      </c>
      <c r="M357" s="43">
        <f>IF(AND($A357='أفضل 5 طلاب'!$C$3,$B357=الإعدادات!$C$9,$N357=1,ISNUMBER($G357)),$G357*100000+N($H357)*100+N($I357)+(1000-ROW())/10000,0)</f>
        <v>0</v>
      </c>
      <c r="N357" s="43">
        <f t="shared" si="15"/>
        <v>0</v>
      </c>
      <c r="O357" s="43" t="str">
        <f t="shared" si="17"/>
        <v/>
      </c>
      <c r="P357" s="43">
        <f t="shared" si="16"/>
        <v>0</v>
      </c>
    </row>
    <row r="358" spans="1:16">
      <c r="A358" s="48">
        <v>9</v>
      </c>
      <c r="B358" s="49" t="str">
        <f>IFERROR(INDEX(الطلاب!$C$5:$C$44,MATCH($D358,الطلاب!$A$5:$A$44,0)),"")</f>
        <v>المقرأة الثانية</v>
      </c>
      <c r="C358" s="49" t="str">
        <f>IFERROR(INDEX(الطلاب!$D$5:$D$44,MATCH($D358,الطلاب!$A$5:$A$44,0)),"")</f>
        <v xml:space="preserve">ابي بن مالك </v>
      </c>
      <c r="D358" s="49">
        <v>34</v>
      </c>
      <c r="E358" s="50" t="str">
        <f>IFERROR(INDEX(الطلاب!$B$5:$B$44,MATCH($D358,الطلاب!$A$5:$A$44,0)),"")</f>
        <v xml:space="preserve">عدي الفريح </v>
      </c>
      <c r="F358" s="40"/>
      <c r="G358" s="40"/>
      <c r="H358" s="40"/>
      <c r="I358" s="40"/>
      <c r="J358" s="40"/>
      <c r="K358" s="36"/>
      <c r="L358" s="43">
        <f>IF(AND($A358='أفضل 5 طلاب'!$C$3,$B358=الإعدادات!$C$8,$N358=1,ISNUMBER($G358)),$G358*100000+N($H358)*100+N($I358)+(1000-ROW())/10000,0)</f>
        <v>0</v>
      </c>
      <c r="M358" s="43">
        <f>IF(AND($A358='أفضل 5 طلاب'!$C$3,$B358=الإعدادات!$C$9,$N358=1,ISNUMBER($G358)),$G358*100000+N($H358)*100+N($I358)+(1000-ROW())/10000,0)</f>
        <v>0</v>
      </c>
      <c r="N358" s="43">
        <f t="shared" si="15"/>
        <v>0</v>
      </c>
      <c r="O358" s="43" t="str">
        <f t="shared" si="17"/>
        <v/>
      </c>
      <c r="P358" s="43">
        <f t="shared" si="16"/>
        <v>0</v>
      </c>
    </row>
    <row r="359" spans="1:16">
      <c r="A359" s="48">
        <v>9</v>
      </c>
      <c r="B359" s="49" t="str">
        <f>IFERROR(INDEX(الطلاب!$C$5:$C$44,MATCH($D359,الطلاب!$A$5:$A$44,0)),"")</f>
        <v>المقرأة الثانية</v>
      </c>
      <c r="C359" s="49" t="str">
        <f>IFERROR(INDEX(الطلاب!$D$5:$D$44,MATCH($D359,الطلاب!$A$5:$A$44,0)),"")</f>
        <v xml:space="preserve">ابي بن مالك </v>
      </c>
      <c r="D359" s="49">
        <v>35</v>
      </c>
      <c r="E359" s="50" t="str">
        <f>IFERROR(INDEX(الطلاب!$B$5:$B$44,MATCH($D359,الطلاب!$A$5:$A$44,0)),"")</f>
        <v xml:space="preserve">عبدالله الفايزي </v>
      </c>
      <c r="F359" s="40"/>
      <c r="G359" s="40"/>
      <c r="H359" s="40"/>
      <c r="I359" s="40"/>
      <c r="J359" s="40"/>
      <c r="K359" s="36"/>
      <c r="L359" s="43">
        <f>IF(AND($A359='أفضل 5 طلاب'!$C$3,$B359=الإعدادات!$C$8,$N359=1,ISNUMBER($G359)),$G359*100000+N($H359)*100+N($I359)+(1000-ROW())/10000,0)</f>
        <v>0</v>
      </c>
      <c r="M359" s="43">
        <f>IF(AND($A359='أفضل 5 طلاب'!$C$3,$B359=الإعدادات!$C$9,$N359=1,ISNUMBER($G359)),$G359*100000+N($H359)*100+N($I359)+(1000-ROW())/10000,0)</f>
        <v>0</v>
      </c>
      <c r="N359" s="43">
        <f t="shared" si="15"/>
        <v>0</v>
      </c>
      <c r="O359" s="43" t="str">
        <f t="shared" si="17"/>
        <v/>
      </c>
      <c r="P359" s="43">
        <f t="shared" si="16"/>
        <v>0</v>
      </c>
    </row>
    <row r="360" spans="1:16">
      <c r="A360" s="48">
        <v>9</v>
      </c>
      <c r="B360" s="49">
        <f>IFERROR(INDEX(الطلاب!$C$5:$C$44,MATCH($D360,الطلاب!$A$5:$A$44,0)),"")</f>
        <v>0</v>
      </c>
      <c r="C360" s="49">
        <f>IFERROR(INDEX(الطلاب!$D$5:$D$44,MATCH($D360,الطلاب!$A$5:$A$44,0)),"")</f>
        <v>0</v>
      </c>
      <c r="D360" s="49">
        <v>36</v>
      </c>
      <c r="E360" s="50" t="str">
        <f>IFERROR(INDEX(الطلاب!$B$5:$B$44,MATCH($D360,الطلاب!$A$5:$A$44,0)),"")</f>
        <v xml:space="preserve">عزام الحسن </v>
      </c>
      <c r="F360" s="40"/>
      <c r="G360" s="40"/>
      <c r="H360" s="40"/>
      <c r="I360" s="40"/>
      <c r="J360" s="40"/>
      <c r="K360" s="36"/>
      <c r="L360" s="43">
        <f>IF(AND($A360='أفضل 5 طلاب'!$C$3,$B360=الإعدادات!$C$8,$N360=1,ISNUMBER($G360)),$G360*100000+N($H360)*100+N($I360)+(1000-ROW())/10000,0)</f>
        <v>0</v>
      </c>
      <c r="M360" s="43">
        <f>IF(AND($A360='أفضل 5 طلاب'!$C$3,$B360=الإعدادات!$C$9,$N360=1,ISNUMBER($G360)),$G360*100000+N($H360)*100+N($I360)+(1000-ROW())/10000,0)</f>
        <v>0</v>
      </c>
      <c r="N360" s="43">
        <f t="shared" si="15"/>
        <v>0</v>
      </c>
      <c r="O360" s="43" t="str">
        <f t="shared" si="17"/>
        <v/>
      </c>
      <c r="P360" s="43">
        <f t="shared" si="16"/>
        <v>0</v>
      </c>
    </row>
    <row r="361" spans="1:16">
      <c r="A361" s="48">
        <v>9</v>
      </c>
      <c r="B361" s="49" t="str">
        <f>IFERROR(INDEX(الطلاب!$C$5:$C$44,MATCH($D361,الطلاب!$A$5:$A$44,0)),"")</f>
        <v>المقرأة الأولى</v>
      </c>
      <c r="C361" s="49" t="str">
        <f>IFERROR(INDEX(الطلاب!$D$5:$D$44,MATCH($D361,الطلاب!$A$5:$A$44,0)),"")</f>
        <v xml:space="preserve">عبدالرحمن بن النعمان </v>
      </c>
      <c r="D361" s="49">
        <v>37</v>
      </c>
      <c r="E361" s="50" t="str">
        <f>IFERROR(INDEX(الطلاب!$B$5:$B$44,MATCH($D361,الطلاب!$A$5:$A$44,0)),"")</f>
        <v xml:space="preserve">أسامة السعوي </v>
      </c>
      <c r="F361" s="40"/>
      <c r="G361" s="40"/>
      <c r="H361" s="40"/>
      <c r="I361" s="40"/>
      <c r="J361" s="40"/>
      <c r="K361" s="36"/>
      <c r="L361" s="43">
        <f>IF(AND($A361='أفضل 5 طلاب'!$C$3,$B361=الإعدادات!$C$8,$N361=1,ISNUMBER($G361)),$G361*100000+N($H361)*100+N($I361)+(1000-ROW())/10000,0)</f>
        <v>0</v>
      </c>
      <c r="M361" s="43">
        <f>IF(AND($A361='أفضل 5 طلاب'!$C$3,$B361=الإعدادات!$C$9,$N361=1,ISNUMBER($G361)),$G361*100000+N($H361)*100+N($I361)+(1000-ROW())/10000,0)</f>
        <v>0</v>
      </c>
      <c r="N361" s="43">
        <f t="shared" si="15"/>
        <v>0</v>
      </c>
      <c r="O361" s="43" t="str">
        <f t="shared" si="17"/>
        <v/>
      </c>
      <c r="P361" s="43">
        <f t="shared" si="16"/>
        <v>0</v>
      </c>
    </row>
    <row r="362" spans="1:16">
      <c r="A362" s="48">
        <v>9</v>
      </c>
      <c r="B362" s="49" t="str">
        <f>IFERROR(INDEX(الطلاب!$C$5:$C$44,MATCH($D362,الطلاب!$A$5:$A$44,0)),"")</f>
        <v>المقرأة الأولى</v>
      </c>
      <c r="C362" s="49" t="str">
        <f>IFERROR(INDEX(الطلاب!$D$5:$D$44,MATCH($D362,الطلاب!$A$5:$A$44,0)),"")</f>
        <v xml:space="preserve">حسان بن ثابت </v>
      </c>
      <c r="D362" s="49">
        <v>38</v>
      </c>
      <c r="E362" s="50" t="str">
        <f>IFERROR(INDEX(الطلاب!$B$5:$B$44,MATCH($D362,الطلاب!$A$5:$A$44,0)),"")</f>
        <v xml:space="preserve">عاصم الضالع </v>
      </c>
      <c r="F362" s="40"/>
      <c r="G362" s="40"/>
      <c r="H362" s="40"/>
      <c r="I362" s="40"/>
      <c r="J362" s="40"/>
      <c r="K362" s="36"/>
      <c r="L362" s="43">
        <f>IF(AND($A362='أفضل 5 طلاب'!$C$3,$B362=الإعدادات!$C$8,$N362=1,ISNUMBER($G362)),$G362*100000+N($H362)*100+N($I362)+(1000-ROW())/10000,0)</f>
        <v>0</v>
      </c>
      <c r="M362" s="43">
        <f>IF(AND($A362='أفضل 5 طلاب'!$C$3,$B362=الإعدادات!$C$9,$N362=1,ISNUMBER($G362)),$G362*100000+N($H362)*100+N($I362)+(1000-ROW())/10000,0)</f>
        <v>0</v>
      </c>
      <c r="N362" s="43">
        <f t="shared" si="15"/>
        <v>0</v>
      </c>
      <c r="O362" s="43" t="str">
        <f t="shared" si="17"/>
        <v/>
      </c>
      <c r="P362" s="43">
        <f t="shared" si="16"/>
        <v>0</v>
      </c>
    </row>
    <row r="363" spans="1:16">
      <c r="A363" s="48">
        <v>9</v>
      </c>
      <c r="B363" s="49">
        <f>IFERROR(INDEX(الطلاب!$C$5:$C$44,MATCH($D363,الطلاب!$A$5:$A$44,0)),"")</f>
        <v>0</v>
      </c>
      <c r="C363" s="49">
        <f>IFERROR(INDEX(الطلاب!$D$5:$D$44,MATCH($D363,الطلاب!$A$5:$A$44,0)),"")</f>
        <v>0</v>
      </c>
      <c r="D363" s="49">
        <v>39</v>
      </c>
      <c r="E363" s="50">
        <f>IFERROR(INDEX(الطلاب!$B$5:$B$44,MATCH($D363,الطلاب!$A$5:$A$44,0)),"")</f>
        <v>0</v>
      </c>
      <c r="F363" s="40"/>
      <c r="G363" s="40"/>
      <c r="H363" s="40"/>
      <c r="I363" s="40"/>
      <c r="J363" s="40"/>
      <c r="K363" s="36"/>
      <c r="L363" s="43">
        <f>IF(AND($A363='أفضل 5 طلاب'!$C$3,$B363=الإعدادات!$C$8,$N363=1,ISNUMBER($G363)),$G363*100000+N($H363)*100+N($I363)+(1000-ROW())/10000,0)</f>
        <v>0</v>
      </c>
      <c r="M363" s="43">
        <f>IF(AND($A363='أفضل 5 طلاب'!$C$3,$B363=الإعدادات!$C$9,$N363=1,ISNUMBER($G363)),$G363*100000+N($H363)*100+N($I363)+(1000-ROW())/10000,0)</f>
        <v>0</v>
      </c>
      <c r="N363" s="43">
        <f t="shared" si="15"/>
        <v>0</v>
      </c>
      <c r="O363" s="43" t="str">
        <f t="shared" si="17"/>
        <v/>
      </c>
      <c r="P363" s="43">
        <f t="shared" si="16"/>
        <v>0</v>
      </c>
    </row>
    <row r="364" spans="1:16" ht="15.95" thickBot="1">
      <c r="A364" s="48">
        <v>9</v>
      </c>
      <c r="B364" s="49">
        <f>IFERROR(INDEX(الطلاب!$C$5:$C$44,MATCH($D364,الطلاب!$A$5:$A$44,0)),"")</f>
        <v>0</v>
      </c>
      <c r="C364" s="49">
        <f>IFERROR(INDEX(الطلاب!$D$5:$D$44,MATCH($D364,الطلاب!$A$5:$A$44,0)),"")</f>
        <v>0</v>
      </c>
      <c r="D364" s="49">
        <v>40</v>
      </c>
      <c r="E364" s="50">
        <f>IFERROR(INDEX(الطلاب!$B$5:$B$44,MATCH($D364,الطلاب!$A$5:$A$44,0)),"")</f>
        <v>0</v>
      </c>
      <c r="F364" s="40"/>
      <c r="G364" s="40"/>
      <c r="H364" s="40"/>
      <c r="I364" s="40"/>
      <c r="J364" s="40"/>
      <c r="K364" s="36"/>
      <c r="L364" s="43">
        <f>IF(AND($A364='أفضل 5 طلاب'!$C$3,$B364=الإعدادات!$C$8,$N364=1,ISNUMBER($G364)),$G364*100000+N($H364)*100+N($I364)+(1000-ROW())/10000,0)</f>
        <v>0</v>
      </c>
      <c r="M364" s="43">
        <f>IF(AND($A364='أفضل 5 طلاب'!$C$3,$B364=الإعدادات!$C$9,$N364=1,ISNUMBER($G364)),$G364*100000+N($H364)*100+N($I364)+(1000-ROW())/10000,0)</f>
        <v>0</v>
      </c>
      <c r="N364" s="43">
        <f t="shared" si="15"/>
        <v>0</v>
      </c>
      <c r="O364" s="43" t="str">
        <f t="shared" si="17"/>
        <v/>
      </c>
      <c r="P364" s="43">
        <f t="shared" si="16"/>
        <v>0</v>
      </c>
    </row>
    <row r="365" spans="1:16">
      <c r="A365" s="52">
        <v>10</v>
      </c>
      <c r="B365" s="54" t="str">
        <f>IFERROR(INDEX(الطلاب!$C$5:$C$44,MATCH($D365,الطلاب!$A$5:$A$44,0)),"")</f>
        <v>المقرأة الأولى</v>
      </c>
      <c r="C365" s="54" t="str">
        <f>IFERROR(INDEX(الطلاب!$D$5:$D$44,MATCH($D365,الطلاب!$A$5:$A$44,0)),"")</f>
        <v xml:space="preserve">عبدالرحمن بن النعمان </v>
      </c>
      <c r="D365" s="54">
        <v>1</v>
      </c>
      <c r="E365" s="56" t="str">
        <f>IFERROR(INDEX(الطلاب!$B$5:$B$44,MATCH($D365,الطلاب!$A$5:$A$44,0)),"")</f>
        <v>غسان اليحيى</v>
      </c>
      <c r="F365" s="47"/>
      <c r="G365" s="47"/>
      <c r="H365" s="47"/>
      <c r="I365" s="47"/>
      <c r="J365" s="47"/>
      <c r="K365" s="36"/>
      <c r="L365" s="43">
        <f>IF(AND($A365='أفضل 5 طلاب'!$C$3,$B365=الإعدادات!$C$8,$N365=1,ISNUMBER($G365)),$G365*100000+N($H365)*100+N($I365)+(1000-ROW())/10000,0)</f>
        <v>0</v>
      </c>
      <c r="M365" s="43">
        <f>IF(AND($A365='أفضل 5 طلاب'!$C$3,$B365=الإعدادات!$C$9,$N365=1,ISNUMBER($G365)),$G365*100000+N($H365)*100+N($I365)+(1000-ROW())/10000,0)</f>
        <v>0</v>
      </c>
      <c r="N365" s="43">
        <f t="shared" si="15"/>
        <v>0</v>
      </c>
      <c r="O365" s="43" t="str">
        <f t="shared" si="17"/>
        <v/>
      </c>
      <c r="P365" s="43">
        <f t="shared" si="16"/>
        <v>0</v>
      </c>
    </row>
    <row r="366" spans="1:16">
      <c r="A366" s="58">
        <v>10</v>
      </c>
      <c r="B366" s="59" t="str">
        <f>IFERROR(INDEX(الطلاب!$C$5:$C$44,MATCH($D366,الطلاب!$A$5:$A$44,0)),"")</f>
        <v>المقرأة الأولى</v>
      </c>
      <c r="C366" s="59" t="str">
        <f>IFERROR(INDEX(الطلاب!$D$5:$D$44,MATCH($D366,الطلاب!$A$5:$A$44,0)),"")</f>
        <v xml:space="preserve">عبدالرحمن بن النعمان </v>
      </c>
      <c r="D366" s="59">
        <v>2</v>
      </c>
      <c r="E366" s="60" t="str">
        <f>IFERROR(INDEX(الطلاب!$B$5:$B$44,MATCH($D366,الطلاب!$A$5:$A$44,0)),"")</f>
        <v xml:space="preserve">صالح الشريف </v>
      </c>
      <c r="F366" s="40"/>
      <c r="G366" s="40"/>
      <c r="H366" s="40"/>
      <c r="I366" s="40"/>
      <c r="J366" s="40"/>
      <c r="K366" s="36"/>
      <c r="L366" s="43">
        <f>IF(AND($A366='أفضل 5 طلاب'!$C$3,$B366=الإعدادات!$C$8,$N366=1,ISNUMBER($G366)),$G366*100000+N($H366)*100+N($I366)+(1000-ROW())/10000,0)</f>
        <v>0</v>
      </c>
      <c r="M366" s="43">
        <f>IF(AND($A366='أفضل 5 طلاب'!$C$3,$B366=الإعدادات!$C$9,$N366=1,ISNUMBER($G366)),$G366*100000+N($H366)*100+N($I366)+(1000-ROW())/10000,0)</f>
        <v>0</v>
      </c>
      <c r="N366" s="43">
        <f t="shared" si="15"/>
        <v>0</v>
      </c>
      <c r="O366" s="43" t="str">
        <f t="shared" si="17"/>
        <v/>
      </c>
      <c r="P366" s="43">
        <f t="shared" si="16"/>
        <v>0</v>
      </c>
    </row>
    <row r="367" spans="1:16">
      <c r="A367" s="58">
        <v>10</v>
      </c>
      <c r="B367" s="59" t="str">
        <f>IFERROR(INDEX(الطلاب!$C$5:$C$44,MATCH($D367,الطلاب!$A$5:$A$44,0)),"")</f>
        <v>المقرأة الأولى</v>
      </c>
      <c r="C367" s="59" t="str">
        <f>IFERROR(INDEX(الطلاب!$D$5:$D$44,MATCH($D367,الطلاب!$A$5:$A$44,0)),"")</f>
        <v xml:space="preserve">عبدالرحمن بن النعمان </v>
      </c>
      <c r="D367" s="59">
        <v>3</v>
      </c>
      <c r="E367" s="60" t="str">
        <f>IFERROR(INDEX(الطلاب!$B$5:$B$44,MATCH($D367,الطلاب!$A$5:$A$44,0)),"")</f>
        <v xml:space="preserve">فهد المشيقح </v>
      </c>
      <c r="F367" s="40"/>
      <c r="G367" s="40"/>
      <c r="H367" s="40"/>
      <c r="I367" s="40"/>
      <c r="J367" s="40"/>
      <c r="K367" s="36"/>
      <c r="L367" s="43">
        <f>IF(AND($A367='أفضل 5 طلاب'!$C$3,$B367=الإعدادات!$C$8,$N367=1,ISNUMBER($G367)),$G367*100000+N($H367)*100+N($I367)+(1000-ROW())/10000,0)</f>
        <v>0</v>
      </c>
      <c r="M367" s="43">
        <f>IF(AND($A367='أفضل 5 طلاب'!$C$3,$B367=الإعدادات!$C$9,$N367=1,ISNUMBER($G367)),$G367*100000+N($H367)*100+N($I367)+(1000-ROW())/10000,0)</f>
        <v>0</v>
      </c>
      <c r="N367" s="43">
        <f t="shared" si="15"/>
        <v>0</v>
      </c>
      <c r="O367" s="43" t="str">
        <f t="shared" si="17"/>
        <v/>
      </c>
      <c r="P367" s="43">
        <f t="shared" si="16"/>
        <v>0</v>
      </c>
    </row>
    <row r="368" spans="1:16">
      <c r="A368" s="58">
        <v>10</v>
      </c>
      <c r="B368" s="59" t="str">
        <f>IFERROR(INDEX(الطلاب!$C$5:$C$44,MATCH($D368,الطلاب!$A$5:$A$44,0)),"")</f>
        <v>المقرأة الأولى</v>
      </c>
      <c r="C368" s="59" t="str">
        <f>IFERROR(INDEX(الطلاب!$D$5:$D$44,MATCH($D368,الطلاب!$A$5:$A$44,0)),"")</f>
        <v xml:space="preserve">عبدالرحمن بن النعمان </v>
      </c>
      <c r="D368" s="59">
        <v>4</v>
      </c>
      <c r="E368" s="60" t="str">
        <f>IFERROR(INDEX(الطلاب!$B$5:$B$44,MATCH($D368,الطلاب!$A$5:$A$44,0)),"")</f>
        <v>عبدالله الحفير</v>
      </c>
      <c r="F368" s="40"/>
      <c r="G368" s="40"/>
      <c r="H368" s="40"/>
      <c r="I368" s="40"/>
      <c r="J368" s="40"/>
      <c r="K368" s="36"/>
      <c r="L368" s="43">
        <f>IF(AND($A368='أفضل 5 طلاب'!$C$3,$B368=الإعدادات!$C$8,$N368=1,ISNUMBER($G368)),$G368*100000+N($H368)*100+N($I368)+(1000-ROW())/10000,0)</f>
        <v>0</v>
      </c>
      <c r="M368" s="43">
        <f>IF(AND($A368='أفضل 5 طلاب'!$C$3,$B368=الإعدادات!$C$9,$N368=1,ISNUMBER($G368)),$G368*100000+N($H368)*100+N($I368)+(1000-ROW())/10000,0)</f>
        <v>0</v>
      </c>
      <c r="N368" s="43">
        <f t="shared" si="15"/>
        <v>0</v>
      </c>
      <c r="O368" s="43" t="str">
        <f t="shared" si="17"/>
        <v/>
      </c>
      <c r="P368" s="43">
        <f t="shared" si="16"/>
        <v>0</v>
      </c>
    </row>
    <row r="369" spans="1:16">
      <c r="A369" s="58">
        <v>10</v>
      </c>
      <c r="B369" s="59" t="str">
        <f>IFERROR(INDEX(الطلاب!$C$5:$C$44,MATCH($D369,الطلاب!$A$5:$A$44,0)),"")</f>
        <v>المقرأة الأولى</v>
      </c>
      <c r="C369" s="59" t="str">
        <f>IFERROR(INDEX(الطلاب!$D$5:$D$44,MATCH($D369,الطلاب!$A$5:$A$44,0)),"")</f>
        <v xml:space="preserve">عبدالرحمن بن النعمان </v>
      </c>
      <c r="D369" s="59">
        <v>5</v>
      </c>
      <c r="E369" s="60" t="str">
        <f>IFERROR(INDEX(الطلاب!$B$5:$B$44,MATCH($D369,الطلاب!$A$5:$A$44,0)),"")</f>
        <v>زياد الدخيل الله</v>
      </c>
      <c r="F369" s="40"/>
      <c r="G369" s="40"/>
      <c r="H369" s="40"/>
      <c r="I369" s="40"/>
      <c r="J369" s="40"/>
      <c r="K369" s="36"/>
      <c r="L369" s="43">
        <f>IF(AND($A369='أفضل 5 طلاب'!$C$3,$B369=الإعدادات!$C$8,$N369=1,ISNUMBER($G369)),$G369*100000+N($H369)*100+N($I369)+(1000-ROW())/10000,0)</f>
        <v>0</v>
      </c>
      <c r="M369" s="43">
        <f>IF(AND($A369='أفضل 5 طلاب'!$C$3,$B369=الإعدادات!$C$9,$N369=1,ISNUMBER($G369)),$G369*100000+N($H369)*100+N($I369)+(1000-ROW())/10000,0)</f>
        <v>0</v>
      </c>
      <c r="N369" s="43">
        <f t="shared" si="15"/>
        <v>0</v>
      </c>
      <c r="O369" s="43" t="str">
        <f t="shared" si="17"/>
        <v/>
      </c>
      <c r="P369" s="43">
        <f t="shared" si="16"/>
        <v>0</v>
      </c>
    </row>
    <row r="370" spans="1:16">
      <c r="A370" s="58">
        <v>10</v>
      </c>
      <c r="B370" s="59" t="str">
        <f>IFERROR(INDEX(الطلاب!$C$5:$C$44,MATCH($D370,الطلاب!$A$5:$A$44,0)),"")</f>
        <v>المقرأة الأولى</v>
      </c>
      <c r="C370" s="59" t="str">
        <f>IFERROR(INDEX(الطلاب!$D$5:$D$44,MATCH($D370,الطلاب!$A$5:$A$44,0)),"")</f>
        <v xml:space="preserve">ابن رجب </v>
      </c>
      <c r="D370" s="59">
        <v>6</v>
      </c>
      <c r="E370" s="60" t="str">
        <f>IFERROR(INDEX(الطلاب!$B$5:$B$44,MATCH($D370,الطلاب!$A$5:$A$44,0)),"")</f>
        <v xml:space="preserve">عاصم الضبيعي </v>
      </c>
      <c r="F370" s="40"/>
      <c r="G370" s="40"/>
      <c r="H370" s="40"/>
      <c r="I370" s="40"/>
      <c r="J370" s="40"/>
      <c r="K370" s="36"/>
      <c r="L370" s="43">
        <f>IF(AND($A370='أفضل 5 طلاب'!$C$3,$B370=الإعدادات!$C$8,$N370=1,ISNUMBER($G370)),$G370*100000+N($H370)*100+N($I370)+(1000-ROW())/10000,0)</f>
        <v>0</v>
      </c>
      <c r="M370" s="43">
        <f>IF(AND($A370='أفضل 5 طلاب'!$C$3,$B370=الإعدادات!$C$9,$N370=1,ISNUMBER($G370)),$G370*100000+N($H370)*100+N($I370)+(1000-ROW())/10000,0)</f>
        <v>0</v>
      </c>
      <c r="N370" s="43">
        <f t="shared" si="15"/>
        <v>0</v>
      </c>
      <c r="O370" s="43" t="str">
        <f t="shared" si="17"/>
        <v/>
      </c>
      <c r="P370" s="43">
        <f t="shared" si="16"/>
        <v>0</v>
      </c>
    </row>
    <row r="371" spans="1:16">
      <c r="A371" s="58">
        <v>10</v>
      </c>
      <c r="B371" s="59" t="str">
        <f>IFERROR(INDEX(الطلاب!$C$5:$C$44,MATCH($D371,الطلاب!$A$5:$A$44,0)),"")</f>
        <v>المقرأة الأولى</v>
      </c>
      <c r="C371" s="59" t="str">
        <f>IFERROR(INDEX(الطلاب!$D$5:$D$44,MATCH($D371,الطلاب!$A$5:$A$44,0)),"")</f>
        <v xml:space="preserve">ابن رجب </v>
      </c>
      <c r="D371" s="59">
        <v>7</v>
      </c>
      <c r="E371" s="60" t="str">
        <f>IFERROR(INDEX(الطلاب!$B$5:$B$44,MATCH($D371,الطلاب!$A$5:$A$44,0)),"")</f>
        <v>محمد السعوي</v>
      </c>
      <c r="F371" s="40"/>
      <c r="G371" s="40"/>
      <c r="H371" s="40"/>
      <c r="I371" s="40"/>
      <c r="J371" s="40"/>
      <c r="K371" s="36"/>
      <c r="L371" s="43">
        <f>IF(AND($A371='أفضل 5 طلاب'!$C$3,$B371=الإعدادات!$C$8,$N371=1,ISNUMBER($G371)),$G371*100000+N($H371)*100+N($I371)+(1000-ROW())/10000,0)</f>
        <v>0</v>
      </c>
      <c r="M371" s="43">
        <f>IF(AND($A371='أفضل 5 طلاب'!$C$3,$B371=الإعدادات!$C$9,$N371=1,ISNUMBER($G371)),$G371*100000+N($H371)*100+N($I371)+(1000-ROW())/10000,0)</f>
        <v>0</v>
      </c>
      <c r="N371" s="43">
        <f t="shared" si="15"/>
        <v>0</v>
      </c>
      <c r="O371" s="43" t="str">
        <f t="shared" si="17"/>
        <v/>
      </c>
      <c r="P371" s="43">
        <f t="shared" si="16"/>
        <v>0</v>
      </c>
    </row>
    <row r="372" spans="1:16">
      <c r="A372" s="58">
        <v>10</v>
      </c>
      <c r="B372" s="59" t="str">
        <f>IFERROR(INDEX(الطلاب!$C$5:$C$44,MATCH($D372,الطلاب!$A$5:$A$44,0)),"")</f>
        <v>المقرأة الأولى</v>
      </c>
      <c r="C372" s="59" t="str">
        <f>IFERROR(INDEX(الطلاب!$D$5:$D$44,MATCH($D372,الطلاب!$A$5:$A$44,0)),"")</f>
        <v xml:space="preserve">ابن رجب </v>
      </c>
      <c r="D372" s="59">
        <v>8</v>
      </c>
      <c r="E372" s="60" t="str">
        <f>IFERROR(INDEX(الطلاب!$B$5:$B$44,MATCH($D372,الطلاب!$A$5:$A$44,0)),"")</f>
        <v>هشام المخلف</v>
      </c>
      <c r="F372" s="40"/>
      <c r="G372" s="40"/>
      <c r="H372" s="40"/>
      <c r="I372" s="40"/>
      <c r="J372" s="40"/>
      <c r="K372" s="36"/>
      <c r="L372" s="43">
        <f>IF(AND($A372='أفضل 5 طلاب'!$C$3,$B372=الإعدادات!$C$8,$N372=1,ISNUMBER($G372)),$G372*100000+N($H372)*100+N($I372)+(1000-ROW())/10000,0)</f>
        <v>0</v>
      </c>
      <c r="M372" s="43">
        <f>IF(AND($A372='أفضل 5 طلاب'!$C$3,$B372=الإعدادات!$C$9,$N372=1,ISNUMBER($G372)),$G372*100000+N($H372)*100+N($I372)+(1000-ROW())/10000,0)</f>
        <v>0</v>
      </c>
      <c r="N372" s="43">
        <f t="shared" si="15"/>
        <v>0</v>
      </c>
      <c r="O372" s="43" t="str">
        <f t="shared" si="17"/>
        <v/>
      </c>
      <c r="P372" s="43">
        <f t="shared" si="16"/>
        <v>0</v>
      </c>
    </row>
    <row r="373" spans="1:16">
      <c r="A373" s="58">
        <v>10</v>
      </c>
      <c r="B373" s="59" t="str">
        <f>IFERROR(INDEX(الطلاب!$C$5:$C$44,MATCH($D373,الطلاب!$A$5:$A$44,0)),"")</f>
        <v>المقرأة الأولى</v>
      </c>
      <c r="C373" s="59" t="str">
        <f>IFERROR(INDEX(الطلاب!$D$5:$D$44,MATCH($D373,الطلاب!$A$5:$A$44,0)),"")</f>
        <v xml:space="preserve">ابن رجب </v>
      </c>
      <c r="D373" s="59">
        <v>9</v>
      </c>
      <c r="E373" s="60" t="str">
        <f>IFERROR(INDEX(الطلاب!$B$5:$B$44,MATCH($D373,الطلاب!$A$5:$A$44,0)),"")</f>
        <v xml:space="preserve">اسامة السعدون </v>
      </c>
      <c r="F373" s="40"/>
      <c r="G373" s="40"/>
      <c r="H373" s="40"/>
      <c r="I373" s="40"/>
      <c r="J373" s="40"/>
      <c r="K373" s="36"/>
      <c r="L373" s="43">
        <f>IF(AND($A373='أفضل 5 طلاب'!$C$3,$B373=الإعدادات!$C$8,$N373=1,ISNUMBER($G373)),$G373*100000+N($H373)*100+N($I373)+(1000-ROW())/10000,0)</f>
        <v>0</v>
      </c>
      <c r="M373" s="43">
        <f>IF(AND($A373='أفضل 5 طلاب'!$C$3,$B373=الإعدادات!$C$9,$N373=1,ISNUMBER($G373)),$G373*100000+N($H373)*100+N($I373)+(1000-ROW())/10000,0)</f>
        <v>0</v>
      </c>
      <c r="N373" s="43">
        <f t="shared" si="15"/>
        <v>0</v>
      </c>
      <c r="O373" s="43" t="str">
        <f t="shared" si="17"/>
        <v/>
      </c>
      <c r="P373" s="43">
        <f t="shared" si="16"/>
        <v>0</v>
      </c>
    </row>
    <row r="374" spans="1:16">
      <c r="A374" s="58">
        <v>10</v>
      </c>
      <c r="B374" s="59" t="str">
        <f>IFERROR(INDEX(الطلاب!$C$5:$C$44,MATCH($D374,الطلاب!$A$5:$A$44,0)),"")</f>
        <v>المقرأة الأولى</v>
      </c>
      <c r="C374" s="59" t="str">
        <f>IFERROR(INDEX(الطلاب!$D$5:$D$44,MATCH($D374,الطلاب!$A$5:$A$44,0)),"")</f>
        <v xml:space="preserve">حسان بن ثابت </v>
      </c>
      <c r="D374" s="59">
        <v>10</v>
      </c>
      <c r="E374" s="60" t="str">
        <f>IFERROR(INDEX(الطلاب!$B$5:$B$44,MATCH($D374,الطلاب!$A$5:$A$44,0)),"")</f>
        <v xml:space="preserve">محمد الثنيان </v>
      </c>
      <c r="F374" s="40"/>
      <c r="G374" s="40"/>
      <c r="H374" s="40"/>
      <c r="I374" s="40"/>
      <c r="J374" s="40"/>
      <c r="K374" s="36"/>
      <c r="L374" s="43">
        <f>IF(AND($A374='أفضل 5 طلاب'!$C$3,$B374=الإعدادات!$C$8,$N374=1,ISNUMBER($G374)),$G374*100000+N($H374)*100+N($I374)+(1000-ROW())/10000,0)</f>
        <v>0</v>
      </c>
      <c r="M374" s="43">
        <f>IF(AND($A374='أفضل 5 طلاب'!$C$3,$B374=الإعدادات!$C$9,$N374=1,ISNUMBER($G374)),$G374*100000+N($H374)*100+N($I374)+(1000-ROW())/10000,0)</f>
        <v>0</v>
      </c>
      <c r="N374" s="43">
        <f t="shared" si="15"/>
        <v>0</v>
      </c>
      <c r="O374" s="43" t="str">
        <f t="shared" si="17"/>
        <v/>
      </c>
      <c r="P374" s="43">
        <f t="shared" si="16"/>
        <v>0</v>
      </c>
    </row>
    <row r="375" spans="1:16">
      <c r="A375" s="58">
        <v>10</v>
      </c>
      <c r="B375" s="59" t="str">
        <f>IFERROR(INDEX(الطلاب!$C$5:$C$44,MATCH($D375,الطلاب!$A$5:$A$44,0)),"")</f>
        <v>المقرأة الأولى</v>
      </c>
      <c r="C375" s="59" t="str">
        <f>IFERROR(INDEX(الطلاب!$D$5:$D$44,MATCH($D375,الطلاب!$A$5:$A$44,0)),"")</f>
        <v xml:space="preserve">حسان بن ثابت </v>
      </c>
      <c r="D375" s="59">
        <v>11</v>
      </c>
      <c r="E375" s="60" t="str">
        <f>IFERROR(INDEX(الطلاب!$B$5:$B$44,MATCH($D375,الطلاب!$A$5:$A$44,0)),"")</f>
        <v xml:space="preserve">كنان الجريفاني </v>
      </c>
      <c r="F375" s="40"/>
      <c r="G375" s="40"/>
      <c r="H375" s="40"/>
      <c r="I375" s="40"/>
      <c r="J375" s="40"/>
      <c r="K375" s="36"/>
      <c r="L375" s="43">
        <f>IF(AND($A375='أفضل 5 طلاب'!$C$3,$B375=الإعدادات!$C$8,$N375=1,ISNUMBER($G375)),$G375*100000+N($H375)*100+N($I375)+(1000-ROW())/10000,0)</f>
        <v>0</v>
      </c>
      <c r="M375" s="43">
        <f>IF(AND($A375='أفضل 5 طلاب'!$C$3,$B375=الإعدادات!$C$9,$N375=1,ISNUMBER($G375)),$G375*100000+N($H375)*100+N($I375)+(1000-ROW())/10000,0)</f>
        <v>0</v>
      </c>
      <c r="N375" s="43">
        <f t="shared" si="15"/>
        <v>0</v>
      </c>
      <c r="O375" s="43" t="str">
        <f t="shared" si="17"/>
        <v/>
      </c>
      <c r="P375" s="43">
        <f t="shared" si="16"/>
        <v>0</v>
      </c>
    </row>
    <row r="376" spans="1:16">
      <c r="A376" s="58">
        <v>10</v>
      </c>
      <c r="B376" s="59" t="str">
        <f>IFERROR(INDEX(الطلاب!$C$5:$C$44,MATCH($D376,الطلاب!$A$5:$A$44,0)),"")</f>
        <v>المقرأة الأولى</v>
      </c>
      <c r="C376" s="59" t="str">
        <f>IFERROR(INDEX(الطلاب!$D$5:$D$44,MATCH($D376,الطلاب!$A$5:$A$44,0)),"")</f>
        <v xml:space="preserve">حسان بن ثابت </v>
      </c>
      <c r="D376" s="59">
        <v>12</v>
      </c>
      <c r="E376" s="60" t="str">
        <f>IFERROR(INDEX(الطلاب!$B$5:$B$44,MATCH($D376,الطلاب!$A$5:$A$44,0)),"")</f>
        <v xml:space="preserve">عبدالمجيد الربعي </v>
      </c>
      <c r="F376" s="40"/>
      <c r="G376" s="40"/>
      <c r="H376" s="40"/>
      <c r="I376" s="40"/>
      <c r="J376" s="40"/>
      <c r="K376" s="36"/>
      <c r="L376" s="43">
        <f>IF(AND($A376='أفضل 5 طلاب'!$C$3,$B376=الإعدادات!$C$8,$N376=1,ISNUMBER($G376)),$G376*100000+N($H376)*100+N($I376)+(1000-ROW())/10000,0)</f>
        <v>0</v>
      </c>
      <c r="M376" s="43">
        <f>IF(AND($A376='أفضل 5 طلاب'!$C$3,$B376=الإعدادات!$C$9,$N376=1,ISNUMBER($G376)),$G376*100000+N($H376)*100+N($I376)+(1000-ROW())/10000,0)</f>
        <v>0</v>
      </c>
      <c r="N376" s="43">
        <f t="shared" si="15"/>
        <v>0</v>
      </c>
      <c r="O376" s="43" t="str">
        <f t="shared" si="17"/>
        <v/>
      </c>
      <c r="P376" s="43">
        <f t="shared" si="16"/>
        <v>0</v>
      </c>
    </row>
    <row r="377" spans="1:16">
      <c r="A377" s="58">
        <v>10</v>
      </c>
      <c r="B377" s="59" t="str">
        <f>IFERROR(INDEX(الطلاب!$C$5:$C$44,MATCH($D377,الطلاب!$A$5:$A$44,0)),"")</f>
        <v>المقرأة الأولى</v>
      </c>
      <c r="C377" s="59" t="str">
        <f>IFERROR(INDEX(الطلاب!$D$5:$D$44,MATCH($D377,الطلاب!$A$5:$A$44,0)),"")</f>
        <v xml:space="preserve">حسان بن ثابت </v>
      </c>
      <c r="D377" s="59">
        <v>13</v>
      </c>
      <c r="E377" s="60" t="str">
        <f>IFERROR(INDEX(الطلاب!$B$5:$B$44,MATCH($D377,الطلاب!$A$5:$A$44,0)),"")</f>
        <v xml:space="preserve">عبدالله التويجري </v>
      </c>
      <c r="F377" s="40"/>
      <c r="G377" s="40"/>
      <c r="H377" s="40"/>
      <c r="I377" s="40"/>
      <c r="J377" s="40"/>
      <c r="K377" s="36"/>
      <c r="L377" s="43">
        <f>IF(AND($A377='أفضل 5 طلاب'!$C$3,$B377=الإعدادات!$C$8,$N377=1,ISNUMBER($G377)),$G377*100000+N($H377)*100+N($I377)+(1000-ROW())/10000,0)</f>
        <v>0</v>
      </c>
      <c r="M377" s="43">
        <f>IF(AND($A377='أفضل 5 طلاب'!$C$3,$B377=الإعدادات!$C$9,$N377=1,ISNUMBER($G377)),$G377*100000+N($H377)*100+N($I377)+(1000-ROW())/10000,0)</f>
        <v>0</v>
      </c>
      <c r="N377" s="43">
        <f t="shared" si="15"/>
        <v>0</v>
      </c>
      <c r="O377" s="43" t="str">
        <f t="shared" si="17"/>
        <v/>
      </c>
      <c r="P377" s="43">
        <f t="shared" si="16"/>
        <v>0</v>
      </c>
    </row>
    <row r="378" spans="1:16">
      <c r="A378" s="58">
        <v>10</v>
      </c>
      <c r="B378" s="59" t="str">
        <f>IFERROR(INDEX(الطلاب!$C$5:$C$44,MATCH($D378,الطلاب!$A$5:$A$44,0)),"")</f>
        <v>المقرأة الأولى</v>
      </c>
      <c r="C378" s="59" t="str">
        <f>IFERROR(INDEX(الطلاب!$D$5:$D$44,MATCH($D378,الطلاب!$A$5:$A$44,0)),"")</f>
        <v xml:space="preserve">حسان بن ثابت </v>
      </c>
      <c r="D378" s="59">
        <v>14</v>
      </c>
      <c r="E378" s="60" t="str">
        <f>IFERROR(INDEX(الطلاب!$B$5:$B$44,MATCH($D378,الطلاب!$A$5:$A$44,0)),"")</f>
        <v xml:space="preserve">حسام التويجري </v>
      </c>
      <c r="F378" s="40"/>
      <c r="G378" s="40"/>
      <c r="H378" s="40"/>
      <c r="I378" s="40"/>
      <c r="J378" s="40"/>
      <c r="K378" s="36"/>
      <c r="L378" s="43">
        <f>IF(AND($A378='أفضل 5 طلاب'!$C$3,$B378=الإعدادات!$C$8,$N378=1,ISNUMBER($G378)),$G378*100000+N($H378)*100+N($I378)+(1000-ROW())/10000,0)</f>
        <v>0</v>
      </c>
      <c r="M378" s="43">
        <f>IF(AND($A378='أفضل 5 طلاب'!$C$3,$B378=الإعدادات!$C$9,$N378=1,ISNUMBER($G378)),$G378*100000+N($H378)*100+N($I378)+(1000-ROW())/10000,0)</f>
        <v>0</v>
      </c>
      <c r="N378" s="43">
        <f t="shared" si="15"/>
        <v>0</v>
      </c>
      <c r="O378" s="43" t="str">
        <f t="shared" si="17"/>
        <v/>
      </c>
      <c r="P378" s="43">
        <f t="shared" si="16"/>
        <v>0</v>
      </c>
    </row>
    <row r="379" spans="1:16">
      <c r="A379" s="58">
        <v>10</v>
      </c>
      <c r="B379" s="59" t="str">
        <f>IFERROR(INDEX(الطلاب!$C$5:$C$44,MATCH($D379,الطلاب!$A$5:$A$44,0)),"")</f>
        <v>المقرأة الأولى</v>
      </c>
      <c r="C379" s="59" t="str">
        <f>IFERROR(INDEX(الطلاب!$D$5:$D$44,MATCH($D379,الطلاب!$A$5:$A$44,0)),"")</f>
        <v xml:space="preserve">حسان بن ثابت </v>
      </c>
      <c r="D379" s="59">
        <v>15</v>
      </c>
      <c r="E379" s="60" t="str">
        <f>IFERROR(INDEX(الطلاب!$B$5:$B$44,MATCH($D379,الطلاب!$A$5:$A$44,0)),"")</f>
        <v xml:space="preserve">عبدالرحمن البريدي </v>
      </c>
      <c r="F379" s="40"/>
      <c r="G379" s="40"/>
      <c r="H379" s="40"/>
      <c r="I379" s="40"/>
      <c r="J379" s="40"/>
      <c r="K379" s="36"/>
      <c r="L379" s="43">
        <f>IF(AND($A379='أفضل 5 طلاب'!$C$3,$B379=الإعدادات!$C$8,$N379=1,ISNUMBER($G379)),$G379*100000+N($H379)*100+N($I379)+(1000-ROW())/10000,0)</f>
        <v>0</v>
      </c>
      <c r="M379" s="43">
        <f>IF(AND($A379='أفضل 5 طلاب'!$C$3,$B379=الإعدادات!$C$9,$N379=1,ISNUMBER($G379)),$G379*100000+N($H379)*100+N($I379)+(1000-ROW())/10000,0)</f>
        <v>0</v>
      </c>
      <c r="N379" s="43">
        <f t="shared" si="15"/>
        <v>0</v>
      </c>
      <c r="O379" s="43" t="str">
        <f t="shared" si="17"/>
        <v/>
      </c>
      <c r="P379" s="43">
        <f t="shared" si="16"/>
        <v>0</v>
      </c>
    </row>
    <row r="380" spans="1:16">
      <c r="A380" s="58">
        <v>10</v>
      </c>
      <c r="B380" s="59" t="str">
        <f>IFERROR(INDEX(الطلاب!$C$5:$C$44,MATCH($D380,الطلاب!$A$5:$A$44,0)),"")</f>
        <v>المقرأة الأولى</v>
      </c>
      <c r="C380" s="59" t="str">
        <f>IFERROR(INDEX(الطلاب!$D$5:$D$44,MATCH($D380,الطلاب!$A$5:$A$44,0)),"")</f>
        <v xml:space="preserve">حسان بن ثابت </v>
      </c>
      <c r="D380" s="59">
        <v>16</v>
      </c>
      <c r="E380" s="60" t="str">
        <f>IFERROR(INDEX(الطلاب!$B$5:$B$44,MATCH($D380,الطلاب!$A$5:$A$44,0)),"")</f>
        <v>عبدالرحمن بازرعة</v>
      </c>
      <c r="F380" s="40"/>
      <c r="G380" s="40"/>
      <c r="H380" s="40"/>
      <c r="I380" s="40"/>
      <c r="J380" s="40"/>
      <c r="K380" s="36"/>
      <c r="L380" s="43">
        <f>IF(AND($A380='أفضل 5 طلاب'!$C$3,$B380=الإعدادات!$C$8,$N380=1,ISNUMBER($G380)),$G380*100000+N($H380)*100+N($I380)+(1000-ROW())/10000,0)</f>
        <v>0</v>
      </c>
      <c r="M380" s="43">
        <f>IF(AND($A380='أفضل 5 طلاب'!$C$3,$B380=الإعدادات!$C$9,$N380=1,ISNUMBER($G380)),$G380*100000+N($H380)*100+N($I380)+(1000-ROW())/10000,0)</f>
        <v>0</v>
      </c>
      <c r="N380" s="43">
        <f t="shared" si="15"/>
        <v>0</v>
      </c>
      <c r="O380" s="43" t="str">
        <f t="shared" si="17"/>
        <v/>
      </c>
      <c r="P380" s="43">
        <f t="shared" si="16"/>
        <v>0</v>
      </c>
    </row>
    <row r="381" spans="1:16">
      <c r="A381" s="58">
        <v>10</v>
      </c>
      <c r="B381" s="59" t="str">
        <f>IFERROR(INDEX(الطلاب!$C$5:$C$44,MATCH($D381,الطلاب!$A$5:$A$44,0)),"")</f>
        <v>المقرأة الأولى</v>
      </c>
      <c r="C381" s="59" t="str">
        <f>IFERROR(INDEX(الطلاب!$D$5:$D$44,MATCH($D381,الطلاب!$A$5:$A$44,0)),"")</f>
        <v xml:space="preserve">حسان بن ثابت </v>
      </c>
      <c r="D381" s="59">
        <v>17</v>
      </c>
      <c r="E381" s="60" t="str">
        <f>IFERROR(INDEX(الطلاب!$B$5:$B$44,MATCH($D381,الطلاب!$A$5:$A$44,0)),"")</f>
        <v xml:space="preserve">عبدالله الضحيان </v>
      </c>
      <c r="F381" s="40"/>
      <c r="G381" s="40"/>
      <c r="H381" s="40"/>
      <c r="I381" s="40"/>
      <c r="J381" s="40"/>
      <c r="K381" s="36"/>
      <c r="L381" s="43">
        <f>IF(AND($A381='أفضل 5 طلاب'!$C$3,$B381=الإعدادات!$C$8,$N381=1,ISNUMBER($G381)),$G381*100000+N($H381)*100+N($I381)+(1000-ROW())/10000,0)</f>
        <v>0</v>
      </c>
      <c r="M381" s="43">
        <f>IF(AND($A381='أفضل 5 طلاب'!$C$3,$B381=الإعدادات!$C$9,$N381=1,ISNUMBER($G381)),$G381*100000+N($H381)*100+N($I381)+(1000-ROW())/10000,0)</f>
        <v>0</v>
      </c>
      <c r="N381" s="43">
        <f t="shared" si="15"/>
        <v>0</v>
      </c>
      <c r="O381" s="43" t="str">
        <f t="shared" si="17"/>
        <v/>
      </c>
      <c r="P381" s="43">
        <f t="shared" si="16"/>
        <v>0</v>
      </c>
    </row>
    <row r="382" spans="1:16">
      <c r="A382" s="58">
        <v>10</v>
      </c>
      <c r="B382" s="59" t="str">
        <f>IFERROR(INDEX(الطلاب!$C$5:$C$44,MATCH($D382,الطلاب!$A$5:$A$44,0)),"")</f>
        <v>المقرأة الأولى</v>
      </c>
      <c r="C382" s="59" t="str">
        <f>IFERROR(INDEX(الطلاب!$D$5:$D$44,MATCH($D382,الطلاب!$A$5:$A$44,0)),"")</f>
        <v xml:space="preserve">حسان بن ثابت </v>
      </c>
      <c r="D382" s="59">
        <v>18</v>
      </c>
      <c r="E382" s="60" t="str">
        <f>IFERROR(INDEX(الطلاب!$B$5:$B$44,MATCH($D382,الطلاب!$A$5:$A$44,0)),"")</f>
        <v xml:space="preserve">فيصل الدخيل </v>
      </c>
      <c r="F382" s="40"/>
      <c r="G382" s="40"/>
      <c r="H382" s="40"/>
      <c r="I382" s="40"/>
      <c r="J382" s="40"/>
      <c r="K382" s="36"/>
      <c r="L382" s="43">
        <f>IF(AND($A382='أفضل 5 طلاب'!$C$3,$B382=الإعدادات!$C$8,$N382=1,ISNUMBER($G382)),$G382*100000+N($H382)*100+N($I382)+(1000-ROW())/10000,0)</f>
        <v>0</v>
      </c>
      <c r="M382" s="43">
        <f>IF(AND($A382='أفضل 5 طلاب'!$C$3,$B382=الإعدادات!$C$9,$N382=1,ISNUMBER($G382)),$G382*100000+N($H382)*100+N($I382)+(1000-ROW())/10000,0)</f>
        <v>0</v>
      </c>
      <c r="N382" s="43">
        <f t="shared" si="15"/>
        <v>0</v>
      </c>
      <c r="O382" s="43" t="str">
        <f t="shared" si="17"/>
        <v/>
      </c>
      <c r="P382" s="43">
        <f t="shared" si="16"/>
        <v>0</v>
      </c>
    </row>
    <row r="383" spans="1:16">
      <c r="A383" s="58">
        <v>10</v>
      </c>
      <c r="B383" s="59" t="str">
        <f>IFERROR(INDEX(الطلاب!$C$5:$C$44,MATCH($D383,الطلاب!$A$5:$A$44,0)),"")</f>
        <v>المقرأة الأولى</v>
      </c>
      <c r="C383" s="59" t="str">
        <f>IFERROR(INDEX(الطلاب!$D$5:$D$44,MATCH($D383,الطلاب!$A$5:$A$44,0)),"")</f>
        <v xml:space="preserve">حسان بن ثابت </v>
      </c>
      <c r="D383" s="59">
        <v>19</v>
      </c>
      <c r="E383" s="60" t="str">
        <f>IFERROR(INDEX(الطلاب!$B$5:$B$44,MATCH($D383,الطلاب!$A$5:$A$44,0)),"")</f>
        <v xml:space="preserve">سليمان المحيميد </v>
      </c>
      <c r="F383" s="40"/>
      <c r="G383" s="40"/>
      <c r="H383" s="40"/>
      <c r="I383" s="40"/>
      <c r="J383" s="40"/>
      <c r="K383" s="36"/>
      <c r="L383" s="43">
        <f>IF(AND($A383='أفضل 5 طلاب'!$C$3,$B383=الإعدادات!$C$8,$N383=1,ISNUMBER($G383)),$G383*100000+N($H383)*100+N($I383)+(1000-ROW())/10000,0)</f>
        <v>0</v>
      </c>
      <c r="M383" s="43">
        <f>IF(AND($A383='أفضل 5 طلاب'!$C$3,$B383=الإعدادات!$C$9,$N383=1,ISNUMBER($G383)),$G383*100000+N($H383)*100+N($I383)+(1000-ROW())/10000,0)</f>
        <v>0</v>
      </c>
      <c r="N383" s="43">
        <f t="shared" si="15"/>
        <v>0</v>
      </c>
      <c r="O383" s="43" t="str">
        <f t="shared" si="17"/>
        <v/>
      </c>
      <c r="P383" s="43">
        <f t="shared" si="16"/>
        <v>0</v>
      </c>
    </row>
    <row r="384" spans="1:16">
      <c r="A384" s="58">
        <v>10</v>
      </c>
      <c r="B384" s="59" t="str">
        <f>IFERROR(INDEX(الطلاب!$C$5:$C$44,MATCH($D384,الطلاب!$A$5:$A$44,0)),"")</f>
        <v>المقرأة الثانية</v>
      </c>
      <c r="C384" s="59" t="str">
        <f>IFERROR(INDEX(الطلاب!$D$5:$D$44,MATCH($D384,الطلاب!$A$5:$A$44,0)),"")</f>
        <v xml:space="preserve">ابن رجب </v>
      </c>
      <c r="D384" s="59">
        <v>20</v>
      </c>
      <c r="E384" s="60" t="str">
        <f>IFERROR(INDEX(الطلاب!$B$5:$B$44,MATCH($D384,الطلاب!$A$5:$A$44,0)),"")</f>
        <v xml:space="preserve">اصيل التويجري </v>
      </c>
      <c r="F384" s="40"/>
      <c r="G384" s="40"/>
      <c r="H384" s="40"/>
      <c r="I384" s="40"/>
      <c r="J384" s="40"/>
      <c r="K384" s="36"/>
      <c r="L384" s="43">
        <f>IF(AND($A384='أفضل 5 طلاب'!$C$3,$B384=الإعدادات!$C$8,$N384=1,ISNUMBER($G384)),$G384*100000+N($H384)*100+N($I384)+(1000-ROW())/10000,0)</f>
        <v>0</v>
      </c>
      <c r="M384" s="43">
        <f>IF(AND($A384='أفضل 5 طلاب'!$C$3,$B384=الإعدادات!$C$9,$N384=1,ISNUMBER($G384)),$G384*100000+N($H384)*100+N($I384)+(1000-ROW())/10000,0)</f>
        <v>0</v>
      </c>
      <c r="N384" s="43">
        <f t="shared" si="15"/>
        <v>0</v>
      </c>
      <c r="O384" s="43" t="str">
        <f t="shared" si="17"/>
        <v/>
      </c>
      <c r="P384" s="43">
        <f t="shared" si="16"/>
        <v>0</v>
      </c>
    </row>
    <row r="385" spans="1:16">
      <c r="A385" s="58">
        <v>10</v>
      </c>
      <c r="B385" s="59" t="str">
        <f>IFERROR(INDEX(الطلاب!$C$5:$C$44,MATCH($D385,الطلاب!$A$5:$A$44,0)),"")</f>
        <v>المقرأة الثانية</v>
      </c>
      <c r="C385" s="59" t="str">
        <f>IFERROR(INDEX(الطلاب!$D$5:$D$44,MATCH($D385,الطلاب!$A$5:$A$44,0)),"")</f>
        <v xml:space="preserve">ابن رجب </v>
      </c>
      <c r="D385" s="59">
        <v>21</v>
      </c>
      <c r="E385" s="60" t="str">
        <f>IFERROR(INDEX(الطلاب!$B$5:$B$44,MATCH($D385,الطلاب!$A$5:$A$44,0)),"")</f>
        <v xml:space="preserve">جواد الرفيعي </v>
      </c>
      <c r="F385" s="40"/>
      <c r="G385" s="40"/>
      <c r="H385" s="40"/>
      <c r="I385" s="40"/>
      <c r="J385" s="40"/>
      <c r="K385" s="36"/>
      <c r="L385" s="43">
        <f>IF(AND($A385='أفضل 5 طلاب'!$C$3,$B385=الإعدادات!$C$8,$N385=1,ISNUMBER($G385)),$G385*100000+N($H385)*100+N($I385)+(1000-ROW())/10000,0)</f>
        <v>0</v>
      </c>
      <c r="M385" s="43">
        <f>IF(AND($A385='أفضل 5 طلاب'!$C$3,$B385=الإعدادات!$C$9,$N385=1,ISNUMBER($G385)),$G385*100000+N($H385)*100+N($I385)+(1000-ROW())/10000,0)</f>
        <v>0</v>
      </c>
      <c r="N385" s="43">
        <f t="shared" si="15"/>
        <v>0</v>
      </c>
      <c r="O385" s="43" t="str">
        <f t="shared" si="17"/>
        <v/>
      </c>
      <c r="P385" s="43">
        <f t="shared" si="16"/>
        <v>0</v>
      </c>
    </row>
    <row r="386" spans="1:16">
      <c r="A386" s="58">
        <v>10</v>
      </c>
      <c r="B386" s="59" t="str">
        <f>IFERROR(INDEX(الطلاب!$C$5:$C$44,MATCH($D386,الطلاب!$A$5:$A$44,0)),"")</f>
        <v>المقرأة الثانية</v>
      </c>
      <c r="C386" s="59" t="str">
        <f>IFERROR(INDEX(الطلاب!$D$5:$D$44,MATCH($D386,الطلاب!$A$5:$A$44,0)),"")</f>
        <v xml:space="preserve">ابن رجب </v>
      </c>
      <c r="D386" s="59">
        <v>22</v>
      </c>
      <c r="E386" s="60" t="str">
        <f>IFERROR(INDEX(الطلاب!$B$5:$B$44,MATCH($D386,الطلاب!$A$5:$A$44,0)),"")</f>
        <v xml:space="preserve">سفيان السبيعي </v>
      </c>
      <c r="F386" s="40"/>
      <c r="G386" s="40"/>
      <c r="H386" s="40"/>
      <c r="I386" s="40"/>
      <c r="J386" s="40"/>
      <c r="K386" s="36"/>
      <c r="L386" s="43">
        <f>IF(AND($A386='أفضل 5 طلاب'!$C$3,$B386=الإعدادات!$C$8,$N386=1,ISNUMBER($G386)),$G386*100000+N($H386)*100+N($I386)+(1000-ROW())/10000,0)</f>
        <v>0</v>
      </c>
      <c r="M386" s="43">
        <f>IF(AND($A386='أفضل 5 طلاب'!$C$3,$B386=الإعدادات!$C$9,$N386=1,ISNUMBER($G386)),$G386*100000+N($H386)*100+N($I386)+(1000-ROW())/10000,0)</f>
        <v>0</v>
      </c>
      <c r="N386" s="43">
        <f t="shared" si="15"/>
        <v>0</v>
      </c>
      <c r="O386" s="43" t="str">
        <f t="shared" si="17"/>
        <v/>
      </c>
      <c r="P386" s="43">
        <f t="shared" si="16"/>
        <v>0</v>
      </c>
    </row>
    <row r="387" spans="1:16">
      <c r="A387" s="58">
        <v>10</v>
      </c>
      <c r="B387" s="59" t="str">
        <f>IFERROR(INDEX(الطلاب!$C$5:$C$44,MATCH($D387,الطلاب!$A$5:$A$44,0)),"")</f>
        <v>المقرأة الثانية</v>
      </c>
      <c r="C387" s="59" t="str">
        <f>IFERROR(INDEX(الطلاب!$D$5:$D$44,MATCH($D387,الطلاب!$A$5:$A$44,0)),"")</f>
        <v xml:space="preserve">ابن رجب </v>
      </c>
      <c r="D387" s="59">
        <v>23</v>
      </c>
      <c r="E387" s="60" t="str">
        <f>IFERROR(INDEX(الطلاب!$B$5:$B$44,MATCH($D387,الطلاب!$A$5:$A$44,0)),"")</f>
        <v xml:space="preserve">عمار الفضل </v>
      </c>
      <c r="F387" s="40"/>
      <c r="G387" s="40"/>
      <c r="H387" s="40"/>
      <c r="I387" s="40"/>
      <c r="J387" s="40"/>
      <c r="K387" s="36"/>
      <c r="L387" s="43">
        <f>IF(AND($A387='أفضل 5 طلاب'!$C$3,$B387=الإعدادات!$C$8,$N387=1,ISNUMBER($G387)),$G387*100000+N($H387)*100+N($I387)+(1000-ROW())/10000,0)</f>
        <v>0</v>
      </c>
      <c r="M387" s="43">
        <f>IF(AND($A387='أفضل 5 طلاب'!$C$3,$B387=الإعدادات!$C$9,$N387=1,ISNUMBER($G387)),$G387*100000+N($H387)*100+N($I387)+(1000-ROW())/10000,0)</f>
        <v>0</v>
      </c>
      <c r="N387" s="43">
        <f t="shared" si="15"/>
        <v>0</v>
      </c>
      <c r="O387" s="43" t="str">
        <f t="shared" si="17"/>
        <v/>
      </c>
      <c r="P387" s="43">
        <f t="shared" si="16"/>
        <v>0</v>
      </c>
    </row>
    <row r="388" spans="1:16">
      <c r="A388" s="58">
        <v>10</v>
      </c>
      <c r="B388" s="59" t="str">
        <f>IFERROR(INDEX(الطلاب!$C$5:$C$44,MATCH($D388,الطلاب!$A$5:$A$44,0)),"")</f>
        <v>المقرأة الثانية</v>
      </c>
      <c r="C388" s="59" t="str">
        <f>IFERROR(INDEX(الطلاب!$D$5:$D$44,MATCH($D388,الطلاب!$A$5:$A$44,0)),"")</f>
        <v xml:space="preserve">ابن رجب </v>
      </c>
      <c r="D388" s="59">
        <v>24</v>
      </c>
      <c r="E388" s="60" t="str">
        <f>IFERROR(INDEX(الطلاب!$B$5:$B$44,MATCH($D388,الطلاب!$A$5:$A$44,0)),"")</f>
        <v xml:space="preserve">مروان المهوس </v>
      </c>
      <c r="F388" s="40"/>
      <c r="G388" s="40"/>
      <c r="H388" s="40"/>
      <c r="I388" s="40"/>
      <c r="J388" s="40"/>
      <c r="K388" s="36"/>
      <c r="L388" s="43">
        <f>IF(AND($A388='أفضل 5 طلاب'!$C$3,$B388=الإعدادات!$C$8,$N388=1,ISNUMBER($G388)),$G388*100000+N($H388)*100+N($I388)+(1000-ROW())/10000,0)</f>
        <v>0</v>
      </c>
      <c r="M388" s="43">
        <f>IF(AND($A388='أفضل 5 طلاب'!$C$3,$B388=الإعدادات!$C$9,$N388=1,ISNUMBER($G388)),$G388*100000+N($H388)*100+N($I388)+(1000-ROW())/10000,0)</f>
        <v>0</v>
      </c>
      <c r="N388" s="43">
        <f t="shared" si="15"/>
        <v>0</v>
      </c>
      <c r="O388" s="43" t="str">
        <f t="shared" si="17"/>
        <v/>
      </c>
      <c r="P388" s="43">
        <f t="shared" si="16"/>
        <v>0</v>
      </c>
    </row>
    <row r="389" spans="1:16">
      <c r="A389" s="58">
        <v>10</v>
      </c>
      <c r="B389" s="59" t="str">
        <f>IFERROR(INDEX(الطلاب!$C$5:$C$44,MATCH($D389,الطلاب!$A$5:$A$44,0)),"")</f>
        <v>المقرأة الثانية</v>
      </c>
      <c r="C389" s="59" t="str">
        <f>IFERROR(INDEX(الطلاب!$D$5:$D$44,MATCH($D389,الطلاب!$A$5:$A$44,0)),"")</f>
        <v xml:space="preserve">ابن رجب </v>
      </c>
      <c r="D389" s="59">
        <v>25</v>
      </c>
      <c r="E389" s="60" t="str">
        <f>IFERROR(INDEX(الطلاب!$B$5:$B$44,MATCH($D389,الطلاب!$A$5:$A$44,0)),"")</f>
        <v>جهاد الجدعان</v>
      </c>
      <c r="F389" s="40"/>
      <c r="G389" s="40"/>
      <c r="H389" s="40"/>
      <c r="I389" s="40"/>
      <c r="J389" s="40"/>
      <c r="K389" s="36"/>
      <c r="L389" s="43">
        <f>IF(AND($A389='أفضل 5 طلاب'!$C$3,$B389=الإعدادات!$C$8,$N389=1,ISNUMBER($G389)),$G389*100000+N($H389)*100+N($I389)+(1000-ROW())/10000,0)</f>
        <v>0</v>
      </c>
      <c r="M389" s="43">
        <f>IF(AND($A389='أفضل 5 طلاب'!$C$3,$B389=الإعدادات!$C$9,$N389=1,ISNUMBER($G389)),$G389*100000+N($H389)*100+N($I389)+(1000-ROW())/10000,0)</f>
        <v>0</v>
      </c>
      <c r="N389" s="43">
        <f t="shared" ref="N389:N452" si="18">IF(OR($F389="حاضر",$F389="متأخر"),1,0)</f>
        <v>0</v>
      </c>
      <c r="O389" s="43" t="str">
        <f t="shared" si="17"/>
        <v/>
      </c>
      <c r="P389" s="43">
        <f t="shared" ref="P389:P452" si="19">IF(ISNUMBER($O389),1,0)</f>
        <v>0</v>
      </c>
    </row>
    <row r="390" spans="1:16">
      <c r="A390" s="58">
        <v>10</v>
      </c>
      <c r="B390" s="59" t="str">
        <f>IFERROR(INDEX(الطلاب!$C$5:$C$44,MATCH($D390,الطلاب!$A$5:$A$44,0)),"")</f>
        <v>المقرأة الثانية</v>
      </c>
      <c r="C390" s="59" t="str">
        <f>IFERROR(INDEX(الطلاب!$D$5:$D$44,MATCH($D390,الطلاب!$A$5:$A$44,0)),"")</f>
        <v xml:space="preserve">ابن رجب </v>
      </c>
      <c r="D390" s="59">
        <v>26</v>
      </c>
      <c r="E390" s="60" t="str">
        <f>IFERROR(INDEX(الطلاب!$B$5:$B$44,MATCH($D390,الطلاب!$A$5:$A$44,0)),"")</f>
        <v>صلاح مسعد</v>
      </c>
      <c r="F390" s="40"/>
      <c r="G390" s="40"/>
      <c r="H390" s="40"/>
      <c r="I390" s="40"/>
      <c r="J390" s="40"/>
      <c r="K390" s="36"/>
      <c r="L390" s="43">
        <f>IF(AND($A390='أفضل 5 طلاب'!$C$3,$B390=الإعدادات!$C$8,$N390=1,ISNUMBER($G390)),$G390*100000+N($H390)*100+N($I390)+(1000-ROW())/10000,0)</f>
        <v>0</v>
      </c>
      <c r="M390" s="43">
        <f>IF(AND($A390='أفضل 5 طلاب'!$C$3,$B390=الإعدادات!$C$9,$N390=1,ISNUMBER($G390)),$G390*100000+N($H390)*100+N($I390)+(1000-ROW())/10000,0)</f>
        <v>0</v>
      </c>
      <c r="N390" s="43">
        <f t="shared" si="18"/>
        <v>0</v>
      </c>
      <c r="O390" s="43" t="str">
        <f t="shared" ref="O390:O453" si="20">IF(OR($N390=1,$F390="معتذر",$F390="غائب"),IF(ISNUMBER($G390),$G390,IF($N390=1,"",0)),"")</f>
        <v/>
      </c>
      <c r="P390" s="43">
        <f t="shared" si="19"/>
        <v>0</v>
      </c>
    </row>
    <row r="391" spans="1:16">
      <c r="A391" s="58">
        <v>10</v>
      </c>
      <c r="B391" s="59" t="str">
        <f>IFERROR(INDEX(الطلاب!$C$5:$C$44,MATCH($D391,الطلاب!$A$5:$A$44,0)),"")</f>
        <v>المقرأة الثانية</v>
      </c>
      <c r="C391" s="59" t="str">
        <f>IFERROR(INDEX(الطلاب!$D$5:$D$44,MATCH($D391,الطلاب!$A$5:$A$44,0)),"")</f>
        <v xml:space="preserve">ابي بن مالك </v>
      </c>
      <c r="D391" s="59">
        <v>27</v>
      </c>
      <c r="E391" s="60" t="str">
        <f>IFERROR(INDEX(الطلاب!$B$5:$B$44,MATCH($D391,الطلاب!$A$5:$A$44,0)),"")</f>
        <v>سالم بانوير</v>
      </c>
      <c r="F391" s="40"/>
      <c r="G391" s="40"/>
      <c r="H391" s="40"/>
      <c r="I391" s="40"/>
      <c r="J391" s="40"/>
      <c r="K391" s="36"/>
      <c r="L391" s="43">
        <f>IF(AND($A391='أفضل 5 طلاب'!$C$3,$B391=الإعدادات!$C$8,$N391=1,ISNUMBER($G391)),$G391*100000+N($H391)*100+N($I391)+(1000-ROW())/10000,0)</f>
        <v>0</v>
      </c>
      <c r="M391" s="43">
        <f>IF(AND($A391='أفضل 5 طلاب'!$C$3,$B391=الإعدادات!$C$9,$N391=1,ISNUMBER($G391)),$G391*100000+N($H391)*100+N($I391)+(1000-ROW())/10000,0)</f>
        <v>0</v>
      </c>
      <c r="N391" s="43">
        <f t="shared" si="18"/>
        <v>0</v>
      </c>
      <c r="O391" s="43" t="str">
        <f t="shared" si="20"/>
        <v/>
      </c>
      <c r="P391" s="43">
        <f t="shared" si="19"/>
        <v>0</v>
      </c>
    </row>
    <row r="392" spans="1:16">
      <c r="A392" s="58">
        <v>10</v>
      </c>
      <c r="B392" s="59" t="str">
        <f>IFERROR(INDEX(الطلاب!$C$5:$C$44,MATCH($D392,الطلاب!$A$5:$A$44,0)),"")</f>
        <v>المقرأة الثانية</v>
      </c>
      <c r="C392" s="59" t="str">
        <f>IFERROR(INDEX(الطلاب!$D$5:$D$44,MATCH($D392,الطلاب!$A$5:$A$44,0)),"")</f>
        <v xml:space="preserve">ابي بن مالك </v>
      </c>
      <c r="D392" s="59">
        <v>28</v>
      </c>
      <c r="E392" s="60" t="str">
        <f>IFERROR(INDEX(الطلاب!$B$5:$B$44,MATCH($D392,الطلاب!$A$5:$A$44,0)),"")</f>
        <v xml:space="preserve">عبدالعزيز الصقعبي </v>
      </c>
      <c r="F392" s="40"/>
      <c r="G392" s="40"/>
      <c r="H392" s="40"/>
      <c r="I392" s="40"/>
      <c r="J392" s="40"/>
      <c r="K392" s="36"/>
      <c r="L392" s="43">
        <f>IF(AND($A392='أفضل 5 طلاب'!$C$3,$B392=الإعدادات!$C$8,$N392=1,ISNUMBER($G392)),$G392*100000+N($H392)*100+N($I392)+(1000-ROW())/10000,0)</f>
        <v>0</v>
      </c>
      <c r="M392" s="43">
        <f>IF(AND($A392='أفضل 5 طلاب'!$C$3,$B392=الإعدادات!$C$9,$N392=1,ISNUMBER($G392)),$G392*100000+N($H392)*100+N($I392)+(1000-ROW())/10000,0)</f>
        <v>0</v>
      </c>
      <c r="N392" s="43">
        <f t="shared" si="18"/>
        <v>0</v>
      </c>
      <c r="O392" s="43" t="str">
        <f t="shared" si="20"/>
        <v/>
      </c>
      <c r="P392" s="43">
        <f t="shared" si="19"/>
        <v>0</v>
      </c>
    </row>
    <row r="393" spans="1:16">
      <c r="A393" s="58">
        <v>10</v>
      </c>
      <c r="B393" s="59" t="str">
        <f>IFERROR(INDEX(الطلاب!$C$5:$C$44,MATCH($D393,الطلاب!$A$5:$A$44,0)),"")</f>
        <v>المقرأة الثانية</v>
      </c>
      <c r="C393" s="59" t="str">
        <f>IFERROR(INDEX(الطلاب!$D$5:$D$44,MATCH($D393,الطلاب!$A$5:$A$44,0)),"")</f>
        <v xml:space="preserve">ابي بن مالك </v>
      </c>
      <c r="D393" s="59">
        <v>29</v>
      </c>
      <c r="E393" s="60" t="str">
        <f>IFERROR(INDEX(الطلاب!$B$5:$B$44,MATCH($D393,الطلاب!$A$5:$A$44,0)),"")</f>
        <v xml:space="preserve">عبدالله المجيدل </v>
      </c>
      <c r="F393" s="40"/>
      <c r="G393" s="40"/>
      <c r="H393" s="40"/>
      <c r="I393" s="40"/>
      <c r="J393" s="40"/>
      <c r="K393" s="36"/>
      <c r="L393" s="43">
        <f>IF(AND($A393='أفضل 5 طلاب'!$C$3,$B393=الإعدادات!$C$8,$N393=1,ISNUMBER($G393)),$G393*100000+N($H393)*100+N($I393)+(1000-ROW())/10000,0)</f>
        <v>0</v>
      </c>
      <c r="M393" s="43">
        <f>IF(AND($A393='أفضل 5 طلاب'!$C$3,$B393=الإعدادات!$C$9,$N393=1,ISNUMBER($G393)),$G393*100000+N($H393)*100+N($I393)+(1000-ROW())/10000,0)</f>
        <v>0</v>
      </c>
      <c r="N393" s="43">
        <f t="shared" si="18"/>
        <v>0</v>
      </c>
      <c r="O393" s="43" t="str">
        <f t="shared" si="20"/>
        <v/>
      </c>
      <c r="P393" s="43">
        <f t="shared" si="19"/>
        <v>0</v>
      </c>
    </row>
    <row r="394" spans="1:16">
      <c r="A394" s="58">
        <v>10</v>
      </c>
      <c r="B394" s="59" t="str">
        <f>IFERROR(INDEX(الطلاب!$C$5:$C$44,MATCH($D394,الطلاب!$A$5:$A$44,0)),"")</f>
        <v>المقرأة الثانية</v>
      </c>
      <c r="C394" s="59" t="str">
        <f>IFERROR(INDEX(الطلاب!$D$5:$D$44,MATCH($D394,الطلاب!$A$5:$A$44,0)),"")</f>
        <v xml:space="preserve">ابي بن مالك </v>
      </c>
      <c r="D394" s="59">
        <v>30</v>
      </c>
      <c r="E394" s="60" t="str">
        <f>IFERROR(INDEX(الطلاب!$B$5:$B$44,MATCH($D394,الطلاب!$A$5:$A$44,0)),"")</f>
        <v>فواز الشدوخي</v>
      </c>
      <c r="F394" s="40"/>
      <c r="G394" s="40"/>
      <c r="H394" s="40"/>
      <c r="I394" s="40"/>
      <c r="J394" s="40"/>
      <c r="K394" s="36"/>
      <c r="L394" s="43">
        <f>IF(AND($A394='أفضل 5 طلاب'!$C$3,$B394=الإعدادات!$C$8,$N394=1,ISNUMBER($G394)),$G394*100000+N($H394)*100+N($I394)+(1000-ROW())/10000,0)</f>
        <v>0</v>
      </c>
      <c r="M394" s="43">
        <f>IF(AND($A394='أفضل 5 طلاب'!$C$3,$B394=الإعدادات!$C$9,$N394=1,ISNUMBER($G394)),$G394*100000+N($H394)*100+N($I394)+(1000-ROW())/10000,0)</f>
        <v>0</v>
      </c>
      <c r="N394" s="43">
        <f t="shared" si="18"/>
        <v>0</v>
      </c>
      <c r="O394" s="43" t="str">
        <f t="shared" si="20"/>
        <v/>
      </c>
      <c r="P394" s="43">
        <f t="shared" si="19"/>
        <v>0</v>
      </c>
    </row>
    <row r="395" spans="1:16">
      <c r="A395" s="58">
        <v>10</v>
      </c>
      <c r="B395" s="59" t="str">
        <f>IFERROR(INDEX(الطلاب!$C$5:$C$44,MATCH($D395,الطلاب!$A$5:$A$44,0)),"")</f>
        <v>المقرأة الثانية</v>
      </c>
      <c r="C395" s="59" t="str">
        <f>IFERROR(INDEX(الطلاب!$D$5:$D$44,MATCH($D395,الطلاب!$A$5:$A$44,0)),"")</f>
        <v xml:space="preserve">ابي بن مالك </v>
      </c>
      <c r="D395" s="59">
        <v>31</v>
      </c>
      <c r="E395" s="60" t="str">
        <f>IFERROR(INDEX(الطلاب!$B$5:$B$44,MATCH($D395,الطلاب!$A$5:$A$44,0)),"")</f>
        <v>محمد الطامي</v>
      </c>
      <c r="F395" s="40"/>
      <c r="G395" s="40"/>
      <c r="H395" s="40"/>
      <c r="I395" s="40"/>
      <c r="J395" s="40"/>
      <c r="K395" s="36"/>
      <c r="L395" s="43">
        <f>IF(AND($A395='أفضل 5 طلاب'!$C$3,$B395=الإعدادات!$C$8,$N395=1,ISNUMBER($G395)),$G395*100000+N($H395)*100+N($I395)+(1000-ROW())/10000,0)</f>
        <v>0</v>
      </c>
      <c r="M395" s="43">
        <f>IF(AND($A395='أفضل 5 طلاب'!$C$3,$B395=الإعدادات!$C$9,$N395=1,ISNUMBER($G395)),$G395*100000+N($H395)*100+N($I395)+(1000-ROW())/10000,0)</f>
        <v>0</v>
      </c>
      <c r="N395" s="43">
        <f t="shared" si="18"/>
        <v>0</v>
      </c>
      <c r="O395" s="43" t="str">
        <f t="shared" si="20"/>
        <v/>
      </c>
      <c r="P395" s="43">
        <f t="shared" si="19"/>
        <v>0</v>
      </c>
    </row>
    <row r="396" spans="1:16">
      <c r="A396" s="58">
        <v>10</v>
      </c>
      <c r="B396" s="59" t="str">
        <f>IFERROR(INDEX(الطلاب!$C$5:$C$44,MATCH($D396,الطلاب!$A$5:$A$44,0)),"")</f>
        <v>المقرأة الثانية</v>
      </c>
      <c r="C396" s="59" t="str">
        <f>IFERROR(INDEX(الطلاب!$D$5:$D$44,MATCH($D396,الطلاب!$A$5:$A$44,0)),"")</f>
        <v xml:space="preserve">ابي بن مالك </v>
      </c>
      <c r="D396" s="59">
        <v>32</v>
      </c>
      <c r="E396" s="60" t="str">
        <f>IFERROR(INDEX(الطلاب!$B$5:$B$44,MATCH($D396,الطلاب!$A$5:$A$44,0)),"")</f>
        <v xml:space="preserve">مهند الغماس </v>
      </c>
      <c r="F396" s="40"/>
      <c r="G396" s="40"/>
      <c r="H396" s="40"/>
      <c r="I396" s="40"/>
      <c r="J396" s="40"/>
      <c r="K396" s="36"/>
      <c r="L396" s="43">
        <f>IF(AND($A396='أفضل 5 طلاب'!$C$3,$B396=الإعدادات!$C$8,$N396=1,ISNUMBER($G396)),$G396*100000+N($H396)*100+N($I396)+(1000-ROW())/10000,0)</f>
        <v>0</v>
      </c>
      <c r="M396" s="43">
        <f>IF(AND($A396='أفضل 5 طلاب'!$C$3,$B396=الإعدادات!$C$9,$N396=1,ISNUMBER($G396)),$G396*100000+N($H396)*100+N($I396)+(1000-ROW())/10000,0)</f>
        <v>0</v>
      </c>
      <c r="N396" s="43">
        <f t="shared" si="18"/>
        <v>0</v>
      </c>
      <c r="O396" s="43" t="str">
        <f t="shared" si="20"/>
        <v/>
      </c>
      <c r="P396" s="43">
        <f t="shared" si="19"/>
        <v>0</v>
      </c>
    </row>
    <row r="397" spans="1:16">
      <c r="A397" s="58">
        <v>10</v>
      </c>
      <c r="B397" s="59" t="str">
        <f>IFERROR(INDEX(الطلاب!$C$5:$C$44,MATCH($D397,الطلاب!$A$5:$A$44,0)),"")</f>
        <v>المقرأة الثانية</v>
      </c>
      <c r="C397" s="59" t="str">
        <f>IFERROR(INDEX(الطلاب!$D$5:$D$44,MATCH($D397,الطلاب!$A$5:$A$44,0)),"")</f>
        <v xml:space="preserve">ابي بن مالك </v>
      </c>
      <c r="D397" s="59">
        <v>33</v>
      </c>
      <c r="E397" s="60" t="str">
        <f>IFERROR(INDEX(الطلاب!$B$5:$B$44,MATCH($D397,الطلاب!$A$5:$A$44,0)),"")</f>
        <v>يوسف الحربي</v>
      </c>
      <c r="F397" s="40"/>
      <c r="G397" s="40"/>
      <c r="H397" s="40"/>
      <c r="I397" s="40"/>
      <c r="J397" s="40"/>
      <c r="K397" s="36"/>
      <c r="L397" s="43">
        <f>IF(AND($A397='أفضل 5 طلاب'!$C$3,$B397=الإعدادات!$C$8,$N397=1,ISNUMBER($G397)),$G397*100000+N($H397)*100+N($I397)+(1000-ROW())/10000,0)</f>
        <v>0</v>
      </c>
      <c r="M397" s="43">
        <f>IF(AND($A397='أفضل 5 طلاب'!$C$3,$B397=الإعدادات!$C$9,$N397=1,ISNUMBER($G397)),$G397*100000+N($H397)*100+N($I397)+(1000-ROW())/10000,0)</f>
        <v>0</v>
      </c>
      <c r="N397" s="43">
        <f t="shared" si="18"/>
        <v>0</v>
      </c>
      <c r="O397" s="43" t="str">
        <f t="shared" si="20"/>
        <v/>
      </c>
      <c r="P397" s="43">
        <f t="shared" si="19"/>
        <v>0</v>
      </c>
    </row>
    <row r="398" spans="1:16">
      <c r="A398" s="58">
        <v>10</v>
      </c>
      <c r="B398" s="59" t="str">
        <f>IFERROR(INDEX(الطلاب!$C$5:$C$44,MATCH($D398,الطلاب!$A$5:$A$44,0)),"")</f>
        <v>المقرأة الثانية</v>
      </c>
      <c r="C398" s="59" t="str">
        <f>IFERROR(INDEX(الطلاب!$D$5:$D$44,MATCH($D398,الطلاب!$A$5:$A$44,0)),"")</f>
        <v xml:space="preserve">ابي بن مالك </v>
      </c>
      <c r="D398" s="59">
        <v>34</v>
      </c>
      <c r="E398" s="60" t="str">
        <f>IFERROR(INDEX(الطلاب!$B$5:$B$44,MATCH($D398,الطلاب!$A$5:$A$44,0)),"")</f>
        <v xml:space="preserve">عدي الفريح </v>
      </c>
      <c r="F398" s="40"/>
      <c r="G398" s="40"/>
      <c r="H398" s="40"/>
      <c r="I398" s="40"/>
      <c r="J398" s="40"/>
      <c r="K398" s="36"/>
      <c r="L398" s="43">
        <f>IF(AND($A398='أفضل 5 طلاب'!$C$3,$B398=الإعدادات!$C$8,$N398=1,ISNUMBER($G398)),$G398*100000+N($H398)*100+N($I398)+(1000-ROW())/10000,0)</f>
        <v>0</v>
      </c>
      <c r="M398" s="43">
        <f>IF(AND($A398='أفضل 5 طلاب'!$C$3,$B398=الإعدادات!$C$9,$N398=1,ISNUMBER($G398)),$G398*100000+N($H398)*100+N($I398)+(1000-ROW())/10000,0)</f>
        <v>0</v>
      </c>
      <c r="N398" s="43">
        <f t="shared" si="18"/>
        <v>0</v>
      </c>
      <c r="O398" s="43" t="str">
        <f t="shared" si="20"/>
        <v/>
      </c>
      <c r="P398" s="43">
        <f t="shared" si="19"/>
        <v>0</v>
      </c>
    </row>
    <row r="399" spans="1:16">
      <c r="A399" s="58">
        <v>10</v>
      </c>
      <c r="B399" s="59" t="str">
        <f>IFERROR(INDEX(الطلاب!$C$5:$C$44,MATCH($D399,الطلاب!$A$5:$A$44,0)),"")</f>
        <v>المقرأة الثانية</v>
      </c>
      <c r="C399" s="59" t="str">
        <f>IFERROR(INDEX(الطلاب!$D$5:$D$44,MATCH($D399,الطلاب!$A$5:$A$44,0)),"")</f>
        <v xml:space="preserve">ابي بن مالك </v>
      </c>
      <c r="D399" s="59">
        <v>35</v>
      </c>
      <c r="E399" s="60" t="str">
        <f>IFERROR(INDEX(الطلاب!$B$5:$B$44,MATCH($D399,الطلاب!$A$5:$A$44,0)),"")</f>
        <v xml:space="preserve">عبدالله الفايزي </v>
      </c>
      <c r="F399" s="40"/>
      <c r="G399" s="40"/>
      <c r="H399" s="40"/>
      <c r="I399" s="40"/>
      <c r="J399" s="40"/>
      <c r="K399" s="36"/>
      <c r="L399" s="43">
        <f>IF(AND($A399='أفضل 5 طلاب'!$C$3,$B399=الإعدادات!$C$8,$N399=1,ISNUMBER($G399)),$G399*100000+N($H399)*100+N($I399)+(1000-ROW())/10000,0)</f>
        <v>0</v>
      </c>
      <c r="M399" s="43">
        <f>IF(AND($A399='أفضل 5 طلاب'!$C$3,$B399=الإعدادات!$C$9,$N399=1,ISNUMBER($G399)),$G399*100000+N($H399)*100+N($I399)+(1000-ROW())/10000,0)</f>
        <v>0</v>
      </c>
      <c r="N399" s="43">
        <f t="shared" si="18"/>
        <v>0</v>
      </c>
      <c r="O399" s="43" t="str">
        <f t="shared" si="20"/>
        <v/>
      </c>
      <c r="P399" s="43">
        <f t="shared" si="19"/>
        <v>0</v>
      </c>
    </row>
    <row r="400" spans="1:16">
      <c r="A400" s="58">
        <v>10</v>
      </c>
      <c r="B400" s="59">
        <f>IFERROR(INDEX(الطلاب!$C$5:$C$44,MATCH($D400,الطلاب!$A$5:$A$44,0)),"")</f>
        <v>0</v>
      </c>
      <c r="C400" s="59">
        <f>IFERROR(INDEX(الطلاب!$D$5:$D$44,MATCH($D400,الطلاب!$A$5:$A$44,0)),"")</f>
        <v>0</v>
      </c>
      <c r="D400" s="59">
        <v>36</v>
      </c>
      <c r="E400" s="60" t="str">
        <f>IFERROR(INDEX(الطلاب!$B$5:$B$44,MATCH($D400,الطلاب!$A$5:$A$44,0)),"")</f>
        <v xml:space="preserve">عزام الحسن </v>
      </c>
      <c r="F400" s="40"/>
      <c r="G400" s="40"/>
      <c r="H400" s="40"/>
      <c r="I400" s="40"/>
      <c r="J400" s="40"/>
      <c r="K400" s="36"/>
      <c r="L400" s="43">
        <f>IF(AND($A400='أفضل 5 طلاب'!$C$3,$B400=الإعدادات!$C$8,$N400=1,ISNUMBER($G400)),$G400*100000+N($H400)*100+N($I400)+(1000-ROW())/10000,0)</f>
        <v>0</v>
      </c>
      <c r="M400" s="43">
        <f>IF(AND($A400='أفضل 5 طلاب'!$C$3,$B400=الإعدادات!$C$9,$N400=1,ISNUMBER($G400)),$G400*100000+N($H400)*100+N($I400)+(1000-ROW())/10000,0)</f>
        <v>0</v>
      </c>
      <c r="N400" s="43">
        <f t="shared" si="18"/>
        <v>0</v>
      </c>
      <c r="O400" s="43" t="str">
        <f t="shared" si="20"/>
        <v/>
      </c>
      <c r="P400" s="43">
        <f t="shared" si="19"/>
        <v>0</v>
      </c>
    </row>
    <row r="401" spans="1:16">
      <c r="A401" s="58">
        <v>10</v>
      </c>
      <c r="B401" s="59" t="str">
        <f>IFERROR(INDEX(الطلاب!$C$5:$C$44,MATCH($D401,الطلاب!$A$5:$A$44,0)),"")</f>
        <v>المقرأة الأولى</v>
      </c>
      <c r="C401" s="59" t="str">
        <f>IFERROR(INDEX(الطلاب!$D$5:$D$44,MATCH($D401,الطلاب!$A$5:$A$44,0)),"")</f>
        <v xml:space="preserve">عبدالرحمن بن النعمان </v>
      </c>
      <c r="D401" s="59">
        <v>37</v>
      </c>
      <c r="E401" s="60" t="str">
        <f>IFERROR(INDEX(الطلاب!$B$5:$B$44,MATCH($D401,الطلاب!$A$5:$A$44,0)),"")</f>
        <v xml:space="preserve">أسامة السعوي </v>
      </c>
      <c r="F401" s="40"/>
      <c r="G401" s="40"/>
      <c r="H401" s="40"/>
      <c r="I401" s="40"/>
      <c r="J401" s="40"/>
      <c r="K401" s="36"/>
      <c r="L401" s="43">
        <f>IF(AND($A401='أفضل 5 طلاب'!$C$3,$B401=الإعدادات!$C$8,$N401=1,ISNUMBER($G401)),$G401*100000+N($H401)*100+N($I401)+(1000-ROW())/10000,0)</f>
        <v>0</v>
      </c>
      <c r="M401" s="43">
        <f>IF(AND($A401='أفضل 5 طلاب'!$C$3,$B401=الإعدادات!$C$9,$N401=1,ISNUMBER($G401)),$G401*100000+N($H401)*100+N($I401)+(1000-ROW())/10000,0)</f>
        <v>0</v>
      </c>
      <c r="N401" s="43">
        <f t="shared" si="18"/>
        <v>0</v>
      </c>
      <c r="O401" s="43" t="str">
        <f t="shared" si="20"/>
        <v/>
      </c>
      <c r="P401" s="43">
        <f t="shared" si="19"/>
        <v>0</v>
      </c>
    </row>
    <row r="402" spans="1:16">
      <c r="A402" s="58">
        <v>10</v>
      </c>
      <c r="B402" s="59" t="str">
        <f>IFERROR(INDEX(الطلاب!$C$5:$C$44,MATCH($D402,الطلاب!$A$5:$A$44,0)),"")</f>
        <v>المقرأة الأولى</v>
      </c>
      <c r="C402" s="59" t="str">
        <f>IFERROR(INDEX(الطلاب!$D$5:$D$44,MATCH($D402,الطلاب!$A$5:$A$44,0)),"")</f>
        <v xml:space="preserve">حسان بن ثابت </v>
      </c>
      <c r="D402" s="59">
        <v>38</v>
      </c>
      <c r="E402" s="60" t="str">
        <f>IFERROR(INDEX(الطلاب!$B$5:$B$44,MATCH($D402,الطلاب!$A$5:$A$44,0)),"")</f>
        <v xml:space="preserve">عاصم الضالع </v>
      </c>
      <c r="F402" s="40"/>
      <c r="G402" s="40"/>
      <c r="H402" s="40"/>
      <c r="I402" s="40"/>
      <c r="J402" s="40"/>
      <c r="K402" s="36"/>
      <c r="L402" s="43">
        <f>IF(AND($A402='أفضل 5 طلاب'!$C$3,$B402=الإعدادات!$C$8,$N402=1,ISNUMBER($G402)),$G402*100000+N($H402)*100+N($I402)+(1000-ROW())/10000,0)</f>
        <v>0</v>
      </c>
      <c r="M402" s="43">
        <f>IF(AND($A402='أفضل 5 طلاب'!$C$3,$B402=الإعدادات!$C$9,$N402=1,ISNUMBER($G402)),$G402*100000+N($H402)*100+N($I402)+(1000-ROW())/10000,0)</f>
        <v>0</v>
      </c>
      <c r="N402" s="43">
        <f t="shared" si="18"/>
        <v>0</v>
      </c>
      <c r="O402" s="43" t="str">
        <f t="shared" si="20"/>
        <v/>
      </c>
      <c r="P402" s="43">
        <f t="shared" si="19"/>
        <v>0</v>
      </c>
    </row>
    <row r="403" spans="1:16">
      <c r="A403" s="58">
        <v>10</v>
      </c>
      <c r="B403" s="59">
        <f>IFERROR(INDEX(الطلاب!$C$5:$C$44,MATCH($D403,الطلاب!$A$5:$A$44,0)),"")</f>
        <v>0</v>
      </c>
      <c r="C403" s="59">
        <f>IFERROR(INDEX(الطلاب!$D$5:$D$44,MATCH($D403,الطلاب!$A$5:$A$44,0)),"")</f>
        <v>0</v>
      </c>
      <c r="D403" s="59">
        <v>39</v>
      </c>
      <c r="E403" s="60">
        <f>IFERROR(INDEX(الطلاب!$B$5:$B$44,MATCH($D403,الطلاب!$A$5:$A$44,0)),"")</f>
        <v>0</v>
      </c>
      <c r="F403" s="40"/>
      <c r="G403" s="40"/>
      <c r="H403" s="40"/>
      <c r="I403" s="40"/>
      <c r="J403" s="40"/>
      <c r="K403" s="36"/>
      <c r="L403" s="43">
        <f>IF(AND($A403='أفضل 5 طلاب'!$C$3,$B403=الإعدادات!$C$8,$N403=1,ISNUMBER($G403)),$G403*100000+N($H403)*100+N($I403)+(1000-ROW())/10000,0)</f>
        <v>0</v>
      </c>
      <c r="M403" s="43">
        <f>IF(AND($A403='أفضل 5 طلاب'!$C$3,$B403=الإعدادات!$C$9,$N403=1,ISNUMBER($G403)),$G403*100000+N($H403)*100+N($I403)+(1000-ROW())/10000,0)</f>
        <v>0</v>
      </c>
      <c r="N403" s="43">
        <f t="shared" si="18"/>
        <v>0</v>
      </c>
      <c r="O403" s="43" t="str">
        <f t="shared" si="20"/>
        <v/>
      </c>
      <c r="P403" s="43">
        <f t="shared" si="19"/>
        <v>0</v>
      </c>
    </row>
    <row r="404" spans="1:16" ht="15.95" thickBot="1">
      <c r="A404" s="58">
        <v>10</v>
      </c>
      <c r="B404" s="59">
        <f>IFERROR(INDEX(الطلاب!$C$5:$C$44,MATCH($D404,الطلاب!$A$5:$A$44,0)),"")</f>
        <v>0</v>
      </c>
      <c r="C404" s="59">
        <f>IFERROR(INDEX(الطلاب!$D$5:$D$44,MATCH($D404,الطلاب!$A$5:$A$44,0)),"")</f>
        <v>0</v>
      </c>
      <c r="D404" s="59">
        <v>40</v>
      </c>
      <c r="E404" s="60">
        <f>IFERROR(INDEX(الطلاب!$B$5:$B$44,MATCH($D404,الطلاب!$A$5:$A$44,0)),"")</f>
        <v>0</v>
      </c>
      <c r="F404" s="40"/>
      <c r="G404" s="40"/>
      <c r="H404" s="40"/>
      <c r="I404" s="40"/>
      <c r="J404" s="40"/>
      <c r="K404" s="36"/>
      <c r="L404" s="43">
        <f>IF(AND($A404='أفضل 5 طلاب'!$C$3,$B404=الإعدادات!$C$8,$N404=1,ISNUMBER($G404)),$G404*100000+N($H404)*100+N($I404)+(1000-ROW())/10000,0)</f>
        <v>0</v>
      </c>
      <c r="M404" s="43">
        <f>IF(AND($A404='أفضل 5 طلاب'!$C$3,$B404=الإعدادات!$C$9,$N404=1,ISNUMBER($G404)),$G404*100000+N($H404)*100+N($I404)+(1000-ROW())/10000,0)</f>
        <v>0</v>
      </c>
      <c r="N404" s="43">
        <f t="shared" si="18"/>
        <v>0</v>
      </c>
      <c r="O404" s="43" t="str">
        <f t="shared" si="20"/>
        <v/>
      </c>
      <c r="P404" s="43">
        <f t="shared" si="19"/>
        <v>0</v>
      </c>
    </row>
    <row r="405" spans="1:16">
      <c r="A405" s="44">
        <v>11</v>
      </c>
      <c r="B405" s="45" t="str">
        <f>IFERROR(INDEX(الطلاب!$C$5:$C$44,MATCH($D405,الطلاب!$A$5:$A$44,0)),"")</f>
        <v>المقرأة الأولى</v>
      </c>
      <c r="C405" s="45" t="str">
        <f>IFERROR(INDEX(الطلاب!$D$5:$D$44,MATCH($D405,الطلاب!$A$5:$A$44,0)),"")</f>
        <v xml:space="preserve">عبدالرحمن بن النعمان </v>
      </c>
      <c r="D405" s="45">
        <v>1</v>
      </c>
      <c r="E405" s="46" t="str">
        <f>IFERROR(INDEX(الطلاب!$B$5:$B$44,MATCH($D405,الطلاب!$A$5:$A$44,0)),"")</f>
        <v>غسان اليحيى</v>
      </c>
      <c r="F405" s="47"/>
      <c r="G405" s="47"/>
      <c r="H405" s="47"/>
      <c r="I405" s="47"/>
      <c r="J405" s="47"/>
      <c r="K405" s="36"/>
      <c r="L405" s="43">
        <f>IF(AND($A405='أفضل 5 طلاب'!$C$3,$B405=الإعدادات!$C$8,$N405=1,ISNUMBER($G405)),$G405*100000+N($H405)*100+N($I405)+(1000-ROW())/10000,0)</f>
        <v>0</v>
      </c>
      <c r="M405" s="43">
        <f>IF(AND($A405='أفضل 5 طلاب'!$C$3,$B405=الإعدادات!$C$9,$N405=1,ISNUMBER($G405)),$G405*100000+N($H405)*100+N($I405)+(1000-ROW())/10000,0)</f>
        <v>0</v>
      </c>
      <c r="N405" s="43">
        <f t="shared" si="18"/>
        <v>0</v>
      </c>
      <c r="O405" s="43" t="str">
        <f t="shared" si="20"/>
        <v/>
      </c>
      <c r="P405" s="43">
        <f t="shared" si="19"/>
        <v>0</v>
      </c>
    </row>
    <row r="406" spans="1:16">
      <c r="A406" s="48">
        <v>11</v>
      </c>
      <c r="B406" s="49" t="str">
        <f>IFERROR(INDEX(الطلاب!$C$5:$C$44,MATCH($D406,الطلاب!$A$5:$A$44,0)),"")</f>
        <v>المقرأة الأولى</v>
      </c>
      <c r="C406" s="49" t="str">
        <f>IFERROR(INDEX(الطلاب!$D$5:$D$44,MATCH($D406,الطلاب!$A$5:$A$44,0)),"")</f>
        <v xml:space="preserve">عبدالرحمن بن النعمان </v>
      </c>
      <c r="D406" s="49">
        <v>2</v>
      </c>
      <c r="E406" s="50" t="str">
        <f>IFERROR(INDEX(الطلاب!$B$5:$B$44,MATCH($D406,الطلاب!$A$5:$A$44,0)),"")</f>
        <v xml:space="preserve">صالح الشريف </v>
      </c>
      <c r="F406" s="40"/>
      <c r="G406" s="40"/>
      <c r="H406" s="40"/>
      <c r="I406" s="40"/>
      <c r="J406" s="40"/>
      <c r="K406" s="36"/>
      <c r="L406" s="43">
        <f>IF(AND($A406='أفضل 5 طلاب'!$C$3,$B406=الإعدادات!$C$8,$N406=1,ISNUMBER($G406)),$G406*100000+N($H406)*100+N($I406)+(1000-ROW())/10000,0)</f>
        <v>0</v>
      </c>
      <c r="M406" s="43">
        <f>IF(AND($A406='أفضل 5 طلاب'!$C$3,$B406=الإعدادات!$C$9,$N406=1,ISNUMBER($G406)),$G406*100000+N($H406)*100+N($I406)+(1000-ROW())/10000,0)</f>
        <v>0</v>
      </c>
      <c r="N406" s="43">
        <f t="shared" si="18"/>
        <v>0</v>
      </c>
      <c r="O406" s="43" t="str">
        <f t="shared" si="20"/>
        <v/>
      </c>
      <c r="P406" s="43">
        <f t="shared" si="19"/>
        <v>0</v>
      </c>
    </row>
    <row r="407" spans="1:16">
      <c r="A407" s="48">
        <v>11</v>
      </c>
      <c r="B407" s="49" t="str">
        <f>IFERROR(INDEX(الطلاب!$C$5:$C$44,MATCH($D407,الطلاب!$A$5:$A$44,0)),"")</f>
        <v>المقرأة الأولى</v>
      </c>
      <c r="C407" s="49" t="str">
        <f>IFERROR(INDEX(الطلاب!$D$5:$D$44,MATCH($D407,الطلاب!$A$5:$A$44,0)),"")</f>
        <v xml:space="preserve">عبدالرحمن بن النعمان </v>
      </c>
      <c r="D407" s="49">
        <v>3</v>
      </c>
      <c r="E407" s="50" t="str">
        <f>IFERROR(INDEX(الطلاب!$B$5:$B$44,MATCH($D407,الطلاب!$A$5:$A$44,0)),"")</f>
        <v xml:space="preserve">فهد المشيقح </v>
      </c>
      <c r="F407" s="40"/>
      <c r="G407" s="40"/>
      <c r="H407" s="40"/>
      <c r="I407" s="40"/>
      <c r="J407" s="40"/>
      <c r="K407" s="36"/>
      <c r="L407" s="43">
        <f>IF(AND($A407='أفضل 5 طلاب'!$C$3,$B407=الإعدادات!$C$8,$N407=1,ISNUMBER($G407)),$G407*100000+N($H407)*100+N($I407)+(1000-ROW())/10000,0)</f>
        <v>0</v>
      </c>
      <c r="M407" s="43">
        <f>IF(AND($A407='أفضل 5 طلاب'!$C$3,$B407=الإعدادات!$C$9,$N407=1,ISNUMBER($G407)),$G407*100000+N($H407)*100+N($I407)+(1000-ROW())/10000,0)</f>
        <v>0</v>
      </c>
      <c r="N407" s="43">
        <f t="shared" si="18"/>
        <v>0</v>
      </c>
      <c r="O407" s="43" t="str">
        <f t="shared" si="20"/>
        <v/>
      </c>
      <c r="P407" s="43">
        <f t="shared" si="19"/>
        <v>0</v>
      </c>
    </row>
    <row r="408" spans="1:16">
      <c r="A408" s="48">
        <v>11</v>
      </c>
      <c r="B408" s="49" t="str">
        <f>IFERROR(INDEX(الطلاب!$C$5:$C$44,MATCH($D408,الطلاب!$A$5:$A$44,0)),"")</f>
        <v>المقرأة الأولى</v>
      </c>
      <c r="C408" s="49" t="str">
        <f>IFERROR(INDEX(الطلاب!$D$5:$D$44,MATCH($D408,الطلاب!$A$5:$A$44,0)),"")</f>
        <v xml:space="preserve">عبدالرحمن بن النعمان </v>
      </c>
      <c r="D408" s="49">
        <v>4</v>
      </c>
      <c r="E408" s="50" t="str">
        <f>IFERROR(INDEX(الطلاب!$B$5:$B$44,MATCH($D408,الطلاب!$A$5:$A$44,0)),"")</f>
        <v>عبدالله الحفير</v>
      </c>
      <c r="F408" s="40"/>
      <c r="G408" s="40"/>
      <c r="H408" s="40"/>
      <c r="I408" s="40"/>
      <c r="J408" s="40"/>
      <c r="K408" s="36"/>
      <c r="L408" s="43">
        <f>IF(AND($A408='أفضل 5 طلاب'!$C$3,$B408=الإعدادات!$C$8,$N408=1,ISNUMBER($G408)),$G408*100000+N($H408)*100+N($I408)+(1000-ROW())/10000,0)</f>
        <v>0</v>
      </c>
      <c r="M408" s="43">
        <f>IF(AND($A408='أفضل 5 طلاب'!$C$3,$B408=الإعدادات!$C$9,$N408=1,ISNUMBER($G408)),$G408*100000+N($H408)*100+N($I408)+(1000-ROW())/10000,0)</f>
        <v>0</v>
      </c>
      <c r="N408" s="43">
        <f t="shared" si="18"/>
        <v>0</v>
      </c>
      <c r="O408" s="43" t="str">
        <f t="shared" si="20"/>
        <v/>
      </c>
      <c r="P408" s="43">
        <f t="shared" si="19"/>
        <v>0</v>
      </c>
    </row>
    <row r="409" spans="1:16">
      <c r="A409" s="48">
        <v>11</v>
      </c>
      <c r="B409" s="49" t="str">
        <f>IFERROR(INDEX(الطلاب!$C$5:$C$44,MATCH($D409,الطلاب!$A$5:$A$44,0)),"")</f>
        <v>المقرأة الأولى</v>
      </c>
      <c r="C409" s="49" t="str">
        <f>IFERROR(INDEX(الطلاب!$D$5:$D$44,MATCH($D409,الطلاب!$A$5:$A$44,0)),"")</f>
        <v xml:space="preserve">عبدالرحمن بن النعمان </v>
      </c>
      <c r="D409" s="49">
        <v>5</v>
      </c>
      <c r="E409" s="50" t="str">
        <f>IFERROR(INDEX(الطلاب!$B$5:$B$44,MATCH($D409,الطلاب!$A$5:$A$44,0)),"")</f>
        <v>زياد الدخيل الله</v>
      </c>
      <c r="F409" s="40"/>
      <c r="G409" s="40"/>
      <c r="H409" s="40"/>
      <c r="I409" s="40"/>
      <c r="J409" s="40"/>
      <c r="K409" s="36"/>
      <c r="L409" s="43">
        <f>IF(AND($A409='أفضل 5 طلاب'!$C$3,$B409=الإعدادات!$C$8,$N409=1,ISNUMBER($G409)),$G409*100000+N($H409)*100+N($I409)+(1000-ROW())/10000,0)</f>
        <v>0</v>
      </c>
      <c r="M409" s="43">
        <f>IF(AND($A409='أفضل 5 طلاب'!$C$3,$B409=الإعدادات!$C$9,$N409=1,ISNUMBER($G409)),$G409*100000+N($H409)*100+N($I409)+(1000-ROW())/10000,0)</f>
        <v>0</v>
      </c>
      <c r="N409" s="43">
        <f t="shared" si="18"/>
        <v>0</v>
      </c>
      <c r="O409" s="43" t="str">
        <f t="shared" si="20"/>
        <v/>
      </c>
      <c r="P409" s="43">
        <f t="shared" si="19"/>
        <v>0</v>
      </c>
    </row>
    <row r="410" spans="1:16">
      <c r="A410" s="48">
        <v>11</v>
      </c>
      <c r="B410" s="49" t="str">
        <f>IFERROR(INDEX(الطلاب!$C$5:$C$44,MATCH($D410,الطلاب!$A$5:$A$44,0)),"")</f>
        <v>المقرأة الأولى</v>
      </c>
      <c r="C410" s="49" t="str">
        <f>IFERROR(INDEX(الطلاب!$D$5:$D$44,MATCH($D410,الطلاب!$A$5:$A$44,0)),"")</f>
        <v xml:space="preserve">ابن رجب </v>
      </c>
      <c r="D410" s="49">
        <v>6</v>
      </c>
      <c r="E410" s="50" t="str">
        <f>IFERROR(INDEX(الطلاب!$B$5:$B$44,MATCH($D410,الطلاب!$A$5:$A$44,0)),"")</f>
        <v xml:space="preserve">عاصم الضبيعي </v>
      </c>
      <c r="F410" s="40"/>
      <c r="G410" s="40"/>
      <c r="H410" s="40"/>
      <c r="I410" s="40"/>
      <c r="J410" s="40"/>
      <c r="K410" s="36"/>
      <c r="L410" s="43">
        <f>IF(AND($A410='أفضل 5 طلاب'!$C$3,$B410=الإعدادات!$C$8,$N410=1,ISNUMBER($G410)),$G410*100000+N($H410)*100+N($I410)+(1000-ROW())/10000,0)</f>
        <v>0</v>
      </c>
      <c r="M410" s="43">
        <f>IF(AND($A410='أفضل 5 طلاب'!$C$3,$B410=الإعدادات!$C$9,$N410=1,ISNUMBER($G410)),$G410*100000+N($H410)*100+N($I410)+(1000-ROW())/10000,0)</f>
        <v>0</v>
      </c>
      <c r="N410" s="43">
        <f t="shared" si="18"/>
        <v>0</v>
      </c>
      <c r="O410" s="43" t="str">
        <f t="shared" si="20"/>
        <v/>
      </c>
      <c r="P410" s="43">
        <f t="shared" si="19"/>
        <v>0</v>
      </c>
    </row>
    <row r="411" spans="1:16">
      <c r="A411" s="48">
        <v>11</v>
      </c>
      <c r="B411" s="49" t="str">
        <f>IFERROR(INDEX(الطلاب!$C$5:$C$44,MATCH($D411,الطلاب!$A$5:$A$44,0)),"")</f>
        <v>المقرأة الأولى</v>
      </c>
      <c r="C411" s="49" t="str">
        <f>IFERROR(INDEX(الطلاب!$D$5:$D$44,MATCH($D411,الطلاب!$A$5:$A$44,0)),"")</f>
        <v xml:space="preserve">ابن رجب </v>
      </c>
      <c r="D411" s="49">
        <v>7</v>
      </c>
      <c r="E411" s="50" t="str">
        <f>IFERROR(INDEX(الطلاب!$B$5:$B$44,MATCH($D411,الطلاب!$A$5:$A$44,0)),"")</f>
        <v>محمد السعوي</v>
      </c>
      <c r="F411" s="40"/>
      <c r="G411" s="40"/>
      <c r="H411" s="40"/>
      <c r="I411" s="40"/>
      <c r="J411" s="40"/>
      <c r="K411" s="36"/>
      <c r="L411" s="43">
        <f>IF(AND($A411='أفضل 5 طلاب'!$C$3,$B411=الإعدادات!$C$8,$N411=1,ISNUMBER($G411)),$G411*100000+N($H411)*100+N($I411)+(1000-ROW())/10000,0)</f>
        <v>0</v>
      </c>
      <c r="M411" s="43">
        <f>IF(AND($A411='أفضل 5 طلاب'!$C$3,$B411=الإعدادات!$C$9,$N411=1,ISNUMBER($G411)),$G411*100000+N($H411)*100+N($I411)+(1000-ROW())/10000,0)</f>
        <v>0</v>
      </c>
      <c r="N411" s="43">
        <f t="shared" si="18"/>
        <v>0</v>
      </c>
      <c r="O411" s="43" t="str">
        <f t="shared" si="20"/>
        <v/>
      </c>
      <c r="P411" s="43">
        <f t="shared" si="19"/>
        <v>0</v>
      </c>
    </row>
    <row r="412" spans="1:16">
      <c r="A412" s="48">
        <v>11</v>
      </c>
      <c r="B412" s="49" t="str">
        <f>IFERROR(INDEX(الطلاب!$C$5:$C$44,MATCH($D412,الطلاب!$A$5:$A$44,0)),"")</f>
        <v>المقرأة الأولى</v>
      </c>
      <c r="C412" s="49" t="str">
        <f>IFERROR(INDEX(الطلاب!$D$5:$D$44,MATCH($D412,الطلاب!$A$5:$A$44,0)),"")</f>
        <v xml:space="preserve">ابن رجب </v>
      </c>
      <c r="D412" s="49">
        <v>8</v>
      </c>
      <c r="E412" s="50" t="str">
        <f>IFERROR(INDEX(الطلاب!$B$5:$B$44,MATCH($D412,الطلاب!$A$5:$A$44,0)),"")</f>
        <v>هشام المخلف</v>
      </c>
      <c r="F412" s="40"/>
      <c r="G412" s="40"/>
      <c r="H412" s="40"/>
      <c r="I412" s="40"/>
      <c r="J412" s="40"/>
      <c r="K412" s="36"/>
      <c r="L412" s="43">
        <f>IF(AND($A412='أفضل 5 طلاب'!$C$3,$B412=الإعدادات!$C$8,$N412=1,ISNUMBER($G412)),$G412*100000+N($H412)*100+N($I412)+(1000-ROW())/10000,0)</f>
        <v>0</v>
      </c>
      <c r="M412" s="43">
        <f>IF(AND($A412='أفضل 5 طلاب'!$C$3,$B412=الإعدادات!$C$9,$N412=1,ISNUMBER($G412)),$G412*100000+N($H412)*100+N($I412)+(1000-ROW())/10000,0)</f>
        <v>0</v>
      </c>
      <c r="N412" s="43">
        <f t="shared" si="18"/>
        <v>0</v>
      </c>
      <c r="O412" s="43" t="str">
        <f t="shared" si="20"/>
        <v/>
      </c>
      <c r="P412" s="43">
        <f t="shared" si="19"/>
        <v>0</v>
      </c>
    </row>
    <row r="413" spans="1:16">
      <c r="A413" s="48">
        <v>11</v>
      </c>
      <c r="B413" s="49" t="str">
        <f>IFERROR(INDEX(الطلاب!$C$5:$C$44,MATCH($D413,الطلاب!$A$5:$A$44,0)),"")</f>
        <v>المقرأة الأولى</v>
      </c>
      <c r="C413" s="49" t="str">
        <f>IFERROR(INDEX(الطلاب!$D$5:$D$44,MATCH($D413,الطلاب!$A$5:$A$44,0)),"")</f>
        <v xml:space="preserve">ابن رجب </v>
      </c>
      <c r="D413" s="49">
        <v>9</v>
      </c>
      <c r="E413" s="50" t="str">
        <f>IFERROR(INDEX(الطلاب!$B$5:$B$44,MATCH($D413,الطلاب!$A$5:$A$44,0)),"")</f>
        <v xml:space="preserve">اسامة السعدون </v>
      </c>
      <c r="F413" s="40"/>
      <c r="G413" s="40"/>
      <c r="H413" s="40"/>
      <c r="I413" s="40"/>
      <c r="J413" s="40"/>
      <c r="K413" s="36"/>
      <c r="L413" s="43">
        <f>IF(AND($A413='أفضل 5 طلاب'!$C$3,$B413=الإعدادات!$C$8,$N413=1,ISNUMBER($G413)),$G413*100000+N($H413)*100+N($I413)+(1000-ROW())/10000,0)</f>
        <v>0</v>
      </c>
      <c r="M413" s="43">
        <f>IF(AND($A413='أفضل 5 طلاب'!$C$3,$B413=الإعدادات!$C$9,$N413=1,ISNUMBER($G413)),$G413*100000+N($H413)*100+N($I413)+(1000-ROW())/10000,0)</f>
        <v>0</v>
      </c>
      <c r="N413" s="43">
        <f t="shared" si="18"/>
        <v>0</v>
      </c>
      <c r="O413" s="43" t="str">
        <f t="shared" si="20"/>
        <v/>
      </c>
      <c r="P413" s="43">
        <f t="shared" si="19"/>
        <v>0</v>
      </c>
    </row>
    <row r="414" spans="1:16">
      <c r="A414" s="48">
        <v>11</v>
      </c>
      <c r="B414" s="49" t="str">
        <f>IFERROR(INDEX(الطلاب!$C$5:$C$44,MATCH($D414,الطلاب!$A$5:$A$44,0)),"")</f>
        <v>المقرأة الأولى</v>
      </c>
      <c r="C414" s="49" t="str">
        <f>IFERROR(INDEX(الطلاب!$D$5:$D$44,MATCH($D414,الطلاب!$A$5:$A$44,0)),"")</f>
        <v xml:space="preserve">حسان بن ثابت </v>
      </c>
      <c r="D414" s="49">
        <v>10</v>
      </c>
      <c r="E414" s="50" t="str">
        <f>IFERROR(INDEX(الطلاب!$B$5:$B$44,MATCH($D414,الطلاب!$A$5:$A$44,0)),"")</f>
        <v xml:space="preserve">محمد الثنيان </v>
      </c>
      <c r="F414" s="40"/>
      <c r="G414" s="40"/>
      <c r="H414" s="40"/>
      <c r="I414" s="40"/>
      <c r="J414" s="40"/>
      <c r="K414" s="36"/>
      <c r="L414" s="43">
        <f>IF(AND($A414='أفضل 5 طلاب'!$C$3,$B414=الإعدادات!$C$8,$N414=1,ISNUMBER($G414)),$G414*100000+N($H414)*100+N($I414)+(1000-ROW())/10000,0)</f>
        <v>0</v>
      </c>
      <c r="M414" s="43">
        <f>IF(AND($A414='أفضل 5 طلاب'!$C$3,$B414=الإعدادات!$C$9,$N414=1,ISNUMBER($G414)),$G414*100000+N($H414)*100+N($I414)+(1000-ROW())/10000,0)</f>
        <v>0</v>
      </c>
      <c r="N414" s="43">
        <f t="shared" si="18"/>
        <v>0</v>
      </c>
      <c r="O414" s="43" t="str">
        <f t="shared" si="20"/>
        <v/>
      </c>
      <c r="P414" s="43">
        <f t="shared" si="19"/>
        <v>0</v>
      </c>
    </row>
    <row r="415" spans="1:16">
      <c r="A415" s="48">
        <v>11</v>
      </c>
      <c r="B415" s="49" t="str">
        <f>IFERROR(INDEX(الطلاب!$C$5:$C$44,MATCH($D415,الطلاب!$A$5:$A$44,0)),"")</f>
        <v>المقرأة الأولى</v>
      </c>
      <c r="C415" s="49" t="str">
        <f>IFERROR(INDEX(الطلاب!$D$5:$D$44,MATCH($D415,الطلاب!$A$5:$A$44,0)),"")</f>
        <v xml:space="preserve">حسان بن ثابت </v>
      </c>
      <c r="D415" s="49">
        <v>11</v>
      </c>
      <c r="E415" s="50" t="str">
        <f>IFERROR(INDEX(الطلاب!$B$5:$B$44,MATCH($D415,الطلاب!$A$5:$A$44,0)),"")</f>
        <v xml:space="preserve">كنان الجريفاني </v>
      </c>
      <c r="F415" s="40"/>
      <c r="G415" s="40"/>
      <c r="H415" s="40"/>
      <c r="I415" s="40"/>
      <c r="J415" s="40"/>
      <c r="K415" s="36"/>
      <c r="L415" s="43">
        <f>IF(AND($A415='أفضل 5 طلاب'!$C$3,$B415=الإعدادات!$C$8,$N415=1,ISNUMBER($G415)),$G415*100000+N($H415)*100+N($I415)+(1000-ROW())/10000,0)</f>
        <v>0</v>
      </c>
      <c r="M415" s="43">
        <f>IF(AND($A415='أفضل 5 طلاب'!$C$3,$B415=الإعدادات!$C$9,$N415=1,ISNUMBER($G415)),$G415*100000+N($H415)*100+N($I415)+(1000-ROW())/10000,0)</f>
        <v>0</v>
      </c>
      <c r="N415" s="43">
        <f t="shared" si="18"/>
        <v>0</v>
      </c>
      <c r="O415" s="43" t="str">
        <f t="shared" si="20"/>
        <v/>
      </c>
      <c r="P415" s="43">
        <f t="shared" si="19"/>
        <v>0</v>
      </c>
    </row>
    <row r="416" spans="1:16">
      <c r="A416" s="48">
        <v>11</v>
      </c>
      <c r="B416" s="49" t="str">
        <f>IFERROR(INDEX(الطلاب!$C$5:$C$44,MATCH($D416,الطلاب!$A$5:$A$44,0)),"")</f>
        <v>المقرأة الأولى</v>
      </c>
      <c r="C416" s="49" t="str">
        <f>IFERROR(INDEX(الطلاب!$D$5:$D$44,MATCH($D416,الطلاب!$A$5:$A$44,0)),"")</f>
        <v xml:space="preserve">حسان بن ثابت </v>
      </c>
      <c r="D416" s="49">
        <v>12</v>
      </c>
      <c r="E416" s="50" t="str">
        <f>IFERROR(INDEX(الطلاب!$B$5:$B$44,MATCH($D416,الطلاب!$A$5:$A$44,0)),"")</f>
        <v xml:space="preserve">عبدالمجيد الربعي </v>
      </c>
      <c r="F416" s="40"/>
      <c r="G416" s="40"/>
      <c r="H416" s="40"/>
      <c r="I416" s="40"/>
      <c r="J416" s="40"/>
      <c r="K416" s="36"/>
      <c r="L416" s="43">
        <f>IF(AND($A416='أفضل 5 طلاب'!$C$3,$B416=الإعدادات!$C$8,$N416=1,ISNUMBER($G416)),$G416*100000+N($H416)*100+N($I416)+(1000-ROW())/10000,0)</f>
        <v>0</v>
      </c>
      <c r="M416" s="43">
        <f>IF(AND($A416='أفضل 5 طلاب'!$C$3,$B416=الإعدادات!$C$9,$N416=1,ISNUMBER($G416)),$G416*100000+N($H416)*100+N($I416)+(1000-ROW())/10000,0)</f>
        <v>0</v>
      </c>
      <c r="N416" s="43">
        <f t="shared" si="18"/>
        <v>0</v>
      </c>
      <c r="O416" s="43" t="str">
        <f t="shared" si="20"/>
        <v/>
      </c>
      <c r="P416" s="43">
        <f t="shared" si="19"/>
        <v>0</v>
      </c>
    </row>
    <row r="417" spans="1:16">
      <c r="A417" s="48">
        <v>11</v>
      </c>
      <c r="B417" s="49" t="str">
        <f>IFERROR(INDEX(الطلاب!$C$5:$C$44,MATCH($D417,الطلاب!$A$5:$A$44,0)),"")</f>
        <v>المقرأة الأولى</v>
      </c>
      <c r="C417" s="49" t="str">
        <f>IFERROR(INDEX(الطلاب!$D$5:$D$44,MATCH($D417,الطلاب!$A$5:$A$44,0)),"")</f>
        <v xml:space="preserve">حسان بن ثابت </v>
      </c>
      <c r="D417" s="49">
        <v>13</v>
      </c>
      <c r="E417" s="50" t="str">
        <f>IFERROR(INDEX(الطلاب!$B$5:$B$44,MATCH($D417,الطلاب!$A$5:$A$44,0)),"")</f>
        <v xml:space="preserve">عبدالله التويجري </v>
      </c>
      <c r="F417" s="40"/>
      <c r="G417" s="40"/>
      <c r="H417" s="40"/>
      <c r="I417" s="40"/>
      <c r="J417" s="40"/>
      <c r="K417" s="36"/>
      <c r="L417" s="43">
        <f>IF(AND($A417='أفضل 5 طلاب'!$C$3,$B417=الإعدادات!$C$8,$N417=1,ISNUMBER($G417)),$G417*100000+N($H417)*100+N($I417)+(1000-ROW())/10000,0)</f>
        <v>0</v>
      </c>
      <c r="M417" s="43">
        <f>IF(AND($A417='أفضل 5 طلاب'!$C$3,$B417=الإعدادات!$C$9,$N417=1,ISNUMBER($G417)),$G417*100000+N($H417)*100+N($I417)+(1000-ROW())/10000,0)</f>
        <v>0</v>
      </c>
      <c r="N417" s="43">
        <f t="shared" si="18"/>
        <v>0</v>
      </c>
      <c r="O417" s="43" t="str">
        <f t="shared" si="20"/>
        <v/>
      </c>
      <c r="P417" s="43">
        <f t="shared" si="19"/>
        <v>0</v>
      </c>
    </row>
    <row r="418" spans="1:16">
      <c r="A418" s="48">
        <v>11</v>
      </c>
      <c r="B418" s="49" t="str">
        <f>IFERROR(INDEX(الطلاب!$C$5:$C$44,MATCH($D418,الطلاب!$A$5:$A$44,0)),"")</f>
        <v>المقرأة الأولى</v>
      </c>
      <c r="C418" s="49" t="str">
        <f>IFERROR(INDEX(الطلاب!$D$5:$D$44,MATCH($D418,الطلاب!$A$5:$A$44,0)),"")</f>
        <v xml:space="preserve">حسان بن ثابت </v>
      </c>
      <c r="D418" s="49">
        <v>14</v>
      </c>
      <c r="E418" s="50" t="str">
        <f>IFERROR(INDEX(الطلاب!$B$5:$B$44,MATCH($D418,الطلاب!$A$5:$A$44,0)),"")</f>
        <v xml:space="preserve">حسام التويجري </v>
      </c>
      <c r="F418" s="40"/>
      <c r="G418" s="40"/>
      <c r="H418" s="40"/>
      <c r="I418" s="40"/>
      <c r="J418" s="40"/>
      <c r="K418" s="36"/>
      <c r="L418" s="43">
        <f>IF(AND($A418='أفضل 5 طلاب'!$C$3,$B418=الإعدادات!$C$8,$N418=1,ISNUMBER($G418)),$G418*100000+N($H418)*100+N($I418)+(1000-ROW())/10000,0)</f>
        <v>0</v>
      </c>
      <c r="M418" s="43">
        <f>IF(AND($A418='أفضل 5 طلاب'!$C$3,$B418=الإعدادات!$C$9,$N418=1,ISNUMBER($G418)),$G418*100000+N($H418)*100+N($I418)+(1000-ROW())/10000,0)</f>
        <v>0</v>
      </c>
      <c r="N418" s="43">
        <f t="shared" si="18"/>
        <v>0</v>
      </c>
      <c r="O418" s="43" t="str">
        <f t="shared" si="20"/>
        <v/>
      </c>
      <c r="P418" s="43">
        <f t="shared" si="19"/>
        <v>0</v>
      </c>
    </row>
    <row r="419" spans="1:16">
      <c r="A419" s="48">
        <v>11</v>
      </c>
      <c r="B419" s="49" t="str">
        <f>IFERROR(INDEX(الطلاب!$C$5:$C$44,MATCH($D419,الطلاب!$A$5:$A$44,0)),"")</f>
        <v>المقرأة الأولى</v>
      </c>
      <c r="C419" s="49" t="str">
        <f>IFERROR(INDEX(الطلاب!$D$5:$D$44,MATCH($D419,الطلاب!$A$5:$A$44,0)),"")</f>
        <v xml:space="preserve">حسان بن ثابت </v>
      </c>
      <c r="D419" s="49">
        <v>15</v>
      </c>
      <c r="E419" s="50" t="str">
        <f>IFERROR(INDEX(الطلاب!$B$5:$B$44,MATCH($D419,الطلاب!$A$5:$A$44,0)),"")</f>
        <v xml:space="preserve">عبدالرحمن البريدي </v>
      </c>
      <c r="F419" s="40"/>
      <c r="G419" s="40"/>
      <c r="H419" s="40"/>
      <c r="I419" s="40"/>
      <c r="J419" s="40"/>
      <c r="K419" s="36"/>
      <c r="L419" s="43">
        <f>IF(AND($A419='أفضل 5 طلاب'!$C$3,$B419=الإعدادات!$C$8,$N419=1,ISNUMBER($G419)),$G419*100000+N($H419)*100+N($I419)+(1000-ROW())/10000,0)</f>
        <v>0</v>
      </c>
      <c r="M419" s="43">
        <f>IF(AND($A419='أفضل 5 طلاب'!$C$3,$B419=الإعدادات!$C$9,$N419=1,ISNUMBER($G419)),$G419*100000+N($H419)*100+N($I419)+(1000-ROW())/10000,0)</f>
        <v>0</v>
      </c>
      <c r="N419" s="43">
        <f t="shared" si="18"/>
        <v>0</v>
      </c>
      <c r="O419" s="43" t="str">
        <f t="shared" si="20"/>
        <v/>
      </c>
      <c r="P419" s="43">
        <f t="shared" si="19"/>
        <v>0</v>
      </c>
    </row>
    <row r="420" spans="1:16">
      <c r="A420" s="48">
        <v>11</v>
      </c>
      <c r="B420" s="49" t="str">
        <f>IFERROR(INDEX(الطلاب!$C$5:$C$44,MATCH($D420,الطلاب!$A$5:$A$44,0)),"")</f>
        <v>المقرأة الأولى</v>
      </c>
      <c r="C420" s="49" t="str">
        <f>IFERROR(INDEX(الطلاب!$D$5:$D$44,MATCH($D420,الطلاب!$A$5:$A$44,0)),"")</f>
        <v xml:space="preserve">حسان بن ثابت </v>
      </c>
      <c r="D420" s="49">
        <v>16</v>
      </c>
      <c r="E420" s="50" t="str">
        <f>IFERROR(INDEX(الطلاب!$B$5:$B$44,MATCH($D420,الطلاب!$A$5:$A$44,0)),"")</f>
        <v>عبدالرحمن بازرعة</v>
      </c>
      <c r="F420" s="40"/>
      <c r="G420" s="40"/>
      <c r="H420" s="40"/>
      <c r="I420" s="40"/>
      <c r="J420" s="40"/>
      <c r="K420" s="36"/>
      <c r="L420" s="43">
        <f>IF(AND($A420='أفضل 5 طلاب'!$C$3,$B420=الإعدادات!$C$8,$N420=1,ISNUMBER($G420)),$G420*100000+N($H420)*100+N($I420)+(1000-ROW())/10000,0)</f>
        <v>0</v>
      </c>
      <c r="M420" s="43">
        <f>IF(AND($A420='أفضل 5 طلاب'!$C$3,$B420=الإعدادات!$C$9,$N420=1,ISNUMBER($G420)),$G420*100000+N($H420)*100+N($I420)+(1000-ROW())/10000,0)</f>
        <v>0</v>
      </c>
      <c r="N420" s="43">
        <f t="shared" si="18"/>
        <v>0</v>
      </c>
      <c r="O420" s="43" t="str">
        <f t="shared" si="20"/>
        <v/>
      </c>
      <c r="P420" s="43">
        <f t="shared" si="19"/>
        <v>0</v>
      </c>
    </row>
    <row r="421" spans="1:16">
      <c r="A421" s="48">
        <v>11</v>
      </c>
      <c r="B421" s="49" t="str">
        <f>IFERROR(INDEX(الطلاب!$C$5:$C$44,MATCH($D421,الطلاب!$A$5:$A$44,0)),"")</f>
        <v>المقرأة الأولى</v>
      </c>
      <c r="C421" s="49" t="str">
        <f>IFERROR(INDEX(الطلاب!$D$5:$D$44,MATCH($D421,الطلاب!$A$5:$A$44,0)),"")</f>
        <v xml:space="preserve">حسان بن ثابت </v>
      </c>
      <c r="D421" s="49">
        <v>17</v>
      </c>
      <c r="E421" s="50" t="str">
        <f>IFERROR(INDEX(الطلاب!$B$5:$B$44,MATCH($D421,الطلاب!$A$5:$A$44,0)),"")</f>
        <v xml:space="preserve">عبدالله الضحيان </v>
      </c>
      <c r="F421" s="40"/>
      <c r="G421" s="40"/>
      <c r="H421" s="40"/>
      <c r="I421" s="40"/>
      <c r="J421" s="40"/>
      <c r="K421" s="36"/>
      <c r="L421" s="43">
        <f>IF(AND($A421='أفضل 5 طلاب'!$C$3,$B421=الإعدادات!$C$8,$N421=1,ISNUMBER($G421)),$G421*100000+N($H421)*100+N($I421)+(1000-ROW())/10000,0)</f>
        <v>0</v>
      </c>
      <c r="M421" s="43">
        <f>IF(AND($A421='أفضل 5 طلاب'!$C$3,$B421=الإعدادات!$C$9,$N421=1,ISNUMBER($G421)),$G421*100000+N($H421)*100+N($I421)+(1000-ROW())/10000,0)</f>
        <v>0</v>
      </c>
      <c r="N421" s="43">
        <f t="shared" si="18"/>
        <v>0</v>
      </c>
      <c r="O421" s="43" t="str">
        <f t="shared" si="20"/>
        <v/>
      </c>
      <c r="P421" s="43">
        <f t="shared" si="19"/>
        <v>0</v>
      </c>
    </row>
    <row r="422" spans="1:16">
      <c r="A422" s="48">
        <v>11</v>
      </c>
      <c r="B422" s="49" t="str">
        <f>IFERROR(INDEX(الطلاب!$C$5:$C$44,MATCH($D422,الطلاب!$A$5:$A$44,0)),"")</f>
        <v>المقرأة الأولى</v>
      </c>
      <c r="C422" s="49" t="str">
        <f>IFERROR(INDEX(الطلاب!$D$5:$D$44,MATCH($D422,الطلاب!$A$5:$A$44,0)),"")</f>
        <v xml:space="preserve">حسان بن ثابت </v>
      </c>
      <c r="D422" s="49">
        <v>18</v>
      </c>
      <c r="E422" s="50" t="str">
        <f>IFERROR(INDEX(الطلاب!$B$5:$B$44,MATCH($D422,الطلاب!$A$5:$A$44,0)),"")</f>
        <v xml:space="preserve">فيصل الدخيل </v>
      </c>
      <c r="F422" s="40"/>
      <c r="G422" s="40"/>
      <c r="H422" s="40"/>
      <c r="I422" s="40"/>
      <c r="J422" s="40"/>
      <c r="K422" s="36"/>
      <c r="L422" s="43">
        <f>IF(AND($A422='أفضل 5 طلاب'!$C$3,$B422=الإعدادات!$C$8,$N422=1,ISNUMBER($G422)),$G422*100000+N($H422)*100+N($I422)+(1000-ROW())/10000,0)</f>
        <v>0</v>
      </c>
      <c r="M422" s="43">
        <f>IF(AND($A422='أفضل 5 طلاب'!$C$3,$B422=الإعدادات!$C$9,$N422=1,ISNUMBER($G422)),$G422*100000+N($H422)*100+N($I422)+(1000-ROW())/10000,0)</f>
        <v>0</v>
      </c>
      <c r="N422" s="43">
        <f t="shared" si="18"/>
        <v>0</v>
      </c>
      <c r="O422" s="43" t="str">
        <f t="shared" si="20"/>
        <v/>
      </c>
      <c r="P422" s="43">
        <f t="shared" si="19"/>
        <v>0</v>
      </c>
    </row>
    <row r="423" spans="1:16">
      <c r="A423" s="48">
        <v>11</v>
      </c>
      <c r="B423" s="49" t="str">
        <f>IFERROR(INDEX(الطلاب!$C$5:$C$44,MATCH($D423,الطلاب!$A$5:$A$44,0)),"")</f>
        <v>المقرأة الأولى</v>
      </c>
      <c r="C423" s="49" t="str">
        <f>IFERROR(INDEX(الطلاب!$D$5:$D$44,MATCH($D423,الطلاب!$A$5:$A$44,0)),"")</f>
        <v xml:space="preserve">حسان بن ثابت </v>
      </c>
      <c r="D423" s="49">
        <v>19</v>
      </c>
      <c r="E423" s="50" t="str">
        <f>IFERROR(INDEX(الطلاب!$B$5:$B$44,MATCH($D423,الطلاب!$A$5:$A$44,0)),"")</f>
        <v xml:space="preserve">سليمان المحيميد </v>
      </c>
      <c r="F423" s="40"/>
      <c r="G423" s="40"/>
      <c r="H423" s="40"/>
      <c r="I423" s="40"/>
      <c r="J423" s="40"/>
      <c r="K423" s="36"/>
      <c r="L423" s="43">
        <f>IF(AND($A423='أفضل 5 طلاب'!$C$3,$B423=الإعدادات!$C$8,$N423=1,ISNUMBER($G423)),$G423*100000+N($H423)*100+N($I423)+(1000-ROW())/10000,0)</f>
        <v>0</v>
      </c>
      <c r="M423" s="43">
        <f>IF(AND($A423='أفضل 5 طلاب'!$C$3,$B423=الإعدادات!$C$9,$N423=1,ISNUMBER($G423)),$G423*100000+N($H423)*100+N($I423)+(1000-ROW())/10000,0)</f>
        <v>0</v>
      </c>
      <c r="N423" s="43">
        <f t="shared" si="18"/>
        <v>0</v>
      </c>
      <c r="O423" s="43" t="str">
        <f t="shared" si="20"/>
        <v/>
      </c>
      <c r="P423" s="43">
        <f t="shared" si="19"/>
        <v>0</v>
      </c>
    </row>
    <row r="424" spans="1:16">
      <c r="A424" s="48">
        <v>11</v>
      </c>
      <c r="B424" s="49" t="str">
        <f>IFERROR(INDEX(الطلاب!$C$5:$C$44,MATCH($D424,الطلاب!$A$5:$A$44,0)),"")</f>
        <v>المقرأة الثانية</v>
      </c>
      <c r="C424" s="49" t="str">
        <f>IFERROR(INDEX(الطلاب!$D$5:$D$44,MATCH($D424,الطلاب!$A$5:$A$44,0)),"")</f>
        <v xml:space="preserve">ابن رجب </v>
      </c>
      <c r="D424" s="49">
        <v>20</v>
      </c>
      <c r="E424" s="50" t="str">
        <f>IFERROR(INDEX(الطلاب!$B$5:$B$44,MATCH($D424,الطلاب!$A$5:$A$44,0)),"")</f>
        <v xml:space="preserve">اصيل التويجري </v>
      </c>
      <c r="F424" s="40"/>
      <c r="G424" s="40"/>
      <c r="H424" s="40"/>
      <c r="I424" s="40"/>
      <c r="J424" s="40"/>
      <c r="K424" s="36"/>
      <c r="L424" s="43">
        <f>IF(AND($A424='أفضل 5 طلاب'!$C$3,$B424=الإعدادات!$C$8,$N424=1,ISNUMBER($G424)),$G424*100000+N($H424)*100+N($I424)+(1000-ROW())/10000,0)</f>
        <v>0</v>
      </c>
      <c r="M424" s="43">
        <f>IF(AND($A424='أفضل 5 طلاب'!$C$3,$B424=الإعدادات!$C$9,$N424=1,ISNUMBER($G424)),$G424*100000+N($H424)*100+N($I424)+(1000-ROW())/10000,0)</f>
        <v>0</v>
      </c>
      <c r="N424" s="43">
        <f t="shared" si="18"/>
        <v>0</v>
      </c>
      <c r="O424" s="43" t="str">
        <f t="shared" si="20"/>
        <v/>
      </c>
      <c r="P424" s="43">
        <f t="shared" si="19"/>
        <v>0</v>
      </c>
    </row>
    <row r="425" spans="1:16">
      <c r="A425" s="48">
        <v>11</v>
      </c>
      <c r="B425" s="49" t="str">
        <f>IFERROR(INDEX(الطلاب!$C$5:$C$44,MATCH($D425,الطلاب!$A$5:$A$44,0)),"")</f>
        <v>المقرأة الثانية</v>
      </c>
      <c r="C425" s="49" t="str">
        <f>IFERROR(INDEX(الطلاب!$D$5:$D$44,MATCH($D425,الطلاب!$A$5:$A$44,0)),"")</f>
        <v xml:space="preserve">ابن رجب </v>
      </c>
      <c r="D425" s="49">
        <v>21</v>
      </c>
      <c r="E425" s="50" t="str">
        <f>IFERROR(INDEX(الطلاب!$B$5:$B$44,MATCH($D425,الطلاب!$A$5:$A$44,0)),"")</f>
        <v xml:space="preserve">جواد الرفيعي </v>
      </c>
      <c r="F425" s="40"/>
      <c r="G425" s="40"/>
      <c r="H425" s="40"/>
      <c r="I425" s="40"/>
      <c r="J425" s="40"/>
      <c r="K425" s="36"/>
      <c r="L425" s="43">
        <f>IF(AND($A425='أفضل 5 طلاب'!$C$3,$B425=الإعدادات!$C$8,$N425=1,ISNUMBER($G425)),$G425*100000+N($H425)*100+N($I425)+(1000-ROW())/10000,0)</f>
        <v>0</v>
      </c>
      <c r="M425" s="43">
        <f>IF(AND($A425='أفضل 5 طلاب'!$C$3,$B425=الإعدادات!$C$9,$N425=1,ISNUMBER($G425)),$G425*100000+N($H425)*100+N($I425)+(1000-ROW())/10000,0)</f>
        <v>0</v>
      </c>
      <c r="N425" s="43">
        <f t="shared" si="18"/>
        <v>0</v>
      </c>
      <c r="O425" s="43" t="str">
        <f t="shared" si="20"/>
        <v/>
      </c>
      <c r="P425" s="43">
        <f t="shared" si="19"/>
        <v>0</v>
      </c>
    </row>
    <row r="426" spans="1:16">
      <c r="A426" s="48">
        <v>11</v>
      </c>
      <c r="B426" s="49" t="str">
        <f>IFERROR(INDEX(الطلاب!$C$5:$C$44,MATCH($D426,الطلاب!$A$5:$A$44,0)),"")</f>
        <v>المقرأة الثانية</v>
      </c>
      <c r="C426" s="49" t="str">
        <f>IFERROR(INDEX(الطلاب!$D$5:$D$44,MATCH($D426,الطلاب!$A$5:$A$44,0)),"")</f>
        <v xml:space="preserve">ابن رجب </v>
      </c>
      <c r="D426" s="49">
        <v>22</v>
      </c>
      <c r="E426" s="50" t="str">
        <f>IFERROR(INDEX(الطلاب!$B$5:$B$44,MATCH($D426,الطلاب!$A$5:$A$44,0)),"")</f>
        <v xml:space="preserve">سفيان السبيعي </v>
      </c>
      <c r="F426" s="40"/>
      <c r="G426" s="40"/>
      <c r="H426" s="40"/>
      <c r="I426" s="40"/>
      <c r="J426" s="40"/>
      <c r="K426" s="36"/>
      <c r="L426" s="43">
        <f>IF(AND($A426='أفضل 5 طلاب'!$C$3,$B426=الإعدادات!$C$8,$N426=1,ISNUMBER($G426)),$G426*100000+N($H426)*100+N($I426)+(1000-ROW())/10000,0)</f>
        <v>0</v>
      </c>
      <c r="M426" s="43">
        <f>IF(AND($A426='أفضل 5 طلاب'!$C$3,$B426=الإعدادات!$C$9,$N426=1,ISNUMBER($G426)),$G426*100000+N($H426)*100+N($I426)+(1000-ROW())/10000,0)</f>
        <v>0</v>
      </c>
      <c r="N426" s="43">
        <f t="shared" si="18"/>
        <v>0</v>
      </c>
      <c r="O426" s="43" t="str">
        <f t="shared" si="20"/>
        <v/>
      </c>
      <c r="P426" s="43">
        <f t="shared" si="19"/>
        <v>0</v>
      </c>
    </row>
    <row r="427" spans="1:16">
      <c r="A427" s="48">
        <v>11</v>
      </c>
      <c r="B427" s="49" t="str">
        <f>IFERROR(INDEX(الطلاب!$C$5:$C$44,MATCH($D427,الطلاب!$A$5:$A$44,0)),"")</f>
        <v>المقرأة الثانية</v>
      </c>
      <c r="C427" s="49" t="str">
        <f>IFERROR(INDEX(الطلاب!$D$5:$D$44,MATCH($D427,الطلاب!$A$5:$A$44,0)),"")</f>
        <v xml:space="preserve">ابن رجب </v>
      </c>
      <c r="D427" s="49">
        <v>23</v>
      </c>
      <c r="E427" s="50" t="str">
        <f>IFERROR(INDEX(الطلاب!$B$5:$B$44,MATCH($D427,الطلاب!$A$5:$A$44,0)),"")</f>
        <v xml:space="preserve">عمار الفضل </v>
      </c>
      <c r="F427" s="40"/>
      <c r="G427" s="40"/>
      <c r="H427" s="40"/>
      <c r="I427" s="40"/>
      <c r="J427" s="40"/>
      <c r="K427" s="36"/>
      <c r="L427" s="43">
        <f>IF(AND($A427='أفضل 5 طلاب'!$C$3,$B427=الإعدادات!$C$8,$N427=1,ISNUMBER($G427)),$G427*100000+N($H427)*100+N($I427)+(1000-ROW())/10000,0)</f>
        <v>0</v>
      </c>
      <c r="M427" s="43">
        <f>IF(AND($A427='أفضل 5 طلاب'!$C$3,$B427=الإعدادات!$C$9,$N427=1,ISNUMBER($G427)),$G427*100000+N($H427)*100+N($I427)+(1000-ROW())/10000,0)</f>
        <v>0</v>
      </c>
      <c r="N427" s="43">
        <f t="shared" si="18"/>
        <v>0</v>
      </c>
      <c r="O427" s="43" t="str">
        <f t="shared" si="20"/>
        <v/>
      </c>
      <c r="P427" s="43">
        <f t="shared" si="19"/>
        <v>0</v>
      </c>
    </row>
    <row r="428" spans="1:16">
      <c r="A428" s="48">
        <v>11</v>
      </c>
      <c r="B428" s="49" t="str">
        <f>IFERROR(INDEX(الطلاب!$C$5:$C$44,MATCH($D428,الطلاب!$A$5:$A$44,0)),"")</f>
        <v>المقرأة الثانية</v>
      </c>
      <c r="C428" s="49" t="str">
        <f>IFERROR(INDEX(الطلاب!$D$5:$D$44,MATCH($D428,الطلاب!$A$5:$A$44,0)),"")</f>
        <v xml:space="preserve">ابن رجب </v>
      </c>
      <c r="D428" s="49">
        <v>24</v>
      </c>
      <c r="E428" s="50" t="str">
        <f>IFERROR(INDEX(الطلاب!$B$5:$B$44,MATCH($D428,الطلاب!$A$5:$A$44,0)),"")</f>
        <v xml:space="preserve">مروان المهوس </v>
      </c>
      <c r="F428" s="40"/>
      <c r="G428" s="40"/>
      <c r="H428" s="40"/>
      <c r="I428" s="40"/>
      <c r="J428" s="40"/>
      <c r="K428" s="36"/>
      <c r="L428" s="43">
        <f>IF(AND($A428='أفضل 5 طلاب'!$C$3,$B428=الإعدادات!$C$8,$N428=1,ISNUMBER($G428)),$G428*100000+N($H428)*100+N($I428)+(1000-ROW())/10000,0)</f>
        <v>0</v>
      </c>
      <c r="M428" s="43">
        <f>IF(AND($A428='أفضل 5 طلاب'!$C$3,$B428=الإعدادات!$C$9,$N428=1,ISNUMBER($G428)),$G428*100000+N($H428)*100+N($I428)+(1000-ROW())/10000,0)</f>
        <v>0</v>
      </c>
      <c r="N428" s="43">
        <f t="shared" si="18"/>
        <v>0</v>
      </c>
      <c r="O428" s="43" t="str">
        <f t="shared" si="20"/>
        <v/>
      </c>
      <c r="P428" s="43">
        <f t="shared" si="19"/>
        <v>0</v>
      </c>
    </row>
    <row r="429" spans="1:16">
      <c r="A429" s="48">
        <v>11</v>
      </c>
      <c r="B429" s="49" t="str">
        <f>IFERROR(INDEX(الطلاب!$C$5:$C$44,MATCH($D429,الطلاب!$A$5:$A$44,0)),"")</f>
        <v>المقرأة الثانية</v>
      </c>
      <c r="C429" s="49" t="str">
        <f>IFERROR(INDEX(الطلاب!$D$5:$D$44,MATCH($D429,الطلاب!$A$5:$A$44,0)),"")</f>
        <v xml:space="preserve">ابن رجب </v>
      </c>
      <c r="D429" s="49">
        <v>25</v>
      </c>
      <c r="E429" s="50" t="str">
        <f>IFERROR(INDEX(الطلاب!$B$5:$B$44,MATCH($D429,الطلاب!$A$5:$A$44,0)),"")</f>
        <v>جهاد الجدعان</v>
      </c>
      <c r="F429" s="40"/>
      <c r="G429" s="40"/>
      <c r="H429" s="40"/>
      <c r="I429" s="40"/>
      <c r="J429" s="40"/>
      <c r="K429" s="36"/>
      <c r="L429" s="43">
        <f>IF(AND($A429='أفضل 5 طلاب'!$C$3,$B429=الإعدادات!$C$8,$N429=1,ISNUMBER($G429)),$G429*100000+N($H429)*100+N($I429)+(1000-ROW())/10000,0)</f>
        <v>0</v>
      </c>
      <c r="M429" s="43">
        <f>IF(AND($A429='أفضل 5 طلاب'!$C$3,$B429=الإعدادات!$C$9,$N429=1,ISNUMBER($G429)),$G429*100000+N($H429)*100+N($I429)+(1000-ROW())/10000,0)</f>
        <v>0</v>
      </c>
      <c r="N429" s="43">
        <f t="shared" si="18"/>
        <v>0</v>
      </c>
      <c r="O429" s="43" t="str">
        <f t="shared" si="20"/>
        <v/>
      </c>
      <c r="P429" s="43">
        <f t="shared" si="19"/>
        <v>0</v>
      </c>
    </row>
    <row r="430" spans="1:16">
      <c r="A430" s="48">
        <v>11</v>
      </c>
      <c r="B430" s="49" t="str">
        <f>IFERROR(INDEX(الطلاب!$C$5:$C$44,MATCH($D430,الطلاب!$A$5:$A$44,0)),"")</f>
        <v>المقرأة الثانية</v>
      </c>
      <c r="C430" s="49" t="str">
        <f>IFERROR(INDEX(الطلاب!$D$5:$D$44,MATCH($D430,الطلاب!$A$5:$A$44,0)),"")</f>
        <v xml:space="preserve">ابن رجب </v>
      </c>
      <c r="D430" s="49">
        <v>26</v>
      </c>
      <c r="E430" s="50" t="str">
        <f>IFERROR(INDEX(الطلاب!$B$5:$B$44,MATCH($D430,الطلاب!$A$5:$A$44,0)),"")</f>
        <v>صلاح مسعد</v>
      </c>
      <c r="F430" s="40"/>
      <c r="G430" s="40"/>
      <c r="H430" s="40"/>
      <c r="I430" s="40"/>
      <c r="J430" s="40"/>
      <c r="K430" s="36"/>
      <c r="L430" s="43">
        <f>IF(AND($A430='أفضل 5 طلاب'!$C$3,$B430=الإعدادات!$C$8,$N430=1,ISNUMBER($G430)),$G430*100000+N($H430)*100+N($I430)+(1000-ROW())/10000,0)</f>
        <v>0</v>
      </c>
      <c r="M430" s="43">
        <f>IF(AND($A430='أفضل 5 طلاب'!$C$3,$B430=الإعدادات!$C$9,$N430=1,ISNUMBER($G430)),$G430*100000+N($H430)*100+N($I430)+(1000-ROW())/10000,0)</f>
        <v>0</v>
      </c>
      <c r="N430" s="43">
        <f t="shared" si="18"/>
        <v>0</v>
      </c>
      <c r="O430" s="43" t="str">
        <f t="shared" si="20"/>
        <v/>
      </c>
      <c r="P430" s="43">
        <f t="shared" si="19"/>
        <v>0</v>
      </c>
    </row>
    <row r="431" spans="1:16">
      <c r="A431" s="48">
        <v>11</v>
      </c>
      <c r="B431" s="49" t="str">
        <f>IFERROR(INDEX(الطلاب!$C$5:$C$44,MATCH($D431,الطلاب!$A$5:$A$44,0)),"")</f>
        <v>المقرأة الثانية</v>
      </c>
      <c r="C431" s="49" t="str">
        <f>IFERROR(INDEX(الطلاب!$D$5:$D$44,MATCH($D431,الطلاب!$A$5:$A$44,0)),"")</f>
        <v xml:space="preserve">ابي بن مالك </v>
      </c>
      <c r="D431" s="49">
        <v>27</v>
      </c>
      <c r="E431" s="50" t="str">
        <f>IFERROR(INDEX(الطلاب!$B$5:$B$44,MATCH($D431,الطلاب!$A$5:$A$44,0)),"")</f>
        <v>سالم بانوير</v>
      </c>
      <c r="F431" s="40"/>
      <c r="G431" s="40"/>
      <c r="H431" s="40"/>
      <c r="I431" s="40"/>
      <c r="J431" s="40"/>
      <c r="K431" s="36"/>
      <c r="L431" s="43">
        <f>IF(AND($A431='أفضل 5 طلاب'!$C$3,$B431=الإعدادات!$C$8,$N431=1,ISNUMBER($G431)),$G431*100000+N($H431)*100+N($I431)+(1000-ROW())/10000,0)</f>
        <v>0</v>
      </c>
      <c r="M431" s="43">
        <f>IF(AND($A431='أفضل 5 طلاب'!$C$3,$B431=الإعدادات!$C$9,$N431=1,ISNUMBER($G431)),$G431*100000+N($H431)*100+N($I431)+(1000-ROW())/10000,0)</f>
        <v>0</v>
      </c>
      <c r="N431" s="43">
        <f t="shared" si="18"/>
        <v>0</v>
      </c>
      <c r="O431" s="43" t="str">
        <f t="shared" si="20"/>
        <v/>
      </c>
      <c r="P431" s="43">
        <f t="shared" si="19"/>
        <v>0</v>
      </c>
    </row>
    <row r="432" spans="1:16">
      <c r="A432" s="48">
        <v>11</v>
      </c>
      <c r="B432" s="49" t="str">
        <f>IFERROR(INDEX(الطلاب!$C$5:$C$44,MATCH($D432,الطلاب!$A$5:$A$44,0)),"")</f>
        <v>المقرأة الثانية</v>
      </c>
      <c r="C432" s="49" t="str">
        <f>IFERROR(INDEX(الطلاب!$D$5:$D$44,MATCH($D432,الطلاب!$A$5:$A$44,0)),"")</f>
        <v xml:space="preserve">ابي بن مالك </v>
      </c>
      <c r="D432" s="49">
        <v>28</v>
      </c>
      <c r="E432" s="50" t="str">
        <f>IFERROR(INDEX(الطلاب!$B$5:$B$44,MATCH($D432,الطلاب!$A$5:$A$44,0)),"")</f>
        <v xml:space="preserve">عبدالعزيز الصقعبي </v>
      </c>
      <c r="F432" s="40"/>
      <c r="G432" s="40"/>
      <c r="H432" s="40"/>
      <c r="I432" s="40"/>
      <c r="J432" s="40"/>
      <c r="K432" s="36"/>
      <c r="L432" s="43">
        <f>IF(AND($A432='أفضل 5 طلاب'!$C$3,$B432=الإعدادات!$C$8,$N432=1,ISNUMBER($G432)),$G432*100000+N($H432)*100+N($I432)+(1000-ROW())/10000,0)</f>
        <v>0</v>
      </c>
      <c r="M432" s="43">
        <f>IF(AND($A432='أفضل 5 طلاب'!$C$3,$B432=الإعدادات!$C$9,$N432=1,ISNUMBER($G432)),$G432*100000+N($H432)*100+N($I432)+(1000-ROW())/10000,0)</f>
        <v>0</v>
      </c>
      <c r="N432" s="43">
        <f t="shared" si="18"/>
        <v>0</v>
      </c>
      <c r="O432" s="43" t="str">
        <f t="shared" si="20"/>
        <v/>
      </c>
      <c r="P432" s="43">
        <f t="shared" si="19"/>
        <v>0</v>
      </c>
    </row>
    <row r="433" spans="1:16">
      <c r="A433" s="48">
        <v>11</v>
      </c>
      <c r="B433" s="49" t="str">
        <f>IFERROR(INDEX(الطلاب!$C$5:$C$44,MATCH($D433,الطلاب!$A$5:$A$44,0)),"")</f>
        <v>المقرأة الثانية</v>
      </c>
      <c r="C433" s="49" t="str">
        <f>IFERROR(INDEX(الطلاب!$D$5:$D$44,MATCH($D433,الطلاب!$A$5:$A$44,0)),"")</f>
        <v xml:space="preserve">ابي بن مالك </v>
      </c>
      <c r="D433" s="49">
        <v>29</v>
      </c>
      <c r="E433" s="50" t="str">
        <f>IFERROR(INDEX(الطلاب!$B$5:$B$44,MATCH($D433,الطلاب!$A$5:$A$44,0)),"")</f>
        <v xml:space="preserve">عبدالله المجيدل </v>
      </c>
      <c r="F433" s="40"/>
      <c r="G433" s="40"/>
      <c r="H433" s="40"/>
      <c r="I433" s="40"/>
      <c r="J433" s="40"/>
      <c r="K433" s="36"/>
      <c r="L433" s="43">
        <f>IF(AND($A433='أفضل 5 طلاب'!$C$3,$B433=الإعدادات!$C$8,$N433=1,ISNUMBER($G433)),$G433*100000+N($H433)*100+N($I433)+(1000-ROW())/10000,0)</f>
        <v>0</v>
      </c>
      <c r="M433" s="43">
        <f>IF(AND($A433='أفضل 5 طلاب'!$C$3,$B433=الإعدادات!$C$9,$N433=1,ISNUMBER($G433)),$G433*100000+N($H433)*100+N($I433)+(1000-ROW())/10000,0)</f>
        <v>0</v>
      </c>
      <c r="N433" s="43">
        <f t="shared" si="18"/>
        <v>0</v>
      </c>
      <c r="O433" s="43" t="str">
        <f t="shared" si="20"/>
        <v/>
      </c>
      <c r="P433" s="43">
        <f t="shared" si="19"/>
        <v>0</v>
      </c>
    </row>
    <row r="434" spans="1:16">
      <c r="A434" s="48">
        <v>11</v>
      </c>
      <c r="B434" s="49" t="str">
        <f>IFERROR(INDEX(الطلاب!$C$5:$C$44,MATCH($D434,الطلاب!$A$5:$A$44,0)),"")</f>
        <v>المقرأة الثانية</v>
      </c>
      <c r="C434" s="49" t="str">
        <f>IFERROR(INDEX(الطلاب!$D$5:$D$44,MATCH($D434,الطلاب!$A$5:$A$44,0)),"")</f>
        <v xml:space="preserve">ابي بن مالك </v>
      </c>
      <c r="D434" s="49">
        <v>30</v>
      </c>
      <c r="E434" s="50" t="str">
        <f>IFERROR(INDEX(الطلاب!$B$5:$B$44,MATCH($D434,الطلاب!$A$5:$A$44,0)),"")</f>
        <v>فواز الشدوخي</v>
      </c>
      <c r="F434" s="40"/>
      <c r="G434" s="40"/>
      <c r="H434" s="40"/>
      <c r="I434" s="40"/>
      <c r="J434" s="40"/>
      <c r="K434" s="36"/>
      <c r="L434" s="43">
        <f>IF(AND($A434='أفضل 5 طلاب'!$C$3,$B434=الإعدادات!$C$8,$N434=1,ISNUMBER($G434)),$G434*100000+N($H434)*100+N($I434)+(1000-ROW())/10000,0)</f>
        <v>0</v>
      </c>
      <c r="M434" s="43">
        <f>IF(AND($A434='أفضل 5 طلاب'!$C$3,$B434=الإعدادات!$C$9,$N434=1,ISNUMBER($G434)),$G434*100000+N($H434)*100+N($I434)+(1000-ROW())/10000,0)</f>
        <v>0</v>
      </c>
      <c r="N434" s="43">
        <f t="shared" si="18"/>
        <v>0</v>
      </c>
      <c r="O434" s="43" t="str">
        <f t="shared" si="20"/>
        <v/>
      </c>
      <c r="P434" s="43">
        <f t="shared" si="19"/>
        <v>0</v>
      </c>
    </row>
    <row r="435" spans="1:16">
      <c r="A435" s="48">
        <v>11</v>
      </c>
      <c r="B435" s="49" t="str">
        <f>IFERROR(INDEX(الطلاب!$C$5:$C$44,MATCH($D435,الطلاب!$A$5:$A$44,0)),"")</f>
        <v>المقرأة الثانية</v>
      </c>
      <c r="C435" s="49" t="str">
        <f>IFERROR(INDEX(الطلاب!$D$5:$D$44,MATCH($D435,الطلاب!$A$5:$A$44,0)),"")</f>
        <v xml:space="preserve">ابي بن مالك </v>
      </c>
      <c r="D435" s="49">
        <v>31</v>
      </c>
      <c r="E435" s="50" t="str">
        <f>IFERROR(INDEX(الطلاب!$B$5:$B$44,MATCH($D435,الطلاب!$A$5:$A$44,0)),"")</f>
        <v>محمد الطامي</v>
      </c>
      <c r="F435" s="40"/>
      <c r="G435" s="40"/>
      <c r="H435" s="40"/>
      <c r="I435" s="40"/>
      <c r="J435" s="40"/>
      <c r="K435" s="36"/>
      <c r="L435" s="43">
        <f>IF(AND($A435='أفضل 5 طلاب'!$C$3,$B435=الإعدادات!$C$8,$N435=1,ISNUMBER($G435)),$G435*100000+N($H435)*100+N($I435)+(1000-ROW())/10000,0)</f>
        <v>0</v>
      </c>
      <c r="M435" s="43">
        <f>IF(AND($A435='أفضل 5 طلاب'!$C$3,$B435=الإعدادات!$C$9,$N435=1,ISNUMBER($G435)),$G435*100000+N($H435)*100+N($I435)+(1000-ROW())/10000,0)</f>
        <v>0</v>
      </c>
      <c r="N435" s="43">
        <f t="shared" si="18"/>
        <v>0</v>
      </c>
      <c r="O435" s="43" t="str">
        <f t="shared" si="20"/>
        <v/>
      </c>
      <c r="P435" s="43">
        <f t="shared" si="19"/>
        <v>0</v>
      </c>
    </row>
    <row r="436" spans="1:16">
      <c r="A436" s="48">
        <v>11</v>
      </c>
      <c r="B436" s="49" t="str">
        <f>IFERROR(INDEX(الطلاب!$C$5:$C$44,MATCH($D436,الطلاب!$A$5:$A$44,0)),"")</f>
        <v>المقرأة الثانية</v>
      </c>
      <c r="C436" s="49" t="str">
        <f>IFERROR(INDEX(الطلاب!$D$5:$D$44,MATCH($D436,الطلاب!$A$5:$A$44,0)),"")</f>
        <v xml:space="preserve">ابي بن مالك </v>
      </c>
      <c r="D436" s="49">
        <v>32</v>
      </c>
      <c r="E436" s="50" t="str">
        <f>IFERROR(INDEX(الطلاب!$B$5:$B$44,MATCH($D436,الطلاب!$A$5:$A$44,0)),"")</f>
        <v xml:space="preserve">مهند الغماس </v>
      </c>
      <c r="F436" s="40"/>
      <c r="G436" s="40"/>
      <c r="H436" s="40"/>
      <c r="I436" s="40"/>
      <c r="J436" s="40"/>
      <c r="K436" s="36"/>
      <c r="L436" s="43">
        <f>IF(AND($A436='أفضل 5 طلاب'!$C$3,$B436=الإعدادات!$C$8,$N436=1,ISNUMBER($G436)),$G436*100000+N($H436)*100+N($I436)+(1000-ROW())/10000,0)</f>
        <v>0</v>
      </c>
      <c r="M436" s="43">
        <f>IF(AND($A436='أفضل 5 طلاب'!$C$3,$B436=الإعدادات!$C$9,$N436=1,ISNUMBER($G436)),$G436*100000+N($H436)*100+N($I436)+(1000-ROW())/10000,0)</f>
        <v>0</v>
      </c>
      <c r="N436" s="43">
        <f t="shared" si="18"/>
        <v>0</v>
      </c>
      <c r="O436" s="43" t="str">
        <f t="shared" si="20"/>
        <v/>
      </c>
      <c r="P436" s="43">
        <f t="shared" si="19"/>
        <v>0</v>
      </c>
    </row>
    <row r="437" spans="1:16">
      <c r="A437" s="48">
        <v>11</v>
      </c>
      <c r="B437" s="49" t="str">
        <f>IFERROR(INDEX(الطلاب!$C$5:$C$44,MATCH($D437,الطلاب!$A$5:$A$44,0)),"")</f>
        <v>المقرأة الثانية</v>
      </c>
      <c r="C437" s="49" t="str">
        <f>IFERROR(INDEX(الطلاب!$D$5:$D$44,MATCH($D437,الطلاب!$A$5:$A$44,0)),"")</f>
        <v xml:space="preserve">ابي بن مالك </v>
      </c>
      <c r="D437" s="49">
        <v>33</v>
      </c>
      <c r="E437" s="50" t="str">
        <f>IFERROR(INDEX(الطلاب!$B$5:$B$44,MATCH($D437,الطلاب!$A$5:$A$44,0)),"")</f>
        <v>يوسف الحربي</v>
      </c>
      <c r="F437" s="40"/>
      <c r="G437" s="40"/>
      <c r="H437" s="40"/>
      <c r="I437" s="40"/>
      <c r="J437" s="40"/>
      <c r="K437" s="36"/>
      <c r="L437" s="43">
        <f>IF(AND($A437='أفضل 5 طلاب'!$C$3,$B437=الإعدادات!$C$8,$N437=1,ISNUMBER($G437)),$G437*100000+N($H437)*100+N($I437)+(1000-ROW())/10000,0)</f>
        <v>0</v>
      </c>
      <c r="M437" s="43">
        <f>IF(AND($A437='أفضل 5 طلاب'!$C$3,$B437=الإعدادات!$C$9,$N437=1,ISNUMBER($G437)),$G437*100000+N($H437)*100+N($I437)+(1000-ROW())/10000,0)</f>
        <v>0</v>
      </c>
      <c r="N437" s="43">
        <f t="shared" si="18"/>
        <v>0</v>
      </c>
      <c r="O437" s="43" t="str">
        <f t="shared" si="20"/>
        <v/>
      </c>
      <c r="P437" s="43">
        <f t="shared" si="19"/>
        <v>0</v>
      </c>
    </row>
    <row r="438" spans="1:16">
      <c r="A438" s="48">
        <v>11</v>
      </c>
      <c r="B438" s="49" t="str">
        <f>IFERROR(INDEX(الطلاب!$C$5:$C$44,MATCH($D438,الطلاب!$A$5:$A$44,0)),"")</f>
        <v>المقرأة الثانية</v>
      </c>
      <c r="C438" s="49" t="str">
        <f>IFERROR(INDEX(الطلاب!$D$5:$D$44,MATCH($D438,الطلاب!$A$5:$A$44,0)),"")</f>
        <v xml:space="preserve">ابي بن مالك </v>
      </c>
      <c r="D438" s="49">
        <v>34</v>
      </c>
      <c r="E438" s="50" t="str">
        <f>IFERROR(INDEX(الطلاب!$B$5:$B$44,MATCH($D438,الطلاب!$A$5:$A$44,0)),"")</f>
        <v xml:space="preserve">عدي الفريح </v>
      </c>
      <c r="F438" s="40"/>
      <c r="G438" s="40"/>
      <c r="H438" s="40"/>
      <c r="I438" s="40"/>
      <c r="J438" s="40"/>
      <c r="K438" s="36"/>
      <c r="L438" s="43">
        <f>IF(AND($A438='أفضل 5 طلاب'!$C$3,$B438=الإعدادات!$C$8,$N438=1,ISNUMBER($G438)),$G438*100000+N($H438)*100+N($I438)+(1000-ROW())/10000,0)</f>
        <v>0</v>
      </c>
      <c r="M438" s="43">
        <f>IF(AND($A438='أفضل 5 طلاب'!$C$3,$B438=الإعدادات!$C$9,$N438=1,ISNUMBER($G438)),$G438*100000+N($H438)*100+N($I438)+(1000-ROW())/10000,0)</f>
        <v>0</v>
      </c>
      <c r="N438" s="43">
        <f t="shared" si="18"/>
        <v>0</v>
      </c>
      <c r="O438" s="43" t="str">
        <f t="shared" si="20"/>
        <v/>
      </c>
      <c r="P438" s="43">
        <f t="shared" si="19"/>
        <v>0</v>
      </c>
    </row>
    <row r="439" spans="1:16">
      <c r="A439" s="48">
        <v>11</v>
      </c>
      <c r="B439" s="49" t="str">
        <f>IFERROR(INDEX(الطلاب!$C$5:$C$44,MATCH($D439,الطلاب!$A$5:$A$44,0)),"")</f>
        <v>المقرأة الثانية</v>
      </c>
      <c r="C439" s="49" t="str">
        <f>IFERROR(INDEX(الطلاب!$D$5:$D$44,MATCH($D439,الطلاب!$A$5:$A$44,0)),"")</f>
        <v xml:space="preserve">ابي بن مالك </v>
      </c>
      <c r="D439" s="49">
        <v>35</v>
      </c>
      <c r="E439" s="50" t="str">
        <f>IFERROR(INDEX(الطلاب!$B$5:$B$44,MATCH($D439,الطلاب!$A$5:$A$44,0)),"")</f>
        <v xml:space="preserve">عبدالله الفايزي </v>
      </c>
      <c r="F439" s="40"/>
      <c r="G439" s="40"/>
      <c r="H439" s="40"/>
      <c r="I439" s="40"/>
      <c r="J439" s="40"/>
      <c r="K439" s="36"/>
      <c r="L439" s="43">
        <f>IF(AND($A439='أفضل 5 طلاب'!$C$3,$B439=الإعدادات!$C$8,$N439=1,ISNUMBER($G439)),$G439*100000+N($H439)*100+N($I439)+(1000-ROW())/10000,0)</f>
        <v>0</v>
      </c>
      <c r="M439" s="43">
        <f>IF(AND($A439='أفضل 5 طلاب'!$C$3,$B439=الإعدادات!$C$9,$N439=1,ISNUMBER($G439)),$G439*100000+N($H439)*100+N($I439)+(1000-ROW())/10000,0)</f>
        <v>0</v>
      </c>
      <c r="N439" s="43">
        <f t="shared" si="18"/>
        <v>0</v>
      </c>
      <c r="O439" s="43" t="str">
        <f t="shared" si="20"/>
        <v/>
      </c>
      <c r="P439" s="43">
        <f t="shared" si="19"/>
        <v>0</v>
      </c>
    </row>
    <row r="440" spans="1:16">
      <c r="A440" s="48">
        <v>11</v>
      </c>
      <c r="B440" s="49">
        <f>IFERROR(INDEX(الطلاب!$C$5:$C$44,MATCH($D440,الطلاب!$A$5:$A$44,0)),"")</f>
        <v>0</v>
      </c>
      <c r="C440" s="49">
        <f>IFERROR(INDEX(الطلاب!$D$5:$D$44,MATCH($D440,الطلاب!$A$5:$A$44,0)),"")</f>
        <v>0</v>
      </c>
      <c r="D440" s="49">
        <v>36</v>
      </c>
      <c r="E440" s="50" t="str">
        <f>IFERROR(INDEX(الطلاب!$B$5:$B$44,MATCH($D440,الطلاب!$A$5:$A$44,0)),"")</f>
        <v xml:space="preserve">عزام الحسن </v>
      </c>
      <c r="F440" s="40"/>
      <c r="G440" s="40"/>
      <c r="H440" s="40"/>
      <c r="I440" s="40"/>
      <c r="J440" s="40"/>
      <c r="K440" s="36"/>
      <c r="L440" s="43">
        <f>IF(AND($A440='أفضل 5 طلاب'!$C$3,$B440=الإعدادات!$C$8,$N440=1,ISNUMBER($G440)),$G440*100000+N($H440)*100+N($I440)+(1000-ROW())/10000,0)</f>
        <v>0</v>
      </c>
      <c r="M440" s="43">
        <f>IF(AND($A440='أفضل 5 طلاب'!$C$3,$B440=الإعدادات!$C$9,$N440=1,ISNUMBER($G440)),$G440*100000+N($H440)*100+N($I440)+(1000-ROW())/10000,0)</f>
        <v>0</v>
      </c>
      <c r="N440" s="43">
        <f t="shared" si="18"/>
        <v>0</v>
      </c>
      <c r="O440" s="43" t="str">
        <f t="shared" si="20"/>
        <v/>
      </c>
      <c r="P440" s="43">
        <f t="shared" si="19"/>
        <v>0</v>
      </c>
    </row>
    <row r="441" spans="1:16">
      <c r="A441" s="48">
        <v>11</v>
      </c>
      <c r="B441" s="49" t="str">
        <f>IFERROR(INDEX(الطلاب!$C$5:$C$44,MATCH($D441,الطلاب!$A$5:$A$44,0)),"")</f>
        <v>المقرأة الأولى</v>
      </c>
      <c r="C441" s="49" t="str">
        <f>IFERROR(INDEX(الطلاب!$D$5:$D$44,MATCH($D441,الطلاب!$A$5:$A$44,0)),"")</f>
        <v xml:space="preserve">عبدالرحمن بن النعمان </v>
      </c>
      <c r="D441" s="49">
        <v>37</v>
      </c>
      <c r="E441" s="50" t="str">
        <f>IFERROR(INDEX(الطلاب!$B$5:$B$44,MATCH($D441,الطلاب!$A$5:$A$44,0)),"")</f>
        <v xml:space="preserve">أسامة السعوي </v>
      </c>
      <c r="F441" s="40"/>
      <c r="G441" s="40"/>
      <c r="H441" s="40"/>
      <c r="I441" s="40"/>
      <c r="J441" s="40"/>
      <c r="K441" s="36"/>
      <c r="L441" s="43">
        <f>IF(AND($A441='أفضل 5 طلاب'!$C$3,$B441=الإعدادات!$C$8,$N441=1,ISNUMBER($G441)),$G441*100000+N($H441)*100+N($I441)+(1000-ROW())/10000,0)</f>
        <v>0</v>
      </c>
      <c r="M441" s="43">
        <f>IF(AND($A441='أفضل 5 طلاب'!$C$3,$B441=الإعدادات!$C$9,$N441=1,ISNUMBER($G441)),$G441*100000+N($H441)*100+N($I441)+(1000-ROW())/10000,0)</f>
        <v>0</v>
      </c>
      <c r="N441" s="43">
        <f t="shared" si="18"/>
        <v>0</v>
      </c>
      <c r="O441" s="43" t="str">
        <f t="shared" si="20"/>
        <v/>
      </c>
      <c r="P441" s="43">
        <f t="shared" si="19"/>
        <v>0</v>
      </c>
    </row>
    <row r="442" spans="1:16">
      <c r="A442" s="48">
        <v>11</v>
      </c>
      <c r="B442" s="49" t="str">
        <f>IFERROR(INDEX(الطلاب!$C$5:$C$44,MATCH($D442,الطلاب!$A$5:$A$44,0)),"")</f>
        <v>المقرأة الأولى</v>
      </c>
      <c r="C442" s="49" t="str">
        <f>IFERROR(INDEX(الطلاب!$D$5:$D$44,MATCH($D442,الطلاب!$A$5:$A$44,0)),"")</f>
        <v xml:space="preserve">حسان بن ثابت </v>
      </c>
      <c r="D442" s="49">
        <v>38</v>
      </c>
      <c r="E442" s="50" t="str">
        <f>IFERROR(INDEX(الطلاب!$B$5:$B$44,MATCH($D442,الطلاب!$A$5:$A$44,0)),"")</f>
        <v xml:space="preserve">عاصم الضالع </v>
      </c>
      <c r="F442" s="40"/>
      <c r="G442" s="40"/>
      <c r="H442" s="40"/>
      <c r="I442" s="40"/>
      <c r="J442" s="40"/>
      <c r="K442" s="36"/>
      <c r="L442" s="43">
        <f>IF(AND($A442='أفضل 5 طلاب'!$C$3,$B442=الإعدادات!$C$8,$N442=1,ISNUMBER($G442)),$G442*100000+N($H442)*100+N($I442)+(1000-ROW())/10000,0)</f>
        <v>0</v>
      </c>
      <c r="M442" s="43">
        <f>IF(AND($A442='أفضل 5 طلاب'!$C$3,$B442=الإعدادات!$C$9,$N442=1,ISNUMBER($G442)),$G442*100000+N($H442)*100+N($I442)+(1000-ROW())/10000,0)</f>
        <v>0</v>
      </c>
      <c r="N442" s="43">
        <f t="shared" si="18"/>
        <v>0</v>
      </c>
      <c r="O442" s="43" t="str">
        <f t="shared" si="20"/>
        <v/>
      </c>
      <c r="P442" s="43">
        <f t="shared" si="19"/>
        <v>0</v>
      </c>
    </row>
    <row r="443" spans="1:16">
      <c r="A443" s="48">
        <v>11</v>
      </c>
      <c r="B443" s="49">
        <f>IFERROR(INDEX(الطلاب!$C$5:$C$44,MATCH($D443,الطلاب!$A$5:$A$44,0)),"")</f>
        <v>0</v>
      </c>
      <c r="C443" s="49">
        <f>IFERROR(INDEX(الطلاب!$D$5:$D$44,MATCH($D443,الطلاب!$A$5:$A$44,0)),"")</f>
        <v>0</v>
      </c>
      <c r="D443" s="49">
        <v>39</v>
      </c>
      <c r="E443" s="50">
        <f>IFERROR(INDEX(الطلاب!$B$5:$B$44,MATCH($D443,الطلاب!$A$5:$A$44,0)),"")</f>
        <v>0</v>
      </c>
      <c r="F443" s="40"/>
      <c r="G443" s="40"/>
      <c r="H443" s="40"/>
      <c r="I443" s="40"/>
      <c r="J443" s="40"/>
      <c r="K443" s="36"/>
      <c r="L443" s="43">
        <f>IF(AND($A443='أفضل 5 طلاب'!$C$3,$B443=الإعدادات!$C$8,$N443=1,ISNUMBER($G443)),$G443*100000+N($H443)*100+N($I443)+(1000-ROW())/10000,0)</f>
        <v>0</v>
      </c>
      <c r="M443" s="43">
        <f>IF(AND($A443='أفضل 5 طلاب'!$C$3,$B443=الإعدادات!$C$9,$N443=1,ISNUMBER($G443)),$G443*100000+N($H443)*100+N($I443)+(1000-ROW())/10000,0)</f>
        <v>0</v>
      </c>
      <c r="N443" s="43">
        <f t="shared" si="18"/>
        <v>0</v>
      </c>
      <c r="O443" s="43" t="str">
        <f t="shared" si="20"/>
        <v/>
      </c>
      <c r="P443" s="43">
        <f t="shared" si="19"/>
        <v>0</v>
      </c>
    </row>
    <row r="444" spans="1:16" ht="15.95" thickBot="1">
      <c r="A444" s="48">
        <v>11</v>
      </c>
      <c r="B444" s="49">
        <f>IFERROR(INDEX(الطلاب!$C$5:$C$44,MATCH($D444,الطلاب!$A$5:$A$44,0)),"")</f>
        <v>0</v>
      </c>
      <c r="C444" s="49">
        <f>IFERROR(INDEX(الطلاب!$D$5:$D$44,MATCH($D444,الطلاب!$A$5:$A$44,0)),"")</f>
        <v>0</v>
      </c>
      <c r="D444" s="49">
        <v>40</v>
      </c>
      <c r="E444" s="50">
        <f>IFERROR(INDEX(الطلاب!$B$5:$B$44,MATCH($D444,الطلاب!$A$5:$A$44,0)),"")</f>
        <v>0</v>
      </c>
      <c r="F444" s="40"/>
      <c r="G444" s="40"/>
      <c r="H444" s="40"/>
      <c r="I444" s="40"/>
      <c r="J444" s="40"/>
      <c r="K444" s="36"/>
      <c r="L444" s="43">
        <f>IF(AND($A444='أفضل 5 طلاب'!$C$3,$B444=الإعدادات!$C$8,$N444=1,ISNUMBER($G444)),$G444*100000+N($H444)*100+N($I444)+(1000-ROW())/10000,0)</f>
        <v>0</v>
      </c>
      <c r="M444" s="43">
        <f>IF(AND($A444='أفضل 5 طلاب'!$C$3,$B444=الإعدادات!$C$9,$N444=1,ISNUMBER($G444)),$G444*100000+N($H444)*100+N($I444)+(1000-ROW())/10000,0)</f>
        <v>0</v>
      </c>
      <c r="N444" s="43">
        <f t="shared" si="18"/>
        <v>0</v>
      </c>
      <c r="O444" s="43" t="str">
        <f t="shared" si="20"/>
        <v/>
      </c>
      <c r="P444" s="43">
        <f t="shared" si="19"/>
        <v>0</v>
      </c>
    </row>
    <row r="445" spans="1:16">
      <c r="A445" s="52">
        <v>12</v>
      </c>
      <c r="B445" s="54" t="str">
        <f>IFERROR(INDEX(الطلاب!$C$5:$C$44,MATCH($D445,الطلاب!$A$5:$A$44,0)),"")</f>
        <v>المقرأة الأولى</v>
      </c>
      <c r="C445" s="54" t="str">
        <f>IFERROR(INDEX(الطلاب!$D$5:$D$44,MATCH($D445,الطلاب!$A$5:$A$44,0)),"")</f>
        <v xml:space="preserve">عبدالرحمن بن النعمان </v>
      </c>
      <c r="D445" s="54">
        <v>1</v>
      </c>
      <c r="E445" s="56" t="str">
        <f>IFERROR(INDEX(الطلاب!$B$5:$B$44,MATCH($D445,الطلاب!$A$5:$A$44,0)),"")</f>
        <v>غسان اليحيى</v>
      </c>
      <c r="F445" s="47"/>
      <c r="G445" s="47"/>
      <c r="H445" s="47"/>
      <c r="I445" s="47"/>
      <c r="J445" s="47"/>
      <c r="K445" s="36"/>
      <c r="L445" s="43">
        <f>IF(AND($A445='أفضل 5 طلاب'!$C$3,$B445=الإعدادات!$C$8,$N445=1,ISNUMBER($G445)),$G445*100000+N($H445)*100+N($I445)+(1000-ROW())/10000,0)</f>
        <v>0</v>
      </c>
      <c r="M445" s="43">
        <f>IF(AND($A445='أفضل 5 طلاب'!$C$3,$B445=الإعدادات!$C$9,$N445=1,ISNUMBER($G445)),$G445*100000+N($H445)*100+N($I445)+(1000-ROW())/10000,0)</f>
        <v>0</v>
      </c>
      <c r="N445" s="43">
        <f t="shared" si="18"/>
        <v>0</v>
      </c>
      <c r="O445" s="43" t="str">
        <f t="shared" si="20"/>
        <v/>
      </c>
      <c r="P445" s="43">
        <f t="shared" si="19"/>
        <v>0</v>
      </c>
    </row>
    <row r="446" spans="1:16">
      <c r="A446" s="58">
        <v>12</v>
      </c>
      <c r="B446" s="59" t="str">
        <f>IFERROR(INDEX(الطلاب!$C$5:$C$44,MATCH($D446,الطلاب!$A$5:$A$44,0)),"")</f>
        <v>المقرأة الأولى</v>
      </c>
      <c r="C446" s="59" t="str">
        <f>IFERROR(INDEX(الطلاب!$D$5:$D$44,MATCH($D446,الطلاب!$A$5:$A$44,0)),"")</f>
        <v xml:space="preserve">عبدالرحمن بن النعمان </v>
      </c>
      <c r="D446" s="59">
        <v>2</v>
      </c>
      <c r="E446" s="60" t="str">
        <f>IFERROR(INDEX(الطلاب!$B$5:$B$44,MATCH($D446,الطلاب!$A$5:$A$44,0)),"")</f>
        <v xml:space="preserve">صالح الشريف </v>
      </c>
      <c r="F446" s="40"/>
      <c r="G446" s="40"/>
      <c r="H446" s="40"/>
      <c r="I446" s="40"/>
      <c r="J446" s="40"/>
      <c r="K446" s="36"/>
      <c r="L446" s="43">
        <f>IF(AND($A446='أفضل 5 طلاب'!$C$3,$B446=الإعدادات!$C$8,$N446=1,ISNUMBER($G446)),$G446*100000+N($H446)*100+N($I446)+(1000-ROW())/10000,0)</f>
        <v>0</v>
      </c>
      <c r="M446" s="43">
        <f>IF(AND($A446='أفضل 5 طلاب'!$C$3,$B446=الإعدادات!$C$9,$N446=1,ISNUMBER($G446)),$G446*100000+N($H446)*100+N($I446)+(1000-ROW())/10000,0)</f>
        <v>0</v>
      </c>
      <c r="N446" s="43">
        <f t="shared" si="18"/>
        <v>0</v>
      </c>
      <c r="O446" s="43" t="str">
        <f t="shared" si="20"/>
        <v/>
      </c>
      <c r="P446" s="43">
        <f t="shared" si="19"/>
        <v>0</v>
      </c>
    </row>
    <row r="447" spans="1:16">
      <c r="A447" s="58">
        <v>12</v>
      </c>
      <c r="B447" s="59" t="str">
        <f>IFERROR(INDEX(الطلاب!$C$5:$C$44,MATCH($D447,الطلاب!$A$5:$A$44,0)),"")</f>
        <v>المقرأة الأولى</v>
      </c>
      <c r="C447" s="59" t="str">
        <f>IFERROR(INDEX(الطلاب!$D$5:$D$44,MATCH($D447,الطلاب!$A$5:$A$44,0)),"")</f>
        <v xml:space="preserve">عبدالرحمن بن النعمان </v>
      </c>
      <c r="D447" s="59">
        <v>3</v>
      </c>
      <c r="E447" s="60" t="str">
        <f>IFERROR(INDEX(الطلاب!$B$5:$B$44,MATCH($D447,الطلاب!$A$5:$A$44,0)),"")</f>
        <v xml:space="preserve">فهد المشيقح </v>
      </c>
      <c r="F447" s="40"/>
      <c r="G447" s="40"/>
      <c r="H447" s="40"/>
      <c r="I447" s="40"/>
      <c r="J447" s="40"/>
      <c r="K447" s="36"/>
      <c r="L447" s="43">
        <f>IF(AND($A447='أفضل 5 طلاب'!$C$3,$B447=الإعدادات!$C$8,$N447=1,ISNUMBER($G447)),$G447*100000+N($H447)*100+N($I447)+(1000-ROW())/10000,0)</f>
        <v>0</v>
      </c>
      <c r="M447" s="43">
        <f>IF(AND($A447='أفضل 5 طلاب'!$C$3,$B447=الإعدادات!$C$9,$N447=1,ISNUMBER($G447)),$G447*100000+N($H447)*100+N($I447)+(1000-ROW())/10000,0)</f>
        <v>0</v>
      </c>
      <c r="N447" s="43">
        <f t="shared" si="18"/>
        <v>0</v>
      </c>
      <c r="O447" s="43" t="str">
        <f t="shared" si="20"/>
        <v/>
      </c>
      <c r="P447" s="43">
        <f t="shared" si="19"/>
        <v>0</v>
      </c>
    </row>
    <row r="448" spans="1:16">
      <c r="A448" s="58">
        <v>12</v>
      </c>
      <c r="B448" s="59" t="str">
        <f>IFERROR(INDEX(الطلاب!$C$5:$C$44,MATCH($D448,الطلاب!$A$5:$A$44,0)),"")</f>
        <v>المقرأة الأولى</v>
      </c>
      <c r="C448" s="59" t="str">
        <f>IFERROR(INDEX(الطلاب!$D$5:$D$44,MATCH($D448,الطلاب!$A$5:$A$44,0)),"")</f>
        <v xml:space="preserve">عبدالرحمن بن النعمان </v>
      </c>
      <c r="D448" s="59">
        <v>4</v>
      </c>
      <c r="E448" s="60" t="str">
        <f>IFERROR(INDEX(الطلاب!$B$5:$B$44,MATCH($D448,الطلاب!$A$5:$A$44,0)),"")</f>
        <v>عبدالله الحفير</v>
      </c>
      <c r="F448" s="40"/>
      <c r="G448" s="40"/>
      <c r="H448" s="40"/>
      <c r="I448" s="40"/>
      <c r="J448" s="40"/>
      <c r="K448" s="36"/>
      <c r="L448" s="43">
        <f>IF(AND($A448='أفضل 5 طلاب'!$C$3,$B448=الإعدادات!$C$8,$N448=1,ISNUMBER($G448)),$G448*100000+N($H448)*100+N($I448)+(1000-ROW())/10000,0)</f>
        <v>0</v>
      </c>
      <c r="M448" s="43">
        <f>IF(AND($A448='أفضل 5 طلاب'!$C$3,$B448=الإعدادات!$C$9,$N448=1,ISNUMBER($G448)),$G448*100000+N($H448)*100+N($I448)+(1000-ROW())/10000,0)</f>
        <v>0</v>
      </c>
      <c r="N448" s="43">
        <f t="shared" si="18"/>
        <v>0</v>
      </c>
      <c r="O448" s="43" t="str">
        <f t="shared" si="20"/>
        <v/>
      </c>
      <c r="P448" s="43">
        <f t="shared" si="19"/>
        <v>0</v>
      </c>
    </row>
    <row r="449" spans="1:16">
      <c r="A449" s="58">
        <v>12</v>
      </c>
      <c r="B449" s="59" t="str">
        <f>IFERROR(INDEX(الطلاب!$C$5:$C$44,MATCH($D449,الطلاب!$A$5:$A$44,0)),"")</f>
        <v>المقرأة الأولى</v>
      </c>
      <c r="C449" s="59" t="str">
        <f>IFERROR(INDEX(الطلاب!$D$5:$D$44,MATCH($D449,الطلاب!$A$5:$A$44,0)),"")</f>
        <v xml:space="preserve">عبدالرحمن بن النعمان </v>
      </c>
      <c r="D449" s="59">
        <v>5</v>
      </c>
      <c r="E449" s="60" t="str">
        <f>IFERROR(INDEX(الطلاب!$B$5:$B$44,MATCH($D449,الطلاب!$A$5:$A$44,0)),"")</f>
        <v>زياد الدخيل الله</v>
      </c>
      <c r="F449" s="40"/>
      <c r="G449" s="40"/>
      <c r="H449" s="40"/>
      <c r="I449" s="40"/>
      <c r="J449" s="40"/>
      <c r="K449" s="36"/>
      <c r="L449" s="43">
        <f>IF(AND($A449='أفضل 5 طلاب'!$C$3,$B449=الإعدادات!$C$8,$N449=1,ISNUMBER($G449)),$G449*100000+N($H449)*100+N($I449)+(1000-ROW())/10000,0)</f>
        <v>0</v>
      </c>
      <c r="M449" s="43">
        <f>IF(AND($A449='أفضل 5 طلاب'!$C$3,$B449=الإعدادات!$C$9,$N449=1,ISNUMBER($G449)),$G449*100000+N($H449)*100+N($I449)+(1000-ROW())/10000,0)</f>
        <v>0</v>
      </c>
      <c r="N449" s="43">
        <f t="shared" si="18"/>
        <v>0</v>
      </c>
      <c r="O449" s="43" t="str">
        <f t="shared" si="20"/>
        <v/>
      </c>
      <c r="P449" s="43">
        <f t="shared" si="19"/>
        <v>0</v>
      </c>
    </row>
    <row r="450" spans="1:16">
      <c r="A450" s="58">
        <v>12</v>
      </c>
      <c r="B450" s="59" t="str">
        <f>IFERROR(INDEX(الطلاب!$C$5:$C$44,MATCH($D450,الطلاب!$A$5:$A$44,0)),"")</f>
        <v>المقرأة الأولى</v>
      </c>
      <c r="C450" s="59" t="str">
        <f>IFERROR(INDEX(الطلاب!$D$5:$D$44,MATCH($D450,الطلاب!$A$5:$A$44,0)),"")</f>
        <v xml:space="preserve">ابن رجب </v>
      </c>
      <c r="D450" s="59">
        <v>6</v>
      </c>
      <c r="E450" s="60" t="str">
        <f>IFERROR(INDEX(الطلاب!$B$5:$B$44,MATCH($D450,الطلاب!$A$5:$A$44,0)),"")</f>
        <v xml:space="preserve">عاصم الضبيعي </v>
      </c>
      <c r="F450" s="40"/>
      <c r="G450" s="40"/>
      <c r="H450" s="40"/>
      <c r="I450" s="40"/>
      <c r="J450" s="40"/>
      <c r="K450" s="36"/>
      <c r="L450" s="43">
        <f>IF(AND($A450='أفضل 5 طلاب'!$C$3,$B450=الإعدادات!$C$8,$N450=1,ISNUMBER($G450)),$G450*100000+N($H450)*100+N($I450)+(1000-ROW())/10000,0)</f>
        <v>0</v>
      </c>
      <c r="M450" s="43">
        <f>IF(AND($A450='أفضل 5 طلاب'!$C$3,$B450=الإعدادات!$C$9,$N450=1,ISNUMBER($G450)),$G450*100000+N($H450)*100+N($I450)+(1000-ROW())/10000,0)</f>
        <v>0</v>
      </c>
      <c r="N450" s="43">
        <f t="shared" si="18"/>
        <v>0</v>
      </c>
      <c r="O450" s="43" t="str">
        <f t="shared" si="20"/>
        <v/>
      </c>
      <c r="P450" s="43">
        <f t="shared" si="19"/>
        <v>0</v>
      </c>
    </row>
    <row r="451" spans="1:16">
      <c r="A451" s="58">
        <v>12</v>
      </c>
      <c r="B451" s="59" t="str">
        <f>IFERROR(INDEX(الطلاب!$C$5:$C$44,MATCH($D451,الطلاب!$A$5:$A$44,0)),"")</f>
        <v>المقرأة الأولى</v>
      </c>
      <c r="C451" s="59" t="str">
        <f>IFERROR(INDEX(الطلاب!$D$5:$D$44,MATCH($D451,الطلاب!$A$5:$A$44,0)),"")</f>
        <v xml:space="preserve">ابن رجب </v>
      </c>
      <c r="D451" s="59">
        <v>7</v>
      </c>
      <c r="E451" s="60" t="str">
        <f>IFERROR(INDEX(الطلاب!$B$5:$B$44,MATCH($D451,الطلاب!$A$5:$A$44,0)),"")</f>
        <v>محمد السعوي</v>
      </c>
      <c r="F451" s="40"/>
      <c r="G451" s="40"/>
      <c r="H451" s="40"/>
      <c r="I451" s="40"/>
      <c r="J451" s="40"/>
      <c r="K451" s="36"/>
      <c r="L451" s="43">
        <f>IF(AND($A451='أفضل 5 طلاب'!$C$3,$B451=الإعدادات!$C$8,$N451=1,ISNUMBER($G451)),$G451*100000+N($H451)*100+N($I451)+(1000-ROW())/10000,0)</f>
        <v>0</v>
      </c>
      <c r="M451" s="43">
        <f>IF(AND($A451='أفضل 5 طلاب'!$C$3,$B451=الإعدادات!$C$9,$N451=1,ISNUMBER($G451)),$G451*100000+N($H451)*100+N($I451)+(1000-ROW())/10000,0)</f>
        <v>0</v>
      </c>
      <c r="N451" s="43">
        <f t="shared" si="18"/>
        <v>0</v>
      </c>
      <c r="O451" s="43" t="str">
        <f t="shared" si="20"/>
        <v/>
      </c>
      <c r="P451" s="43">
        <f t="shared" si="19"/>
        <v>0</v>
      </c>
    </row>
    <row r="452" spans="1:16">
      <c r="A452" s="58">
        <v>12</v>
      </c>
      <c r="B452" s="59" t="str">
        <f>IFERROR(INDEX(الطلاب!$C$5:$C$44,MATCH($D452,الطلاب!$A$5:$A$44,0)),"")</f>
        <v>المقرأة الأولى</v>
      </c>
      <c r="C452" s="59" t="str">
        <f>IFERROR(INDEX(الطلاب!$D$5:$D$44,MATCH($D452,الطلاب!$A$5:$A$44,0)),"")</f>
        <v xml:space="preserve">ابن رجب </v>
      </c>
      <c r="D452" s="59">
        <v>8</v>
      </c>
      <c r="E452" s="60" t="str">
        <f>IFERROR(INDEX(الطلاب!$B$5:$B$44,MATCH($D452,الطلاب!$A$5:$A$44,0)),"")</f>
        <v>هشام المخلف</v>
      </c>
      <c r="F452" s="40"/>
      <c r="G452" s="40"/>
      <c r="H452" s="40"/>
      <c r="I452" s="40"/>
      <c r="J452" s="40"/>
      <c r="K452" s="36"/>
      <c r="L452" s="43">
        <f>IF(AND($A452='أفضل 5 طلاب'!$C$3,$B452=الإعدادات!$C$8,$N452=1,ISNUMBER($G452)),$G452*100000+N($H452)*100+N($I452)+(1000-ROW())/10000,0)</f>
        <v>0</v>
      </c>
      <c r="M452" s="43">
        <f>IF(AND($A452='أفضل 5 طلاب'!$C$3,$B452=الإعدادات!$C$9,$N452=1,ISNUMBER($G452)),$G452*100000+N($H452)*100+N($I452)+(1000-ROW())/10000,0)</f>
        <v>0</v>
      </c>
      <c r="N452" s="43">
        <f t="shared" si="18"/>
        <v>0</v>
      </c>
      <c r="O452" s="43" t="str">
        <f t="shared" si="20"/>
        <v/>
      </c>
      <c r="P452" s="43">
        <f t="shared" si="19"/>
        <v>0</v>
      </c>
    </row>
    <row r="453" spans="1:16">
      <c r="A453" s="58">
        <v>12</v>
      </c>
      <c r="B453" s="59" t="str">
        <f>IFERROR(INDEX(الطلاب!$C$5:$C$44,MATCH($D453,الطلاب!$A$5:$A$44,0)),"")</f>
        <v>المقرأة الأولى</v>
      </c>
      <c r="C453" s="59" t="str">
        <f>IFERROR(INDEX(الطلاب!$D$5:$D$44,MATCH($D453,الطلاب!$A$5:$A$44,0)),"")</f>
        <v xml:space="preserve">ابن رجب </v>
      </c>
      <c r="D453" s="59">
        <v>9</v>
      </c>
      <c r="E453" s="60" t="str">
        <f>IFERROR(INDEX(الطلاب!$B$5:$B$44,MATCH($D453,الطلاب!$A$5:$A$44,0)),"")</f>
        <v xml:space="preserve">اسامة السعدون </v>
      </c>
      <c r="F453" s="40"/>
      <c r="G453" s="40"/>
      <c r="H453" s="40"/>
      <c r="I453" s="40"/>
      <c r="J453" s="40"/>
      <c r="K453" s="36"/>
      <c r="L453" s="43">
        <f>IF(AND($A453='أفضل 5 طلاب'!$C$3,$B453=الإعدادات!$C$8,$N453=1,ISNUMBER($G453)),$G453*100000+N($H453)*100+N($I453)+(1000-ROW())/10000,0)</f>
        <v>0</v>
      </c>
      <c r="M453" s="43">
        <f>IF(AND($A453='أفضل 5 طلاب'!$C$3,$B453=الإعدادات!$C$9,$N453=1,ISNUMBER($G453)),$G453*100000+N($H453)*100+N($I453)+(1000-ROW())/10000,0)</f>
        <v>0</v>
      </c>
      <c r="N453" s="43">
        <f t="shared" ref="N453:N516" si="21">IF(OR($F453="حاضر",$F453="متأخر"),1,0)</f>
        <v>0</v>
      </c>
      <c r="O453" s="43" t="str">
        <f t="shared" si="20"/>
        <v/>
      </c>
      <c r="P453" s="43">
        <f t="shared" ref="P453:P516" si="22">IF(ISNUMBER($O453),1,0)</f>
        <v>0</v>
      </c>
    </row>
    <row r="454" spans="1:16">
      <c r="A454" s="58">
        <v>12</v>
      </c>
      <c r="B454" s="59" t="str">
        <f>IFERROR(INDEX(الطلاب!$C$5:$C$44,MATCH($D454,الطلاب!$A$5:$A$44,0)),"")</f>
        <v>المقرأة الأولى</v>
      </c>
      <c r="C454" s="59" t="str">
        <f>IFERROR(INDEX(الطلاب!$D$5:$D$44,MATCH($D454,الطلاب!$A$5:$A$44,0)),"")</f>
        <v xml:space="preserve">حسان بن ثابت </v>
      </c>
      <c r="D454" s="59">
        <v>10</v>
      </c>
      <c r="E454" s="60" t="str">
        <f>IFERROR(INDEX(الطلاب!$B$5:$B$44,MATCH($D454,الطلاب!$A$5:$A$44,0)),"")</f>
        <v xml:space="preserve">محمد الثنيان </v>
      </c>
      <c r="F454" s="40"/>
      <c r="G454" s="40"/>
      <c r="H454" s="40"/>
      <c r="I454" s="40"/>
      <c r="J454" s="40"/>
      <c r="K454" s="36"/>
      <c r="L454" s="43">
        <f>IF(AND($A454='أفضل 5 طلاب'!$C$3,$B454=الإعدادات!$C$8,$N454=1,ISNUMBER($G454)),$G454*100000+N($H454)*100+N($I454)+(1000-ROW())/10000,0)</f>
        <v>0</v>
      </c>
      <c r="M454" s="43">
        <f>IF(AND($A454='أفضل 5 طلاب'!$C$3,$B454=الإعدادات!$C$9,$N454=1,ISNUMBER($G454)),$G454*100000+N($H454)*100+N($I454)+(1000-ROW())/10000,0)</f>
        <v>0</v>
      </c>
      <c r="N454" s="43">
        <f t="shared" si="21"/>
        <v>0</v>
      </c>
      <c r="O454" s="43" t="str">
        <f t="shared" ref="O454:O517" si="23">IF(OR($N454=1,$F454="معتذر",$F454="غائب"),IF(ISNUMBER($G454),$G454,IF($N454=1,"",0)),"")</f>
        <v/>
      </c>
      <c r="P454" s="43">
        <f t="shared" si="22"/>
        <v>0</v>
      </c>
    </row>
    <row r="455" spans="1:16">
      <c r="A455" s="58">
        <v>12</v>
      </c>
      <c r="B455" s="59" t="str">
        <f>IFERROR(INDEX(الطلاب!$C$5:$C$44,MATCH($D455,الطلاب!$A$5:$A$44,0)),"")</f>
        <v>المقرأة الأولى</v>
      </c>
      <c r="C455" s="59" t="str">
        <f>IFERROR(INDEX(الطلاب!$D$5:$D$44,MATCH($D455,الطلاب!$A$5:$A$44,0)),"")</f>
        <v xml:space="preserve">حسان بن ثابت </v>
      </c>
      <c r="D455" s="59">
        <v>11</v>
      </c>
      <c r="E455" s="60" t="str">
        <f>IFERROR(INDEX(الطلاب!$B$5:$B$44,MATCH($D455,الطلاب!$A$5:$A$44,0)),"")</f>
        <v xml:space="preserve">كنان الجريفاني </v>
      </c>
      <c r="F455" s="40"/>
      <c r="G455" s="40"/>
      <c r="H455" s="40"/>
      <c r="I455" s="40"/>
      <c r="J455" s="40"/>
      <c r="K455" s="36"/>
      <c r="L455" s="43">
        <f>IF(AND($A455='أفضل 5 طلاب'!$C$3,$B455=الإعدادات!$C$8,$N455=1,ISNUMBER($G455)),$G455*100000+N($H455)*100+N($I455)+(1000-ROW())/10000,0)</f>
        <v>0</v>
      </c>
      <c r="M455" s="43">
        <f>IF(AND($A455='أفضل 5 طلاب'!$C$3,$B455=الإعدادات!$C$9,$N455=1,ISNUMBER($G455)),$G455*100000+N($H455)*100+N($I455)+(1000-ROW())/10000,0)</f>
        <v>0</v>
      </c>
      <c r="N455" s="43">
        <f t="shared" si="21"/>
        <v>0</v>
      </c>
      <c r="O455" s="43" t="str">
        <f t="shared" si="23"/>
        <v/>
      </c>
      <c r="P455" s="43">
        <f t="shared" si="22"/>
        <v>0</v>
      </c>
    </row>
    <row r="456" spans="1:16">
      <c r="A456" s="58">
        <v>12</v>
      </c>
      <c r="B456" s="59" t="str">
        <f>IFERROR(INDEX(الطلاب!$C$5:$C$44,MATCH($D456,الطلاب!$A$5:$A$44,0)),"")</f>
        <v>المقرأة الأولى</v>
      </c>
      <c r="C456" s="59" t="str">
        <f>IFERROR(INDEX(الطلاب!$D$5:$D$44,MATCH($D456,الطلاب!$A$5:$A$44,0)),"")</f>
        <v xml:space="preserve">حسان بن ثابت </v>
      </c>
      <c r="D456" s="59">
        <v>12</v>
      </c>
      <c r="E456" s="60" t="str">
        <f>IFERROR(INDEX(الطلاب!$B$5:$B$44,MATCH($D456,الطلاب!$A$5:$A$44,0)),"")</f>
        <v xml:space="preserve">عبدالمجيد الربعي </v>
      </c>
      <c r="F456" s="40"/>
      <c r="G456" s="40"/>
      <c r="H456" s="40"/>
      <c r="I456" s="40"/>
      <c r="J456" s="40"/>
      <c r="K456" s="36"/>
      <c r="L456" s="43">
        <f>IF(AND($A456='أفضل 5 طلاب'!$C$3,$B456=الإعدادات!$C$8,$N456=1,ISNUMBER($G456)),$G456*100000+N($H456)*100+N($I456)+(1000-ROW())/10000,0)</f>
        <v>0</v>
      </c>
      <c r="M456" s="43">
        <f>IF(AND($A456='أفضل 5 طلاب'!$C$3,$B456=الإعدادات!$C$9,$N456=1,ISNUMBER($G456)),$G456*100000+N($H456)*100+N($I456)+(1000-ROW())/10000,0)</f>
        <v>0</v>
      </c>
      <c r="N456" s="43">
        <f t="shared" si="21"/>
        <v>0</v>
      </c>
      <c r="O456" s="43" t="str">
        <f t="shared" si="23"/>
        <v/>
      </c>
      <c r="P456" s="43">
        <f t="shared" si="22"/>
        <v>0</v>
      </c>
    </row>
    <row r="457" spans="1:16">
      <c r="A457" s="58">
        <v>12</v>
      </c>
      <c r="B457" s="59" t="str">
        <f>IFERROR(INDEX(الطلاب!$C$5:$C$44,MATCH($D457,الطلاب!$A$5:$A$44,0)),"")</f>
        <v>المقرأة الأولى</v>
      </c>
      <c r="C457" s="59" t="str">
        <f>IFERROR(INDEX(الطلاب!$D$5:$D$44,MATCH($D457,الطلاب!$A$5:$A$44,0)),"")</f>
        <v xml:space="preserve">حسان بن ثابت </v>
      </c>
      <c r="D457" s="59">
        <v>13</v>
      </c>
      <c r="E457" s="60" t="str">
        <f>IFERROR(INDEX(الطلاب!$B$5:$B$44,MATCH($D457,الطلاب!$A$5:$A$44,0)),"")</f>
        <v xml:space="preserve">عبدالله التويجري </v>
      </c>
      <c r="F457" s="40"/>
      <c r="G457" s="40"/>
      <c r="H457" s="40"/>
      <c r="I457" s="40"/>
      <c r="J457" s="40"/>
      <c r="K457" s="36"/>
      <c r="L457" s="43">
        <f>IF(AND($A457='أفضل 5 طلاب'!$C$3,$B457=الإعدادات!$C$8,$N457=1,ISNUMBER($G457)),$G457*100000+N($H457)*100+N($I457)+(1000-ROW())/10000,0)</f>
        <v>0</v>
      </c>
      <c r="M457" s="43">
        <f>IF(AND($A457='أفضل 5 طلاب'!$C$3,$B457=الإعدادات!$C$9,$N457=1,ISNUMBER($G457)),$G457*100000+N($H457)*100+N($I457)+(1000-ROW())/10000,0)</f>
        <v>0</v>
      </c>
      <c r="N457" s="43">
        <f t="shared" si="21"/>
        <v>0</v>
      </c>
      <c r="O457" s="43" t="str">
        <f t="shared" si="23"/>
        <v/>
      </c>
      <c r="P457" s="43">
        <f t="shared" si="22"/>
        <v>0</v>
      </c>
    </row>
    <row r="458" spans="1:16">
      <c r="A458" s="58">
        <v>12</v>
      </c>
      <c r="B458" s="59" t="str">
        <f>IFERROR(INDEX(الطلاب!$C$5:$C$44,MATCH($D458,الطلاب!$A$5:$A$44,0)),"")</f>
        <v>المقرأة الأولى</v>
      </c>
      <c r="C458" s="59" t="str">
        <f>IFERROR(INDEX(الطلاب!$D$5:$D$44,MATCH($D458,الطلاب!$A$5:$A$44,0)),"")</f>
        <v xml:space="preserve">حسان بن ثابت </v>
      </c>
      <c r="D458" s="59">
        <v>14</v>
      </c>
      <c r="E458" s="60" t="str">
        <f>IFERROR(INDEX(الطلاب!$B$5:$B$44,MATCH($D458,الطلاب!$A$5:$A$44,0)),"")</f>
        <v xml:space="preserve">حسام التويجري </v>
      </c>
      <c r="F458" s="40"/>
      <c r="G458" s="40"/>
      <c r="H458" s="40"/>
      <c r="I458" s="40"/>
      <c r="J458" s="40"/>
      <c r="K458" s="36"/>
      <c r="L458" s="43">
        <f>IF(AND($A458='أفضل 5 طلاب'!$C$3,$B458=الإعدادات!$C$8,$N458=1,ISNUMBER($G458)),$G458*100000+N($H458)*100+N($I458)+(1000-ROW())/10000,0)</f>
        <v>0</v>
      </c>
      <c r="M458" s="43">
        <f>IF(AND($A458='أفضل 5 طلاب'!$C$3,$B458=الإعدادات!$C$9,$N458=1,ISNUMBER($G458)),$G458*100000+N($H458)*100+N($I458)+(1000-ROW())/10000,0)</f>
        <v>0</v>
      </c>
      <c r="N458" s="43">
        <f t="shared" si="21"/>
        <v>0</v>
      </c>
      <c r="O458" s="43" t="str">
        <f t="shared" si="23"/>
        <v/>
      </c>
      <c r="P458" s="43">
        <f t="shared" si="22"/>
        <v>0</v>
      </c>
    </row>
    <row r="459" spans="1:16">
      <c r="A459" s="58">
        <v>12</v>
      </c>
      <c r="B459" s="59" t="str">
        <f>IFERROR(INDEX(الطلاب!$C$5:$C$44,MATCH($D459,الطلاب!$A$5:$A$44,0)),"")</f>
        <v>المقرأة الأولى</v>
      </c>
      <c r="C459" s="59" t="str">
        <f>IFERROR(INDEX(الطلاب!$D$5:$D$44,MATCH($D459,الطلاب!$A$5:$A$44,0)),"")</f>
        <v xml:space="preserve">حسان بن ثابت </v>
      </c>
      <c r="D459" s="59">
        <v>15</v>
      </c>
      <c r="E459" s="60" t="str">
        <f>IFERROR(INDEX(الطلاب!$B$5:$B$44,MATCH($D459,الطلاب!$A$5:$A$44,0)),"")</f>
        <v xml:space="preserve">عبدالرحمن البريدي </v>
      </c>
      <c r="F459" s="40"/>
      <c r="G459" s="40"/>
      <c r="H459" s="40"/>
      <c r="I459" s="40"/>
      <c r="J459" s="40"/>
      <c r="K459" s="36"/>
      <c r="L459" s="43">
        <f>IF(AND($A459='أفضل 5 طلاب'!$C$3,$B459=الإعدادات!$C$8,$N459=1,ISNUMBER($G459)),$G459*100000+N($H459)*100+N($I459)+(1000-ROW())/10000,0)</f>
        <v>0</v>
      </c>
      <c r="M459" s="43">
        <f>IF(AND($A459='أفضل 5 طلاب'!$C$3,$B459=الإعدادات!$C$9,$N459=1,ISNUMBER($G459)),$G459*100000+N($H459)*100+N($I459)+(1000-ROW())/10000,0)</f>
        <v>0</v>
      </c>
      <c r="N459" s="43">
        <f t="shared" si="21"/>
        <v>0</v>
      </c>
      <c r="O459" s="43" t="str">
        <f t="shared" si="23"/>
        <v/>
      </c>
      <c r="P459" s="43">
        <f t="shared" si="22"/>
        <v>0</v>
      </c>
    </row>
    <row r="460" spans="1:16">
      <c r="A460" s="58">
        <v>12</v>
      </c>
      <c r="B460" s="59" t="str">
        <f>IFERROR(INDEX(الطلاب!$C$5:$C$44,MATCH($D460,الطلاب!$A$5:$A$44,0)),"")</f>
        <v>المقرأة الأولى</v>
      </c>
      <c r="C460" s="59" t="str">
        <f>IFERROR(INDEX(الطلاب!$D$5:$D$44,MATCH($D460,الطلاب!$A$5:$A$44,0)),"")</f>
        <v xml:space="preserve">حسان بن ثابت </v>
      </c>
      <c r="D460" s="59">
        <v>16</v>
      </c>
      <c r="E460" s="60" t="str">
        <f>IFERROR(INDEX(الطلاب!$B$5:$B$44,MATCH($D460,الطلاب!$A$5:$A$44,0)),"")</f>
        <v>عبدالرحمن بازرعة</v>
      </c>
      <c r="F460" s="40"/>
      <c r="G460" s="40"/>
      <c r="H460" s="40"/>
      <c r="I460" s="40"/>
      <c r="J460" s="40"/>
      <c r="K460" s="36"/>
      <c r="L460" s="43">
        <f>IF(AND($A460='أفضل 5 طلاب'!$C$3,$B460=الإعدادات!$C$8,$N460=1,ISNUMBER($G460)),$G460*100000+N($H460)*100+N($I460)+(1000-ROW())/10000,0)</f>
        <v>0</v>
      </c>
      <c r="M460" s="43">
        <f>IF(AND($A460='أفضل 5 طلاب'!$C$3,$B460=الإعدادات!$C$9,$N460=1,ISNUMBER($G460)),$G460*100000+N($H460)*100+N($I460)+(1000-ROW())/10000,0)</f>
        <v>0</v>
      </c>
      <c r="N460" s="43">
        <f t="shared" si="21"/>
        <v>0</v>
      </c>
      <c r="O460" s="43" t="str">
        <f t="shared" si="23"/>
        <v/>
      </c>
      <c r="P460" s="43">
        <f t="shared" si="22"/>
        <v>0</v>
      </c>
    </row>
    <row r="461" spans="1:16">
      <c r="A461" s="58">
        <v>12</v>
      </c>
      <c r="B461" s="59" t="str">
        <f>IFERROR(INDEX(الطلاب!$C$5:$C$44,MATCH($D461,الطلاب!$A$5:$A$44,0)),"")</f>
        <v>المقرأة الأولى</v>
      </c>
      <c r="C461" s="59" t="str">
        <f>IFERROR(INDEX(الطلاب!$D$5:$D$44,MATCH($D461,الطلاب!$A$5:$A$44,0)),"")</f>
        <v xml:space="preserve">حسان بن ثابت </v>
      </c>
      <c r="D461" s="59">
        <v>17</v>
      </c>
      <c r="E461" s="60" t="str">
        <f>IFERROR(INDEX(الطلاب!$B$5:$B$44,MATCH($D461,الطلاب!$A$5:$A$44,0)),"")</f>
        <v xml:space="preserve">عبدالله الضحيان </v>
      </c>
      <c r="F461" s="40"/>
      <c r="G461" s="40"/>
      <c r="H461" s="40"/>
      <c r="I461" s="40"/>
      <c r="J461" s="40"/>
      <c r="K461" s="36"/>
      <c r="L461" s="43">
        <f>IF(AND($A461='أفضل 5 طلاب'!$C$3,$B461=الإعدادات!$C$8,$N461=1,ISNUMBER($G461)),$G461*100000+N($H461)*100+N($I461)+(1000-ROW())/10000,0)</f>
        <v>0</v>
      </c>
      <c r="M461" s="43">
        <f>IF(AND($A461='أفضل 5 طلاب'!$C$3,$B461=الإعدادات!$C$9,$N461=1,ISNUMBER($G461)),$G461*100000+N($H461)*100+N($I461)+(1000-ROW())/10000,0)</f>
        <v>0</v>
      </c>
      <c r="N461" s="43">
        <f t="shared" si="21"/>
        <v>0</v>
      </c>
      <c r="O461" s="43" t="str">
        <f t="shared" si="23"/>
        <v/>
      </c>
      <c r="P461" s="43">
        <f t="shared" si="22"/>
        <v>0</v>
      </c>
    </row>
    <row r="462" spans="1:16">
      <c r="A462" s="58">
        <v>12</v>
      </c>
      <c r="B462" s="59" t="str">
        <f>IFERROR(INDEX(الطلاب!$C$5:$C$44,MATCH($D462,الطلاب!$A$5:$A$44,0)),"")</f>
        <v>المقرأة الأولى</v>
      </c>
      <c r="C462" s="59" t="str">
        <f>IFERROR(INDEX(الطلاب!$D$5:$D$44,MATCH($D462,الطلاب!$A$5:$A$44,0)),"")</f>
        <v xml:space="preserve">حسان بن ثابت </v>
      </c>
      <c r="D462" s="59">
        <v>18</v>
      </c>
      <c r="E462" s="60" t="str">
        <f>IFERROR(INDEX(الطلاب!$B$5:$B$44,MATCH($D462,الطلاب!$A$5:$A$44,0)),"")</f>
        <v xml:space="preserve">فيصل الدخيل </v>
      </c>
      <c r="F462" s="40"/>
      <c r="G462" s="40"/>
      <c r="H462" s="40"/>
      <c r="I462" s="40"/>
      <c r="J462" s="40"/>
      <c r="K462" s="36"/>
      <c r="L462" s="43">
        <f>IF(AND($A462='أفضل 5 طلاب'!$C$3,$B462=الإعدادات!$C$8,$N462=1,ISNUMBER($G462)),$G462*100000+N($H462)*100+N($I462)+(1000-ROW())/10000,0)</f>
        <v>0</v>
      </c>
      <c r="M462" s="43">
        <f>IF(AND($A462='أفضل 5 طلاب'!$C$3,$B462=الإعدادات!$C$9,$N462=1,ISNUMBER($G462)),$G462*100000+N($H462)*100+N($I462)+(1000-ROW())/10000,0)</f>
        <v>0</v>
      </c>
      <c r="N462" s="43">
        <f t="shared" si="21"/>
        <v>0</v>
      </c>
      <c r="O462" s="43" t="str">
        <f t="shared" si="23"/>
        <v/>
      </c>
      <c r="P462" s="43">
        <f t="shared" si="22"/>
        <v>0</v>
      </c>
    </row>
    <row r="463" spans="1:16">
      <c r="A463" s="58">
        <v>12</v>
      </c>
      <c r="B463" s="59" t="str">
        <f>IFERROR(INDEX(الطلاب!$C$5:$C$44,MATCH($D463,الطلاب!$A$5:$A$44,0)),"")</f>
        <v>المقرأة الأولى</v>
      </c>
      <c r="C463" s="59" t="str">
        <f>IFERROR(INDEX(الطلاب!$D$5:$D$44,MATCH($D463,الطلاب!$A$5:$A$44,0)),"")</f>
        <v xml:space="preserve">حسان بن ثابت </v>
      </c>
      <c r="D463" s="59">
        <v>19</v>
      </c>
      <c r="E463" s="60" t="str">
        <f>IFERROR(INDEX(الطلاب!$B$5:$B$44,MATCH($D463,الطلاب!$A$5:$A$44,0)),"")</f>
        <v xml:space="preserve">سليمان المحيميد </v>
      </c>
      <c r="F463" s="40"/>
      <c r="G463" s="40"/>
      <c r="H463" s="40"/>
      <c r="I463" s="40"/>
      <c r="J463" s="40"/>
      <c r="K463" s="36"/>
      <c r="L463" s="43">
        <f>IF(AND($A463='أفضل 5 طلاب'!$C$3,$B463=الإعدادات!$C$8,$N463=1,ISNUMBER($G463)),$G463*100000+N($H463)*100+N($I463)+(1000-ROW())/10000,0)</f>
        <v>0</v>
      </c>
      <c r="M463" s="43">
        <f>IF(AND($A463='أفضل 5 طلاب'!$C$3,$B463=الإعدادات!$C$9,$N463=1,ISNUMBER($G463)),$G463*100000+N($H463)*100+N($I463)+(1000-ROW())/10000,0)</f>
        <v>0</v>
      </c>
      <c r="N463" s="43">
        <f t="shared" si="21"/>
        <v>0</v>
      </c>
      <c r="O463" s="43" t="str">
        <f t="shared" si="23"/>
        <v/>
      </c>
      <c r="P463" s="43">
        <f t="shared" si="22"/>
        <v>0</v>
      </c>
    </row>
    <row r="464" spans="1:16">
      <c r="A464" s="58">
        <v>12</v>
      </c>
      <c r="B464" s="59" t="str">
        <f>IFERROR(INDEX(الطلاب!$C$5:$C$44,MATCH($D464,الطلاب!$A$5:$A$44,0)),"")</f>
        <v>المقرأة الثانية</v>
      </c>
      <c r="C464" s="59" t="str">
        <f>IFERROR(INDEX(الطلاب!$D$5:$D$44,MATCH($D464,الطلاب!$A$5:$A$44,0)),"")</f>
        <v xml:space="preserve">ابن رجب </v>
      </c>
      <c r="D464" s="59">
        <v>20</v>
      </c>
      <c r="E464" s="60" t="str">
        <f>IFERROR(INDEX(الطلاب!$B$5:$B$44,MATCH($D464,الطلاب!$A$5:$A$44,0)),"")</f>
        <v xml:space="preserve">اصيل التويجري </v>
      </c>
      <c r="F464" s="40"/>
      <c r="G464" s="40"/>
      <c r="H464" s="40"/>
      <c r="I464" s="40"/>
      <c r="J464" s="40"/>
      <c r="K464" s="36"/>
      <c r="L464" s="43">
        <f>IF(AND($A464='أفضل 5 طلاب'!$C$3,$B464=الإعدادات!$C$8,$N464=1,ISNUMBER($G464)),$G464*100000+N($H464)*100+N($I464)+(1000-ROW())/10000,0)</f>
        <v>0</v>
      </c>
      <c r="M464" s="43">
        <f>IF(AND($A464='أفضل 5 طلاب'!$C$3,$B464=الإعدادات!$C$9,$N464=1,ISNUMBER($G464)),$G464*100000+N($H464)*100+N($I464)+(1000-ROW())/10000,0)</f>
        <v>0</v>
      </c>
      <c r="N464" s="43">
        <f t="shared" si="21"/>
        <v>0</v>
      </c>
      <c r="O464" s="43" t="str">
        <f t="shared" si="23"/>
        <v/>
      </c>
      <c r="P464" s="43">
        <f t="shared" si="22"/>
        <v>0</v>
      </c>
    </row>
    <row r="465" spans="1:16">
      <c r="A465" s="58">
        <v>12</v>
      </c>
      <c r="B465" s="59" t="str">
        <f>IFERROR(INDEX(الطلاب!$C$5:$C$44,MATCH($D465,الطلاب!$A$5:$A$44,0)),"")</f>
        <v>المقرأة الثانية</v>
      </c>
      <c r="C465" s="59" t="str">
        <f>IFERROR(INDEX(الطلاب!$D$5:$D$44,MATCH($D465,الطلاب!$A$5:$A$44,0)),"")</f>
        <v xml:space="preserve">ابن رجب </v>
      </c>
      <c r="D465" s="59">
        <v>21</v>
      </c>
      <c r="E465" s="60" t="str">
        <f>IFERROR(INDEX(الطلاب!$B$5:$B$44,MATCH($D465,الطلاب!$A$5:$A$44,0)),"")</f>
        <v xml:space="preserve">جواد الرفيعي </v>
      </c>
      <c r="F465" s="40"/>
      <c r="G465" s="40"/>
      <c r="H465" s="40"/>
      <c r="I465" s="40"/>
      <c r="J465" s="40"/>
      <c r="K465" s="36"/>
      <c r="L465" s="43">
        <f>IF(AND($A465='أفضل 5 طلاب'!$C$3,$B465=الإعدادات!$C$8,$N465=1,ISNUMBER($G465)),$G465*100000+N($H465)*100+N($I465)+(1000-ROW())/10000,0)</f>
        <v>0</v>
      </c>
      <c r="M465" s="43">
        <f>IF(AND($A465='أفضل 5 طلاب'!$C$3,$B465=الإعدادات!$C$9,$N465=1,ISNUMBER($G465)),$G465*100000+N($H465)*100+N($I465)+(1000-ROW())/10000,0)</f>
        <v>0</v>
      </c>
      <c r="N465" s="43">
        <f t="shared" si="21"/>
        <v>0</v>
      </c>
      <c r="O465" s="43" t="str">
        <f t="shared" si="23"/>
        <v/>
      </c>
      <c r="P465" s="43">
        <f t="shared" si="22"/>
        <v>0</v>
      </c>
    </row>
    <row r="466" spans="1:16">
      <c r="A466" s="58">
        <v>12</v>
      </c>
      <c r="B466" s="59" t="str">
        <f>IFERROR(INDEX(الطلاب!$C$5:$C$44,MATCH($D466,الطلاب!$A$5:$A$44,0)),"")</f>
        <v>المقرأة الثانية</v>
      </c>
      <c r="C466" s="59" t="str">
        <f>IFERROR(INDEX(الطلاب!$D$5:$D$44,MATCH($D466,الطلاب!$A$5:$A$44,0)),"")</f>
        <v xml:space="preserve">ابن رجب </v>
      </c>
      <c r="D466" s="59">
        <v>22</v>
      </c>
      <c r="E466" s="60" t="str">
        <f>IFERROR(INDEX(الطلاب!$B$5:$B$44,MATCH($D466,الطلاب!$A$5:$A$44,0)),"")</f>
        <v xml:space="preserve">سفيان السبيعي </v>
      </c>
      <c r="F466" s="40"/>
      <c r="G466" s="40"/>
      <c r="H466" s="40"/>
      <c r="I466" s="40"/>
      <c r="J466" s="40"/>
      <c r="K466" s="36"/>
      <c r="L466" s="43">
        <f>IF(AND($A466='أفضل 5 طلاب'!$C$3,$B466=الإعدادات!$C$8,$N466=1,ISNUMBER($G466)),$G466*100000+N($H466)*100+N($I466)+(1000-ROW())/10000,0)</f>
        <v>0</v>
      </c>
      <c r="M466" s="43">
        <f>IF(AND($A466='أفضل 5 طلاب'!$C$3,$B466=الإعدادات!$C$9,$N466=1,ISNUMBER($G466)),$G466*100000+N($H466)*100+N($I466)+(1000-ROW())/10000,0)</f>
        <v>0</v>
      </c>
      <c r="N466" s="43">
        <f t="shared" si="21"/>
        <v>0</v>
      </c>
      <c r="O466" s="43" t="str">
        <f t="shared" si="23"/>
        <v/>
      </c>
      <c r="P466" s="43">
        <f t="shared" si="22"/>
        <v>0</v>
      </c>
    </row>
    <row r="467" spans="1:16">
      <c r="A467" s="58">
        <v>12</v>
      </c>
      <c r="B467" s="59" t="str">
        <f>IFERROR(INDEX(الطلاب!$C$5:$C$44,MATCH($D467,الطلاب!$A$5:$A$44,0)),"")</f>
        <v>المقرأة الثانية</v>
      </c>
      <c r="C467" s="59" t="str">
        <f>IFERROR(INDEX(الطلاب!$D$5:$D$44,MATCH($D467,الطلاب!$A$5:$A$44,0)),"")</f>
        <v xml:space="preserve">ابن رجب </v>
      </c>
      <c r="D467" s="59">
        <v>23</v>
      </c>
      <c r="E467" s="60" t="str">
        <f>IFERROR(INDEX(الطلاب!$B$5:$B$44,MATCH($D467,الطلاب!$A$5:$A$44,0)),"")</f>
        <v xml:space="preserve">عمار الفضل </v>
      </c>
      <c r="F467" s="40"/>
      <c r="G467" s="40"/>
      <c r="H467" s="40"/>
      <c r="I467" s="40"/>
      <c r="J467" s="40"/>
      <c r="K467" s="36"/>
      <c r="L467" s="43">
        <f>IF(AND($A467='أفضل 5 طلاب'!$C$3,$B467=الإعدادات!$C$8,$N467=1,ISNUMBER($G467)),$G467*100000+N($H467)*100+N($I467)+(1000-ROW())/10000,0)</f>
        <v>0</v>
      </c>
      <c r="M467" s="43">
        <f>IF(AND($A467='أفضل 5 طلاب'!$C$3,$B467=الإعدادات!$C$9,$N467=1,ISNUMBER($G467)),$G467*100000+N($H467)*100+N($I467)+(1000-ROW())/10000,0)</f>
        <v>0</v>
      </c>
      <c r="N467" s="43">
        <f t="shared" si="21"/>
        <v>0</v>
      </c>
      <c r="O467" s="43" t="str">
        <f t="shared" si="23"/>
        <v/>
      </c>
      <c r="P467" s="43">
        <f t="shared" si="22"/>
        <v>0</v>
      </c>
    </row>
    <row r="468" spans="1:16">
      <c r="A468" s="58">
        <v>12</v>
      </c>
      <c r="B468" s="59" t="str">
        <f>IFERROR(INDEX(الطلاب!$C$5:$C$44,MATCH($D468,الطلاب!$A$5:$A$44,0)),"")</f>
        <v>المقرأة الثانية</v>
      </c>
      <c r="C468" s="59" t="str">
        <f>IFERROR(INDEX(الطلاب!$D$5:$D$44,MATCH($D468,الطلاب!$A$5:$A$44,0)),"")</f>
        <v xml:space="preserve">ابن رجب </v>
      </c>
      <c r="D468" s="59">
        <v>24</v>
      </c>
      <c r="E468" s="60" t="str">
        <f>IFERROR(INDEX(الطلاب!$B$5:$B$44,MATCH($D468,الطلاب!$A$5:$A$44,0)),"")</f>
        <v xml:space="preserve">مروان المهوس </v>
      </c>
      <c r="F468" s="40"/>
      <c r="G468" s="40"/>
      <c r="H468" s="40"/>
      <c r="I468" s="40"/>
      <c r="J468" s="40"/>
      <c r="K468" s="36"/>
      <c r="L468" s="43">
        <f>IF(AND($A468='أفضل 5 طلاب'!$C$3,$B468=الإعدادات!$C$8,$N468=1,ISNUMBER($G468)),$G468*100000+N($H468)*100+N($I468)+(1000-ROW())/10000,0)</f>
        <v>0</v>
      </c>
      <c r="M468" s="43">
        <f>IF(AND($A468='أفضل 5 طلاب'!$C$3,$B468=الإعدادات!$C$9,$N468=1,ISNUMBER($G468)),$G468*100000+N($H468)*100+N($I468)+(1000-ROW())/10000,0)</f>
        <v>0</v>
      </c>
      <c r="N468" s="43">
        <f t="shared" si="21"/>
        <v>0</v>
      </c>
      <c r="O468" s="43" t="str">
        <f t="shared" si="23"/>
        <v/>
      </c>
      <c r="P468" s="43">
        <f t="shared" si="22"/>
        <v>0</v>
      </c>
    </row>
    <row r="469" spans="1:16">
      <c r="A469" s="58">
        <v>12</v>
      </c>
      <c r="B469" s="59" t="str">
        <f>IFERROR(INDEX(الطلاب!$C$5:$C$44,MATCH($D469,الطلاب!$A$5:$A$44,0)),"")</f>
        <v>المقرأة الثانية</v>
      </c>
      <c r="C469" s="59" t="str">
        <f>IFERROR(INDEX(الطلاب!$D$5:$D$44,MATCH($D469,الطلاب!$A$5:$A$44,0)),"")</f>
        <v xml:space="preserve">ابن رجب </v>
      </c>
      <c r="D469" s="59">
        <v>25</v>
      </c>
      <c r="E469" s="60" t="str">
        <f>IFERROR(INDEX(الطلاب!$B$5:$B$44,MATCH($D469,الطلاب!$A$5:$A$44,0)),"")</f>
        <v>جهاد الجدعان</v>
      </c>
      <c r="F469" s="40"/>
      <c r="G469" s="40"/>
      <c r="H469" s="40"/>
      <c r="I469" s="40"/>
      <c r="J469" s="40"/>
      <c r="K469" s="36"/>
      <c r="L469" s="43">
        <f>IF(AND($A469='أفضل 5 طلاب'!$C$3,$B469=الإعدادات!$C$8,$N469=1,ISNUMBER($G469)),$G469*100000+N($H469)*100+N($I469)+(1000-ROW())/10000,0)</f>
        <v>0</v>
      </c>
      <c r="M469" s="43">
        <f>IF(AND($A469='أفضل 5 طلاب'!$C$3,$B469=الإعدادات!$C$9,$N469=1,ISNUMBER($G469)),$G469*100000+N($H469)*100+N($I469)+(1000-ROW())/10000,0)</f>
        <v>0</v>
      </c>
      <c r="N469" s="43">
        <f t="shared" si="21"/>
        <v>0</v>
      </c>
      <c r="O469" s="43" t="str">
        <f t="shared" si="23"/>
        <v/>
      </c>
      <c r="P469" s="43">
        <f t="shared" si="22"/>
        <v>0</v>
      </c>
    </row>
    <row r="470" spans="1:16">
      <c r="A470" s="58">
        <v>12</v>
      </c>
      <c r="B470" s="59" t="str">
        <f>IFERROR(INDEX(الطلاب!$C$5:$C$44,MATCH($D470,الطلاب!$A$5:$A$44,0)),"")</f>
        <v>المقرأة الثانية</v>
      </c>
      <c r="C470" s="59" t="str">
        <f>IFERROR(INDEX(الطلاب!$D$5:$D$44,MATCH($D470,الطلاب!$A$5:$A$44,0)),"")</f>
        <v xml:space="preserve">ابن رجب </v>
      </c>
      <c r="D470" s="59">
        <v>26</v>
      </c>
      <c r="E470" s="60" t="str">
        <f>IFERROR(INDEX(الطلاب!$B$5:$B$44,MATCH($D470,الطلاب!$A$5:$A$44,0)),"")</f>
        <v>صلاح مسعد</v>
      </c>
      <c r="F470" s="40"/>
      <c r="G470" s="40"/>
      <c r="H470" s="40"/>
      <c r="I470" s="40"/>
      <c r="J470" s="40"/>
      <c r="K470" s="36"/>
      <c r="L470" s="43">
        <f>IF(AND($A470='أفضل 5 طلاب'!$C$3,$B470=الإعدادات!$C$8,$N470=1,ISNUMBER($G470)),$G470*100000+N($H470)*100+N($I470)+(1000-ROW())/10000,0)</f>
        <v>0</v>
      </c>
      <c r="M470" s="43">
        <f>IF(AND($A470='أفضل 5 طلاب'!$C$3,$B470=الإعدادات!$C$9,$N470=1,ISNUMBER($G470)),$G470*100000+N($H470)*100+N($I470)+(1000-ROW())/10000,0)</f>
        <v>0</v>
      </c>
      <c r="N470" s="43">
        <f t="shared" si="21"/>
        <v>0</v>
      </c>
      <c r="O470" s="43" t="str">
        <f t="shared" si="23"/>
        <v/>
      </c>
      <c r="P470" s="43">
        <f t="shared" si="22"/>
        <v>0</v>
      </c>
    </row>
    <row r="471" spans="1:16">
      <c r="A471" s="58">
        <v>12</v>
      </c>
      <c r="B471" s="59" t="str">
        <f>IFERROR(INDEX(الطلاب!$C$5:$C$44,MATCH($D471,الطلاب!$A$5:$A$44,0)),"")</f>
        <v>المقرأة الثانية</v>
      </c>
      <c r="C471" s="59" t="str">
        <f>IFERROR(INDEX(الطلاب!$D$5:$D$44,MATCH($D471,الطلاب!$A$5:$A$44,0)),"")</f>
        <v xml:space="preserve">ابي بن مالك </v>
      </c>
      <c r="D471" s="59">
        <v>27</v>
      </c>
      <c r="E471" s="60" t="str">
        <f>IFERROR(INDEX(الطلاب!$B$5:$B$44,MATCH($D471,الطلاب!$A$5:$A$44,0)),"")</f>
        <v>سالم بانوير</v>
      </c>
      <c r="F471" s="40"/>
      <c r="G471" s="40"/>
      <c r="H471" s="40"/>
      <c r="I471" s="40"/>
      <c r="J471" s="40"/>
      <c r="K471" s="36"/>
      <c r="L471" s="43">
        <f>IF(AND($A471='أفضل 5 طلاب'!$C$3,$B471=الإعدادات!$C$8,$N471=1,ISNUMBER($G471)),$G471*100000+N($H471)*100+N($I471)+(1000-ROW())/10000,0)</f>
        <v>0</v>
      </c>
      <c r="M471" s="43">
        <f>IF(AND($A471='أفضل 5 طلاب'!$C$3,$B471=الإعدادات!$C$9,$N471=1,ISNUMBER($G471)),$G471*100000+N($H471)*100+N($I471)+(1000-ROW())/10000,0)</f>
        <v>0</v>
      </c>
      <c r="N471" s="43">
        <f t="shared" si="21"/>
        <v>0</v>
      </c>
      <c r="O471" s="43" t="str">
        <f t="shared" si="23"/>
        <v/>
      </c>
      <c r="P471" s="43">
        <f t="shared" si="22"/>
        <v>0</v>
      </c>
    </row>
    <row r="472" spans="1:16">
      <c r="A472" s="58">
        <v>12</v>
      </c>
      <c r="B472" s="59" t="str">
        <f>IFERROR(INDEX(الطلاب!$C$5:$C$44,MATCH($D472,الطلاب!$A$5:$A$44,0)),"")</f>
        <v>المقرأة الثانية</v>
      </c>
      <c r="C472" s="59" t="str">
        <f>IFERROR(INDEX(الطلاب!$D$5:$D$44,MATCH($D472,الطلاب!$A$5:$A$44,0)),"")</f>
        <v xml:space="preserve">ابي بن مالك </v>
      </c>
      <c r="D472" s="59">
        <v>28</v>
      </c>
      <c r="E472" s="60" t="str">
        <f>IFERROR(INDEX(الطلاب!$B$5:$B$44,MATCH($D472,الطلاب!$A$5:$A$44,0)),"")</f>
        <v xml:space="preserve">عبدالعزيز الصقعبي </v>
      </c>
      <c r="F472" s="40"/>
      <c r="G472" s="40"/>
      <c r="H472" s="40"/>
      <c r="I472" s="40"/>
      <c r="J472" s="40"/>
      <c r="K472" s="36"/>
      <c r="L472" s="43">
        <f>IF(AND($A472='أفضل 5 طلاب'!$C$3,$B472=الإعدادات!$C$8,$N472=1,ISNUMBER($G472)),$G472*100000+N($H472)*100+N($I472)+(1000-ROW())/10000,0)</f>
        <v>0</v>
      </c>
      <c r="M472" s="43">
        <f>IF(AND($A472='أفضل 5 طلاب'!$C$3,$B472=الإعدادات!$C$9,$N472=1,ISNUMBER($G472)),$G472*100000+N($H472)*100+N($I472)+(1000-ROW())/10000,0)</f>
        <v>0</v>
      </c>
      <c r="N472" s="43">
        <f t="shared" si="21"/>
        <v>0</v>
      </c>
      <c r="O472" s="43" t="str">
        <f t="shared" si="23"/>
        <v/>
      </c>
      <c r="P472" s="43">
        <f t="shared" si="22"/>
        <v>0</v>
      </c>
    </row>
    <row r="473" spans="1:16">
      <c r="A473" s="58">
        <v>12</v>
      </c>
      <c r="B473" s="59" t="str">
        <f>IFERROR(INDEX(الطلاب!$C$5:$C$44,MATCH($D473,الطلاب!$A$5:$A$44,0)),"")</f>
        <v>المقرأة الثانية</v>
      </c>
      <c r="C473" s="59" t="str">
        <f>IFERROR(INDEX(الطلاب!$D$5:$D$44,MATCH($D473,الطلاب!$A$5:$A$44,0)),"")</f>
        <v xml:space="preserve">ابي بن مالك </v>
      </c>
      <c r="D473" s="59">
        <v>29</v>
      </c>
      <c r="E473" s="60" t="str">
        <f>IFERROR(INDEX(الطلاب!$B$5:$B$44,MATCH($D473,الطلاب!$A$5:$A$44,0)),"")</f>
        <v xml:space="preserve">عبدالله المجيدل </v>
      </c>
      <c r="F473" s="40"/>
      <c r="G473" s="40"/>
      <c r="H473" s="40"/>
      <c r="I473" s="40"/>
      <c r="J473" s="40"/>
      <c r="K473" s="36"/>
      <c r="L473" s="43">
        <f>IF(AND($A473='أفضل 5 طلاب'!$C$3,$B473=الإعدادات!$C$8,$N473=1,ISNUMBER($G473)),$G473*100000+N($H473)*100+N($I473)+(1000-ROW())/10000,0)</f>
        <v>0</v>
      </c>
      <c r="M473" s="43">
        <f>IF(AND($A473='أفضل 5 طلاب'!$C$3,$B473=الإعدادات!$C$9,$N473=1,ISNUMBER($G473)),$G473*100000+N($H473)*100+N($I473)+(1000-ROW())/10000,0)</f>
        <v>0</v>
      </c>
      <c r="N473" s="43">
        <f t="shared" si="21"/>
        <v>0</v>
      </c>
      <c r="O473" s="43" t="str">
        <f t="shared" si="23"/>
        <v/>
      </c>
      <c r="P473" s="43">
        <f t="shared" si="22"/>
        <v>0</v>
      </c>
    </row>
    <row r="474" spans="1:16">
      <c r="A474" s="58">
        <v>12</v>
      </c>
      <c r="B474" s="59" t="str">
        <f>IFERROR(INDEX(الطلاب!$C$5:$C$44,MATCH($D474,الطلاب!$A$5:$A$44,0)),"")</f>
        <v>المقرأة الثانية</v>
      </c>
      <c r="C474" s="59" t="str">
        <f>IFERROR(INDEX(الطلاب!$D$5:$D$44,MATCH($D474,الطلاب!$A$5:$A$44,0)),"")</f>
        <v xml:space="preserve">ابي بن مالك </v>
      </c>
      <c r="D474" s="59">
        <v>30</v>
      </c>
      <c r="E474" s="60" t="str">
        <f>IFERROR(INDEX(الطلاب!$B$5:$B$44,MATCH($D474,الطلاب!$A$5:$A$44,0)),"")</f>
        <v>فواز الشدوخي</v>
      </c>
      <c r="F474" s="40"/>
      <c r="G474" s="40"/>
      <c r="H474" s="40"/>
      <c r="I474" s="40"/>
      <c r="J474" s="40"/>
      <c r="K474" s="36"/>
      <c r="L474" s="43">
        <f>IF(AND($A474='أفضل 5 طلاب'!$C$3,$B474=الإعدادات!$C$8,$N474=1,ISNUMBER($G474)),$G474*100000+N($H474)*100+N($I474)+(1000-ROW())/10000,0)</f>
        <v>0</v>
      </c>
      <c r="M474" s="43">
        <f>IF(AND($A474='أفضل 5 طلاب'!$C$3,$B474=الإعدادات!$C$9,$N474=1,ISNUMBER($G474)),$G474*100000+N($H474)*100+N($I474)+(1000-ROW())/10000,0)</f>
        <v>0</v>
      </c>
      <c r="N474" s="43">
        <f t="shared" si="21"/>
        <v>0</v>
      </c>
      <c r="O474" s="43" t="str">
        <f t="shared" si="23"/>
        <v/>
      </c>
      <c r="P474" s="43">
        <f t="shared" si="22"/>
        <v>0</v>
      </c>
    </row>
    <row r="475" spans="1:16">
      <c r="A475" s="58">
        <v>12</v>
      </c>
      <c r="B475" s="59" t="str">
        <f>IFERROR(INDEX(الطلاب!$C$5:$C$44,MATCH($D475,الطلاب!$A$5:$A$44,0)),"")</f>
        <v>المقرأة الثانية</v>
      </c>
      <c r="C475" s="59" t="str">
        <f>IFERROR(INDEX(الطلاب!$D$5:$D$44,MATCH($D475,الطلاب!$A$5:$A$44,0)),"")</f>
        <v xml:space="preserve">ابي بن مالك </v>
      </c>
      <c r="D475" s="59">
        <v>31</v>
      </c>
      <c r="E475" s="60" t="str">
        <f>IFERROR(INDEX(الطلاب!$B$5:$B$44,MATCH($D475,الطلاب!$A$5:$A$44,0)),"")</f>
        <v>محمد الطامي</v>
      </c>
      <c r="F475" s="40"/>
      <c r="G475" s="40"/>
      <c r="H475" s="40"/>
      <c r="I475" s="40"/>
      <c r="J475" s="40"/>
      <c r="K475" s="36"/>
      <c r="L475" s="43">
        <f>IF(AND($A475='أفضل 5 طلاب'!$C$3,$B475=الإعدادات!$C$8,$N475=1,ISNUMBER($G475)),$G475*100000+N($H475)*100+N($I475)+(1000-ROW())/10000,0)</f>
        <v>0</v>
      </c>
      <c r="M475" s="43">
        <f>IF(AND($A475='أفضل 5 طلاب'!$C$3,$B475=الإعدادات!$C$9,$N475=1,ISNUMBER($G475)),$G475*100000+N($H475)*100+N($I475)+(1000-ROW())/10000,0)</f>
        <v>0</v>
      </c>
      <c r="N475" s="43">
        <f t="shared" si="21"/>
        <v>0</v>
      </c>
      <c r="O475" s="43" t="str">
        <f t="shared" si="23"/>
        <v/>
      </c>
      <c r="P475" s="43">
        <f t="shared" si="22"/>
        <v>0</v>
      </c>
    </row>
    <row r="476" spans="1:16">
      <c r="A476" s="58">
        <v>12</v>
      </c>
      <c r="B476" s="59" t="str">
        <f>IFERROR(INDEX(الطلاب!$C$5:$C$44,MATCH($D476,الطلاب!$A$5:$A$44,0)),"")</f>
        <v>المقرأة الثانية</v>
      </c>
      <c r="C476" s="59" t="str">
        <f>IFERROR(INDEX(الطلاب!$D$5:$D$44,MATCH($D476,الطلاب!$A$5:$A$44,0)),"")</f>
        <v xml:space="preserve">ابي بن مالك </v>
      </c>
      <c r="D476" s="59">
        <v>32</v>
      </c>
      <c r="E476" s="60" t="str">
        <f>IFERROR(INDEX(الطلاب!$B$5:$B$44,MATCH($D476,الطلاب!$A$5:$A$44,0)),"")</f>
        <v xml:space="preserve">مهند الغماس </v>
      </c>
      <c r="F476" s="40"/>
      <c r="G476" s="40"/>
      <c r="H476" s="40"/>
      <c r="I476" s="40"/>
      <c r="J476" s="40"/>
      <c r="K476" s="36"/>
      <c r="L476" s="43">
        <f>IF(AND($A476='أفضل 5 طلاب'!$C$3,$B476=الإعدادات!$C$8,$N476=1,ISNUMBER($G476)),$G476*100000+N($H476)*100+N($I476)+(1000-ROW())/10000,0)</f>
        <v>0</v>
      </c>
      <c r="M476" s="43">
        <f>IF(AND($A476='أفضل 5 طلاب'!$C$3,$B476=الإعدادات!$C$9,$N476=1,ISNUMBER($G476)),$G476*100000+N($H476)*100+N($I476)+(1000-ROW())/10000,0)</f>
        <v>0</v>
      </c>
      <c r="N476" s="43">
        <f t="shared" si="21"/>
        <v>0</v>
      </c>
      <c r="O476" s="43" t="str">
        <f t="shared" si="23"/>
        <v/>
      </c>
      <c r="P476" s="43">
        <f t="shared" si="22"/>
        <v>0</v>
      </c>
    </row>
    <row r="477" spans="1:16">
      <c r="A477" s="58">
        <v>12</v>
      </c>
      <c r="B477" s="59" t="str">
        <f>IFERROR(INDEX(الطلاب!$C$5:$C$44,MATCH($D477,الطلاب!$A$5:$A$44,0)),"")</f>
        <v>المقرأة الثانية</v>
      </c>
      <c r="C477" s="59" t="str">
        <f>IFERROR(INDEX(الطلاب!$D$5:$D$44,MATCH($D477,الطلاب!$A$5:$A$44,0)),"")</f>
        <v xml:space="preserve">ابي بن مالك </v>
      </c>
      <c r="D477" s="59">
        <v>33</v>
      </c>
      <c r="E477" s="60" t="str">
        <f>IFERROR(INDEX(الطلاب!$B$5:$B$44,MATCH($D477,الطلاب!$A$5:$A$44,0)),"")</f>
        <v>يوسف الحربي</v>
      </c>
      <c r="F477" s="40"/>
      <c r="G477" s="40"/>
      <c r="H477" s="40"/>
      <c r="I477" s="40"/>
      <c r="J477" s="40"/>
      <c r="K477" s="36"/>
      <c r="L477" s="43">
        <f>IF(AND($A477='أفضل 5 طلاب'!$C$3,$B477=الإعدادات!$C$8,$N477=1,ISNUMBER($G477)),$G477*100000+N($H477)*100+N($I477)+(1000-ROW())/10000,0)</f>
        <v>0</v>
      </c>
      <c r="M477" s="43">
        <f>IF(AND($A477='أفضل 5 طلاب'!$C$3,$B477=الإعدادات!$C$9,$N477=1,ISNUMBER($G477)),$G477*100000+N($H477)*100+N($I477)+(1000-ROW())/10000,0)</f>
        <v>0</v>
      </c>
      <c r="N477" s="43">
        <f t="shared" si="21"/>
        <v>0</v>
      </c>
      <c r="O477" s="43" t="str">
        <f t="shared" si="23"/>
        <v/>
      </c>
      <c r="P477" s="43">
        <f t="shared" si="22"/>
        <v>0</v>
      </c>
    </row>
    <row r="478" spans="1:16">
      <c r="A478" s="58">
        <v>12</v>
      </c>
      <c r="B478" s="59" t="str">
        <f>IFERROR(INDEX(الطلاب!$C$5:$C$44,MATCH($D478,الطلاب!$A$5:$A$44,0)),"")</f>
        <v>المقرأة الثانية</v>
      </c>
      <c r="C478" s="59" t="str">
        <f>IFERROR(INDEX(الطلاب!$D$5:$D$44,MATCH($D478,الطلاب!$A$5:$A$44,0)),"")</f>
        <v xml:space="preserve">ابي بن مالك </v>
      </c>
      <c r="D478" s="59">
        <v>34</v>
      </c>
      <c r="E478" s="60" t="str">
        <f>IFERROR(INDEX(الطلاب!$B$5:$B$44,MATCH($D478,الطلاب!$A$5:$A$44,0)),"")</f>
        <v xml:space="preserve">عدي الفريح </v>
      </c>
      <c r="F478" s="40"/>
      <c r="G478" s="40"/>
      <c r="H478" s="40"/>
      <c r="I478" s="40"/>
      <c r="J478" s="40"/>
      <c r="K478" s="36"/>
      <c r="L478" s="43">
        <f>IF(AND($A478='أفضل 5 طلاب'!$C$3,$B478=الإعدادات!$C$8,$N478=1,ISNUMBER($G478)),$G478*100000+N($H478)*100+N($I478)+(1000-ROW())/10000,0)</f>
        <v>0</v>
      </c>
      <c r="M478" s="43">
        <f>IF(AND($A478='أفضل 5 طلاب'!$C$3,$B478=الإعدادات!$C$9,$N478=1,ISNUMBER($G478)),$G478*100000+N($H478)*100+N($I478)+(1000-ROW())/10000,0)</f>
        <v>0</v>
      </c>
      <c r="N478" s="43">
        <f t="shared" si="21"/>
        <v>0</v>
      </c>
      <c r="O478" s="43" t="str">
        <f t="shared" si="23"/>
        <v/>
      </c>
      <c r="P478" s="43">
        <f t="shared" si="22"/>
        <v>0</v>
      </c>
    </row>
    <row r="479" spans="1:16">
      <c r="A479" s="58">
        <v>12</v>
      </c>
      <c r="B479" s="59" t="str">
        <f>IFERROR(INDEX(الطلاب!$C$5:$C$44,MATCH($D479,الطلاب!$A$5:$A$44,0)),"")</f>
        <v>المقرأة الثانية</v>
      </c>
      <c r="C479" s="59" t="str">
        <f>IFERROR(INDEX(الطلاب!$D$5:$D$44,MATCH($D479,الطلاب!$A$5:$A$44,0)),"")</f>
        <v xml:space="preserve">ابي بن مالك </v>
      </c>
      <c r="D479" s="59">
        <v>35</v>
      </c>
      <c r="E479" s="60" t="str">
        <f>IFERROR(INDEX(الطلاب!$B$5:$B$44,MATCH($D479,الطلاب!$A$5:$A$44,0)),"")</f>
        <v xml:space="preserve">عبدالله الفايزي </v>
      </c>
      <c r="F479" s="40"/>
      <c r="G479" s="40"/>
      <c r="H479" s="40"/>
      <c r="I479" s="40"/>
      <c r="J479" s="40"/>
      <c r="K479" s="36"/>
      <c r="L479" s="43">
        <f>IF(AND($A479='أفضل 5 طلاب'!$C$3,$B479=الإعدادات!$C$8,$N479=1,ISNUMBER($G479)),$G479*100000+N($H479)*100+N($I479)+(1000-ROW())/10000,0)</f>
        <v>0</v>
      </c>
      <c r="M479" s="43">
        <f>IF(AND($A479='أفضل 5 طلاب'!$C$3,$B479=الإعدادات!$C$9,$N479=1,ISNUMBER($G479)),$G479*100000+N($H479)*100+N($I479)+(1000-ROW())/10000,0)</f>
        <v>0</v>
      </c>
      <c r="N479" s="43">
        <f t="shared" si="21"/>
        <v>0</v>
      </c>
      <c r="O479" s="43" t="str">
        <f t="shared" si="23"/>
        <v/>
      </c>
      <c r="P479" s="43">
        <f t="shared" si="22"/>
        <v>0</v>
      </c>
    </row>
    <row r="480" spans="1:16">
      <c r="A480" s="58">
        <v>12</v>
      </c>
      <c r="B480" s="59">
        <f>IFERROR(INDEX(الطلاب!$C$5:$C$44,MATCH($D480,الطلاب!$A$5:$A$44,0)),"")</f>
        <v>0</v>
      </c>
      <c r="C480" s="59">
        <f>IFERROR(INDEX(الطلاب!$D$5:$D$44,MATCH($D480,الطلاب!$A$5:$A$44,0)),"")</f>
        <v>0</v>
      </c>
      <c r="D480" s="59">
        <v>36</v>
      </c>
      <c r="E480" s="60" t="str">
        <f>IFERROR(INDEX(الطلاب!$B$5:$B$44,MATCH($D480,الطلاب!$A$5:$A$44,0)),"")</f>
        <v xml:space="preserve">عزام الحسن </v>
      </c>
      <c r="F480" s="40"/>
      <c r="G480" s="40"/>
      <c r="H480" s="40"/>
      <c r="I480" s="40"/>
      <c r="J480" s="40"/>
      <c r="K480" s="36"/>
      <c r="L480" s="43">
        <f>IF(AND($A480='أفضل 5 طلاب'!$C$3,$B480=الإعدادات!$C$8,$N480=1,ISNUMBER($G480)),$G480*100000+N($H480)*100+N($I480)+(1000-ROW())/10000,0)</f>
        <v>0</v>
      </c>
      <c r="M480" s="43">
        <f>IF(AND($A480='أفضل 5 طلاب'!$C$3,$B480=الإعدادات!$C$9,$N480=1,ISNUMBER($G480)),$G480*100000+N($H480)*100+N($I480)+(1000-ROW())/10000,0)</f>
        <v>0</v>
      </c>
      <c r="N480" s="43">
        <f t="shared" si="21"/>
        <v>0</v>
      </c>
      <c r="O480" s="43" t="str">
        <f t="shared" si="23"/>
        <v/>
      </c>
      <c r="P480" s="43">
        <f t="shared" si="22"/>
        <v>0</v>
      </c>
    </row>
    <row r="481" spans="1:16">
      <c r="A481" s="58">
        <v>12</v>
      </c>
      <c r="B481" s="59" t="str">
        <f>IFERROR(INDEX(الطلاب!$C$5:$C$44,MATCH($D481,الطلاب!$A$5:$A$44,0)),"")</f>
        <v>المقرأة الأولى</v>
      </c>
      <c r="C481" s="59" t="str">
        <f>IFERROR(INDEX(الطلاب!$D$5:$D$44,MATCH($D481,الطلاب!$A$5:$A$44,0)),"")</f>
        <v xml:space="preserve">عبدالرحمن بن النعمان </v>
      </c>
      <c r="D481" s="59">
        <v>37</v>
      </c>
      <c r="E481" s="60" t="str">
        <f>IFERROR(INDEX(الطلاب!$B$5:$B$44,MATCH($D481,الطلاب!$A$5:$A$44,0)),"")</f>
        <v xml:space="preserve">أسامة السعوي </v>
      </c>
      <c r="F481" s="40"/>
      <c r="G481" s="40"/>
      <c r="H481" s="40"/>
      <c r="I481" s="40"/>
      <c r="J481" s="40"/>
      <c r="K481" s="36"/>
      <c r="L481" s="43">
        <f>IF(AND($A481='أفضل 5 طلاب'!$C$3,$B481=الإعدادات!$C$8,$N481=1,ISNUMBER($G481)),$G481*100000+N($H481)*100+N($I481)+(1000-ROW())/10000,0)</f>
        <v>0</v>
      </c>
      <c r="M481" s="43">
        <f>IF(AND($A481='أفضل 5 طلاب'!$C$3,$B481=الإعدادات!$C$9,$N481=1,ISNUMBER($G481)),$G481*100000+N($H481)*100+N($I481)+(1000-ROW())/10000,0)</f>
        <v>0</v>
      </c>
      <c r="N481" s="43">
        <f t="shared" si="21"/>
        <v>0</v>
      </c>
      <c r="O481" s="43" t="str">
        <f t="shared" si="23"/>
        <v/>
      </c>
      <c r="P481" s="43">
        <f t="shared" si="22"/>
        <v>0</v>
      </c>
    </row>
    <row r="482" spans="1:16">
      <c r="A482" s="58">
        <v>12</v>
      </c>
      <c r="B482" s="59" t="str">
        <f>IFERROR(INDEX(الطلاب!$C$5:$C$44,MATCH($D482,الطلاب!$A$5:$A$44,0)),"")</f>
        <v>المقرأة الأولى</v>
      </c>
      <c r="C482" s="59" t="str">
        <f>IFERROR(INDEX(الطلاب!$D$5:$D$44,MATCH($D482,الطلاب!$A$5:$A$44,0)),"")</f>
        <v xml:space="preserve">حسان بن ثابت </v>
      </c>
      <c r="D482" s="59">
        <v>38</v>
      </c>
      <c r="E482" s="60" t="str">
        <f>IFERROR(INDEX(الطلاب!$B$5:$B$44,MATCH($D482,الطلاب!$A$5:$A$44,0)),"")</f>
        <v xml:space="preserve">عاصم الضالع </v>
      </c>
      <c r="F482" s="40"/>
      <c r="G482" s="40"/>
      <c r="H482" s="40"/>
      <c r="I482" s="40"/>
      <c r="J482" s="40"/>
      <c r="K482" s="36"/>
      <c r="L482" s="43">
        <f>IF(AND($A482='أفضل 5 طلاب'!$C$3,$B482=الإعدادات!$C$8,$N482=1,ISNUMBER($G482)),$G482*100000+N($H482)*100+N($I482)+(1000-ROW())/10000,0)</f>
        <v>0</v>
      </c>
      <c r="M482" s="43">
        <f>IF(AND($A482='أفضل 5 طلاب'!$C$3,$B482=الإعدادات!$C$9,$N482=1,ISNUMBER($G482)),$G482*100000+N($H482)*100+N($I482)+(1000-ROW())/10000,0)</f>
        <v>0</v>
      </c>
      <c r="N482" s="43">
        <f t="shared" si="21"/>
        <v>0</v>
      </c>
      <c r="O482" s="43" t="str">
        <f t="shared" si="23"/>
        <v/>
      </c>
      <c r="P482" s="43">
        <f t="shared" si="22"/>
        <v>0</v>
      </c>
    </row>
    <row r="483" spans="1:16">
      <c r="A483" s="58">
        <v>12</v>
      </c>
      <c r="B483" s="59">
        <f>IFERROR(INDEX(الطلاب!$C$5:$C$44,MATCH($D483,الطلاب!$A$5:$A$44,0)),"")</f>
        <v>0</v>
      </c>
      <c r="C483" s="59">
        <f>IFERROR(INDEX(الطلاب!$D$5:$D$44,MATCH($D483,الطلاب!$A$5:$A$44,0)),"")</f>
        <v>0</v>
      </c>
      <c r="D483" s="59">
        <v>39</v>
      </c>
      <c r="E483" s="60">
        <f>IFERROR(INDEX(الطلاب!$B$5:$B$44,MATCH($D483,الطلاب!$A$5:$A$44,0)),"")</f>
        <v>0</v>
      </c>
      <c r="F483" s="40"/>
      <c r="G483" s="40"/>
      <c r="H483" s="40"/>
      <c r="I483" s="40"/>
      <c r="J483" s="40"/>
      <c r="K483" s="36"/>
      <c r="L483" s="43">
        <f>IF(AND($A483='أفضل 5 طلاب'!$C$3,$B483=الإعدادات!$C$8,$N483=1,ISNUMBER($G483)),$G483*100000+N($H483)*100+N($I483)+(1000-ROW())/10000,0)</f>
        <v>0</v>
      </c>
      <c r="M483" s="43">
        <f>IF(AND($A483='أفضل 5 طلاب'!$C$3,$B483=الإعدادات!$C$9,$N483=1,ISNUMBER($G483)),$G483*100000+N($H483)*100+N($I483)+(1000-ROW())/10000,0)</f>
        <v>0</v>
      </c>
      <c r="N483" s="43">
        <f t="shared" si="21"/>
        <v>0</v>
      </c>
      <c r="O483" s="43" t="str">
        <f t="shared" si="23"/>
        <v/>
      </c>
      <c r="P483" s="43">
        <f t="shared" si="22"/>
        <v>0</v>
      </c>
    </row>
    <row r="484" spans="1:16" ht="15.95" thickBot="1">
      <c r="A484" s="58">
        <v>12</v>
      </c>
      <c r="B484" s="59">
        <f>IFERROR(INDEX(الطلاب!$C$5:$C$44,MATCH($D484,الطلاب!$A$5:$A$44,0)),"")</f>
        <v>0</v>
      </c>
      <c r="C484" s="59">
        <f>IFERROR(INDEX(الطلاب!$D$5:$D$44,MATCH($D484,الطلاب!$A$5:$A$44,0)),"")</f>
        <v>0</v>
      </c>
      <c r="D484" s="59">
        <v>40</v>
      </c>
      <c r="E484" s="60">
        <f>IFERROR(INDEX(الطلاب!$B$5:$B$44,MATCH($D484,الطلاب!$A$5:$A$44,0)),"")</f>
        <v>0</v>
      </c>
      <c r="F484" s="40"/>
      <c r="G484" s="40"/>
      <c r="H484" s="40"/>
      <c r="I484" s="40"/>
      <c r="J484" s="40"/>
      <c r="K484" s="36"/>
      <c r="L484" s="43">
        <f>IF(AND($A484='أفضل 5 طلاب'!$C$3,$B484=الإعدادات!$C$8,$N484=1,ISNUMBER($G484)),$G484*100000+N($H484)*100+N($I484)+(1000-ROW())/10000,0)</f>
        <v>0</v>
      </c>
      <c r="M484" s="43">
        <f>IF(AND($A484='أفضل 5 طلاب'!$C$3,$B484=الإعدادات!$C$9,$N484=1,ISNUMBER($G484)),$G484*100000+N($H484)*100+N($I484)+(1000-ROW())/10000,0)</f>
        <v>0</v>
      </c>
      <c r="N484" s="43">
        <f t="shared" si="21"/>
        <v>0</v>
      </c>
      <c r="O484" s="43" t="str">
        <f t="shared" si="23"/>
        <v/>
      </c>
      <c r="P484" s="43">
        <f t="shared" si="22"/>
        <v>0</v>
      </c>
    </row>
    <row r="485" spans="1:16">
      <c r="A485" s="44">
        <v>13</v>
      </c>
      <c r="B485" s="45" t="str">
        <f>IFERROR(INDEX(الطلاب!$C$5:$C$44,MATCH($D485,الطلاب!$A$5:$A$44,0)),"")</f>
        <v>المقرأة الأولى</v>
      </c>
      <c r="C485" s="45" t="str">
        <f>IFERROR(INDEX(الطلاب!$D$5:$D$44,MATCH($D485,الطلاب!$A$5:$A$44,0)),"")</f>
        <v xml:space="preserve">عبدالرحمن بن النعمان </v>
      </c>
      <c r="D485" s="45">
        <v>1</v>
      </c>
      <c r="E485" s="46" t="str">
        <f>IFERROR(INDEX(الطلاب!$B$5:$B$44,MATCH($D485,الطلاب!$A$5:$A$44,0)),"")</f>
        <v>غسان اليحيى</v>
      </c>
      <c r="F485" s="47"/>
      <c r="G485" s="47"/>
      <c r="H485" s="47"/>
      <c r="I485" s="47"/>
      <c r="J485" s="47"/>
      <c r="K485" s="36"/>
      <c r="L485" s="43">
        <f>IF(AND($A485='أفضل 5 طلاب'!$C$3,$B485=الإعدادات!$C$8,$N485=1,ISNUMBER($G485)),$G485*100000+N($H485)*100+N($I485)+(1000-ROW())/10000,0)</f>
        <v>0</v>
      </c>
      <c r="M485" s="43">
        <f>IF(AND($A485='أفضل 5 طلاب'!$C$3,$B485=الإعدادات!$C$9,$N485=1,ISNUMBER($G485)),$G485*100000+N($H485)*100+N($I485)+(1000-ROW())/10000,0)</f>
        <v>0</v>
      </c>
      <c r="N485" s="43">
        <f t="shared" si="21"/>
        <v>0</v>
      </c>
      <c r="O485" s="43" t="str">
        <f t="shared" si="23"/>
        <v/>
      </c>
      <c r="P485" s="43">
        <f t="shared" si="22"/>
        <v>0</v>
      </c>
    </row>
    <row r="486" spans="1:16">
      <c r="A486" s="48">
        <v>13</v>
      </c>
      <c r="B486" s="49" t="str">
        <f>IFERROR(INDEX(الطلاب!$C$5:$C$44,MATCH($D486,الطلاب!$A$5:$A$44,0)),"")</f>
        <v>المقرأة الأولى</v>
      </c>
      <c r="C486" s="49" t="str">
        <f>IFERROR(INDEX(الطلاب!$D$5:$D$44,MATCH($D486,الطلاب!$A$5:$A$44,0)),"")</f>
        <v xml:space="preserve">عبدالرحمن بن النعمان </v>
      </c>
      <c r="D486" s="49">
        <v>2</v>
      </c>
      <c r="E486" s="50" t="str">
        <f>IFERROR(INDEX(الطلاب!$B$5:$B$44,MATCH($D486,الطلاب!$A$5:$A$44,0)),"")</f>
        <v xml:space="preserve">صالح الشريف </v>
      </c>
      <c r="F486" s="40"/>
      <c r="G486" s="40"/>
      <c r="H486" s="40"/>
      <c r="I486" s="40"/>
      <c r="J486" s="40"/>
      <c r="K486" s="36"/>
      <c r="L486" s="43">
        <f>IF(AND($A486='أفضل 5 طلاب'!$C$3,$B486=الإعدادات!$C$8,$N486=1,ISNUMBER($G486)),$G486*100000+N($H486)*100+N($I486)+(1000-ROW())/10000,0)</f>
        <v>0</v>
      </c>
      <c r="M486" s="43">
        <f>IF(AND($A486='أفضل 5 طلاب'!$C$3,$B486=الإعدادات!$C$9,$N486=1,ISNUMBER($G486)),$G486*100000+N($H486)*100+N($I486)+(1000-ROW())/10000,0)</f>
        <v>0</v>
      </c>
      <c r="N486" s="43">
        <f t="shared" si="21"/>
        <v>0</v>
      </c>
      <c r="O486" s="43" t="str">
        <f t="shared" si="23"/>
        <v/>
      </c>
      <c r="P486" s="43">
        <f t="shared" si="22"/>
        <v>0</v>
      </c>
    </row>
    <row r="487" spans="1:16">
      <c r="A487" s="48">
        <v>13</v>
      </c>
      <c r="B487" s="49" t="str">
        <f>IFERROR(INDEX(الطلاب!$C$5:$C$44,MATCH($D487,الطلاب!$A$5:$A$44,0)),"")</f>
        <v>المقرأة الأولى</v>
      </c>
      <c r="C487" s="49" t="str">
        <f>IFERROR(INDEX(الطلاب!$D$5:$D$44,MATCH($D487,الطلاب!$A$5:$A$44,0)),"")</f>
        <v xml:space="preserve">عبدالرحمن بن النعمان </v>
      </c>
      <c r="D487" s="49">
        <v>3</v>
      </c>
      <c r="E487" s="50" t="str">
        <f>IFERROR(INDEX(الطلاب!$B$5:$B$44,MATCH($D487,الطلاب!$A$5:$A$44,0)),"")</f>
        <v xml:space="preserve">فهد المشيقح </v>
      </c>
      <c r="F487" s="40"/>
      <c r="G487" s="40"/>
      <c r="H487" s="40"/>
      <c r="I487" s="40"/>
      <c r="J487" s="40"/>
      <c r="K487" s="36"/>
      <c r="L487" s="43">
        <f>IF(AND($A487='أفضل 5 طلاب'!$C$3,$B487=الإعدادات!$C$8,$N487=1,ISNUMBER($G487)),$G487*100000+N($H487)*100+N($I487)+(1000-ROW())/10000,0)</f>
        <v>0</v>
      </c>
      <c r="M487" s="43">
        <f>IF(AND($A487='أفضل 5 طلاب'!$C$3,$B487=الإعدادات!$C$9,$N487=1,ISNUMBER($G487)),$G487*100000+N($H487)*100+N($I487)+(1000-ROW())/10000,0)</f>
        <v>0</v>
      </c>
      <c r="N487" s="43">
        <f t="shared" si="21"/>
        <v>0</v>
      </c>
      <c r="O487" s="43" t="str">
        <f t="shared" si="23"/>
        <v/>
      </c>
      <c r="P487" s="43">
        <f t="shared" si="22"/>
        <v>0</v>
      </c>
    </row>
    <row r="488" spans="1:16">
      <c r="A488" s="48">
        <v>13</v>
      </c>
      <c r="B488" s="49" t="str">
        <f>IFERROR(INDEX(الطلاب!$C$5:$C$44,MATCH($D488,الطلاب!$A$5:$A$44,0)),"")</f>
        <v>المقرأة الأولى</v>
      </c>
      <c r="C488" s="49" t="str">
        <f>IFERROR(INDEX(الطلاب!$D$5:$D$44,MATCH($D488,الطلاب!$A$5:$A$44,0)),"")</f>
        <v xml:space="preserve">عبدالرحمن بن النعمان </v>
      </c>
      <c r="D488" s="49">
        <v>4</v>
      </c>
      <c r="E488" s="50" t="str">
        <f>IFERROR(INDEX(الطلاب!$B$5:$B$44,MATCH($D488,الطلاب!$A$5:$A$44,0)),"")</f>
        <v>عبدالله الحفير</v>
      </c>
      <c r="F488" s="40"/>
      <c r="G488" s="40"/>
      <c r="H488" s="40"/>
      <c r="I488" s="40"/>
      <c r="J488" s="40"/>
      <c r="K488" s="36"/>
      <c r="L488" s="43">
        <f>IF(AND($A488='أفضل 5 طلاب'!$C$3,$B488=الإعدادات!$C$8,$N488=1,ISNUMBER($G488)),$G488*100000+N($H488)*100+N($I488)+(1000-ROW())/10000,0)</f>
        <v>0</v>
      </c>
      <c r="M488" s="43">
        <f>IF(AND($A488='أفضل 5 طلاب'!$C$3,$B488=الإعدادات!$C$9,$N488=1,ISNUMBER($G488)),$G488*100000+N($H488)*100+N($I488)+(1000-ROW())/10000,0)</f>
        <v>0</v>
      </c>
      <c r="N488" s="43">
        <f t="shared" si="21"/>
        <v>0</v>
      </c>
      <c r="O488" s="43" t="str">
        <f t="shared" si="23"/>
        <v/>
      </c>
      <c r="P488" s="43">
        <f t="shared" si="22"/>
        <v>0</v>
      </c>
    </row>
    <row r="489" spans="1:16">
      <c r="A489" s="48">
        <v>13</v>
      </c>
      <c r="B489" s="49" t="str">
        <f>IFERROR(INDEX(الطلاب!$C$5:$C$44,MATCH($D489,الطلاب!$A$5:$A$44,0)),"")</f>
        <v>المقرأة الأولى</v>
      </c>
      <c r="C489" s="49" t="str">
        <f>IFERROR(INDEX(الطلاب!$D$5:$D$44,MATCH($D489,الطلاب!$A$5:$A$44,0)),"")</f>
        <v xml:space="preserve">عبدالرحمن بن النعمان </v>
      </c>
      <c r="D489" s="49">
        <v>5</v>
      </c>
      <c r="E489" s="50" t="str">
        <f>IFERROR(INDEX(الطلاب!$B$5:$B$44,MATCH($D489,الطلاب!$A$5:$A$44,0)),"")</f>
        <v>زياد الدخيل الله</v>
      </c>
      <c r="F489" s="40"/>
      <c r="G489" s="40"/>
      <c r="H489" s="40"/>
      <c r="I489" s="40"/>
      <c r="J489" s="40"/>
      <c r="K489" s="36"/>
      <c r="L489" s="43">
        <f>IF(AND($A489='أفضل 5 طلاب'!$C$3,$B489=الإعدادات!$C$8,$N489=1,ISNUMBER($G489)),$G489*100000+N($H489)*100+N($I489)+(1000-ROW())/10000,0)</f>
        <v>0</v>
      </c>
      <c r="M489" s="43">
        <f>IF(AND($A489='أفضل 5 طلاب'!$C$3,$B489=الإعدادات!$C$9,$N489=1,ISNUMBER($G489)),$G489*100000+N($H489)*100+N($I489)+(1000-ROW())/10000,0)</f>
        <v>0</v>
      </c>
      <c r="N489" s="43">
        <f t="shared" si="21"/>
        <v>0</v>
      </c>
      <c r="O489" s="43" t="str">
        <f t="shared" si="23"/>
        <v/>
      </c>
      <c r="P489" s="43">
        <f t="shared" si="22"/>
        <v>0</v>
      </c>
    </row>
    <row r="490" spans="1:16">
      <c r="A490" s="48">
        <v>13</v>
      </c>
      <c r="B490" s="49" t="str">
        <f>IFERROR(INDEX(الطلاب!$C$5:$C$44,MATCH($D490,الطلاب!$A$5:$A$44,0)),"")</f>
        <v>المقرأة الأولى</v>
      </c>
      <c r="C490" s="49" t="str">
        <f>IFERROR(INDEX(الطلاب!$D$5:$D$44,MATCH($D490,الطلاب!$A$5:$A$44,0)),"")</f>
        <v xml:space="preserve">ابن رجب </v>
      </c>
      <c r="D490" s="49">
        <v>6</v>
      </c>
      <c r="E490" s="50" t="str">
        <f>IFERROR(INDEX(الطلاب!$B$5:$B$44,MATCH($D490,الطلاب!$A$5:$A$44,0)),"")</f>
        <v xml:space="preserve">عاصم الضبيعي </v>
      </c>
      <c r="F490" s="40"/>
      <c r="G490" s="40"/>
      <c r="H490" s="40"/>
      <c r="I490" s="40"/>
      <c r="J490" s="40"/>
      <c r="K490" s="36"/>
      <c r="L490" s="43">
        <f>IF(AND($A490='أفضل 5 طلاب'!$C$3,$B490=الإعدادات!$C$8,$N490=1,ISNUMBER($G490)),$G490*100000+N($H490)*100+N($I490)+(1000-ROW())/10000,0)</f>
        <v>0</v>
      </c>
      <c r="M490" s="43">
        <f>IF(AND($A490='أفضل 5 طلاب'!$C$3,$B490=الإعدادات!$C$9,$N490=1,ISNUMBER($G490)),$G490*100000+N($H490)*100+N($I490)+(1000-ROW())/10000,0)</f>
        <v>0</v>
      </c>
      <c r="N490" s="43">
        <f t="shared" si="21"/>
        <v>0</v>
      </c>
      <c r="O490" s="43" t="str">
        <f t="shared" si="23"/>
        <v/>
      </c>
      <c r="P490" s="43">
        <f t="shared" si="22"/>
        <v>0</v>
      </c>
    </row>
    <row r="491" spans="1:16">
      <c r="A491" s="48">
        <v>13</v>
      </c>
      <c r="B491" s="49" t="str">
        <f>IFERROR(INDEX(الطلاب!$C$5:$C$44,MATCH($D491,الطلاب!$A$5:$A$44,0)),"")</f>
        <v>المقرأة الأولى</v>
      </c>
      <c r="C491" s="49" t="str">
        <f>IFERROR(INDEX(الطلاب!$D$5:$D$44,MATCH($D491,الطلاب!$A$5:$A$44,0)),"")</f>
        <v xml:space="preserve">ابن رجب </v>
      </c>
      <c r="D491" s="49">
        <v>7</v>
      </c>
      <c r="E491" s="50" t="str">
        <f>IFERROR(INDEX(الطلاب!$B$5:$B$44,MATCH($D491,الطلاب!$A$5:$A$44,0)),"")</f>
        <v>محمد السعوي</v>
      </c>
      <c r="F491" s="40"/>
      <c r="G491" s="40"/>
      <c r="H491" s="40"/>
      <c r="I491" s="40"/>
      <c r="J491" s="40"/>
      <c r="K491" s="36"/>
      <c r="L491" s="43">
        <f>IF(AND($A491='أفضل 5 طلاب'!$C$3,$B491=الإعدادات!$C$8,$N491=1,ISNUMBER($G491)),$G491*100000+N($H491)*100+N($I491)+(1000-ROW())/10000,0)</f>
        <v>0</v>
      </c>
      <c r="M491" s="43">
        <f>IF(AND($A491='أفضل 5 طلاب'!$C$3,$B491=الإعدادات!$C$9,$N491=1,ISNUMBER($G491)),$G491*100000+N($H491)*100+N($I491)+(1000-ROW())/10000,0)</f>
        <v>0</v>
      </c>
      <c r="N491" s="43">
        <f t="shared" si="21"/>
        <v>0</v>
      </c>
      <c r="O491" s="43" t="str">
        <f t="shared" si="23"/>
        <v/>
      </c>
      <c r="P491" s="43">
        <f t="shared" si="22"/>
        <v>0</v>
      </c>
    </row>
    <row r="492" spans="1:16">
      <c r="A492" s="48">
        <v>13</v>
      </c>
      <c r="B492" s="49" t="str">
        <f>IFERROR(INDEX(الطلاب!$C$5:$C$44,MATCH($D492,الطلاب!$A$5:$A$44,0)),"")</f>
        <v>المقرأة الأولى</v>
      </c>
      <c r="C492" s="49" t="str">
        <f>IFERROR(INDEX(الطلاب!$D$5:$D$44,MATCH($D492,الطلاب!$A$5:$A$44,0)),"")</f>
        <v xml:space="preserve">ابن رجب </v>
      </c>
      <c r="D492" s="49">
        <v>8</v>
      </c>
      <c r="E492" s="50" t="str">
        <f>IFERROR(INDEX(الطلاب!$B$5:$B$44,MATCH($D492,الطلاب!$A$5:$A$44,0)),"")</f>
        <v>هشام المخلف</v>
      </c>
      <c r="F492" s="40"/>
      <c r="G492" s="40"/>
      <c r="H492" s="40"/>
      <c r="I492" s="40"/>
      <c r="J492" s="40"/>
      <c r="K492" s="36"/>
      <c r="L492" s="43">
        <f>IF(AND($A492='أفضل 5 طلاب'!$C$3,$B492=الإعدادات!$C$8,$N492=1,ISNUMBER($G492)),$G492*100000+N($H492)*100+N($I492)+(1000-ROW())/10000,0)</f>
        <v>0</v>
      </c>
      <c r="M492" s="43">
        <f>IF(AND($A492='أفضل 5 طلاب'!$C$3,$B492=الإعدادات!$C$9,$N492=1,ISNUMBER($G492)),$G492*100000+N($H492)*100+N($I492)+(1000-ROW())/10000,0)</f>
        <v>0</v>
      </c>
      <c r="N492" s="43">
        <f t="shared" si="21"/>
        <v>0</v>
      </c>
      <c r="O492" s="43" t="str">
        <f t="shared" si="23"/>
        <v/>
      </c>
      <c r="P492" s="43">
        <f t="shared" si="22"/>
        <v>0</v>
      </c>
    </row>
    <row r="493" spans="1:16">
      <c r="A493" s="48">
        <v>13</v>
      </c>
      <c r="B493" s="49" t="str">
        <f>IFERROR(INDEX(الطلاب!$C$5:$C$44,MATCH($D493,الطلاب!$A$5:$A$44,0)),"")</f>
        <v>المقرأة الأولى</v>
      </c>
      <c r="C493" s="49" t="str">
        <f>IFERROR(INDEX(الطلاب!$D$5:$D$44,MATCH($D493,الطلاب!$A$5:$A$44,0)),"")</f>
        <v xml:space="preserve">ابن رجب </v>
      </c>
      <c r="D493" s="49">
        <v>9</v>
      </c>
      <c r="E493" s="50" t="str">
        <f>IFERROR(INDEX(الطلاب!$B$5:$B$44,MATCH($D493,الطلاب!$A$5:$A$44,0)),"")</f>
        <v xml:space="preserve">اسامة السعدون </v>
      </c>
      <c r="F493" s="40"/>
      <c r="G493" s="40"/>
      <c r="H493" s="40"/>
      <c r="I493" s="40"/>
      <c r="J493" s="40"/>
      <c r="K493" s="36"/>
      <c r="L493" s="43">
        <f>IF(AND($A493='أفضل 5 طلاب'!$C$3,$B493=الإعدادات!$C$8,$N493=1,ISNUMBER($G493)),$G493*100000+N($H493)*100+N($I493)+(1000-ROW())/10000,0)</f>
        <v>0</v>
      </c>
      <c r="M493" s="43">
        <f>IF(AND($A493='أفضل 5 طلاب'!$C$3,$B493=الإعدادات!$C$9,$N493=1,ISNUMBER($G493)),$G493*100000+N($H493)*100+N($I493)+(1000-ROW())/10000,0)</f>
        <v>0</v>
      </c>
      <c r="N493" s="43">
        <f t="shared" si="21"/>
        <v>0</v>
      </c>
      <c r="O493" s="43" t="str">
        <f t="shared" si="23"/>
        <v/>
      </c>
      <c r="P493" s="43">
        <f t="shared" si="22"/>
        <v>0</v>
      </c>
    </row>
    <row r="494" spans="1:16">
      <c r="A494" s="48">
        <v>13</v>
      </c>
      <c r="B494" s="49" t="str">
        <f>IFERROR(INDEX(الطلاب!$C$5:$C$44,MATCH($D494,الطلاب!$A$5:$A$44,0)),"")</f>
        <v>المقرأة الأولى</v>
      </c>
      <c r="C494" s="49" t="str">
        <f>IFERROR(INDEX(الطلاب!$D$5:$D$44,MATCH($D494,الطلاب!$A$5:$A$44,0)),"")</f>
        <v xml:space="preserve">حسان بن ثابت </v>
      </c>
      <c r="D494" s="49">
        <v>10</v>
      </c>
      <c r="E494" s="50" t="str">
        <f>IFERROR(INDEX(الطلاب!$B$5:$B$44,MATCH($D494,الطلاب!$A$5:$A$44,0)),"")</f>
        <v xml:space="preserve">محمد الثنيان </v>
      </c>
      <c r="F494" s="40"/>
      <c r="G494" s="40"/>
      <c r="H494" s="40"/>
      <c r="I494" s="40"/>
      <c r="J494" s="40"/>
      <c r="K494" s="36"/>
      <c r="L494" s="43">
        <f>IF(AND($A494='أفضل 5 طلاب'!$C$3,$B494=الإعدادات!$C$8,$N494=1,ISNUMBER($G494)),$G494*100000+N($H494)*100+N($I494)+(1000-ROW())/10000,0)</f>
        <v>0</v>
      </c>
      <c r="M494" s="43">
        <f>IF(AND($A494='أفضل 5 طلاب'!$C$3,$B494=الإعدادات!$C$9,$N494=1,ISNUMBER($G494)),$G494*100000+N($H494)*100+N($I494)+(1000-ROW())/10000,0)</f>
        <v>0</v>
      </c>
      <c r="N494" s="43">
        <f t="shared" si="21"/>
        <v>0</v>
      </c>
      <c r="O494" s="43" t="str">
        <f t="shared" si="23"/>
        <v/>
      </c>
      <c r="P494" s="43">
        <f t="shared" si="22"/>
        <v>0</v>
      </c>
    </row>
    <row r="495" spans="1:16">
      <c r="A495" s="48">
        <v>13</v>
      </c>
      <c r="B495" s="49" t="str">
        <f>IFERROR(INDEX(الطلاب!$C$5:$C$44,MATCH($D495,الطلاب!$A$5:$A$44,0)),"")</f>
        <v>المقرأة الأولى</v>
      </c>
      <c r="C495" s="49" t="str">
        <f>IFERROR(INDEX(الطلاب!$D$5:$D$44,MATCH($D495,الطلاب!$A$5:$A$44,0)),"")</f>
        <v xml:space="preserve">حسان بن ثابت </v>
      </c>
      <c r="D495" s="49">
        <v>11</v>
      </c>
      <c r="E495" s="50" t="str">
        <f>IFERROR(INDEX(الطلاب!$B$5:$B$44,MATCH($D495,الطلاب!$A$5:$A$44,0)),"")</f>
        <v xml:space="preserve">كنان الجريفاني </v>
      </c>
      <c r="F495" s="40"/>
      <c r="G495" s="40"/>
      <c r="H495" s="40"/>
      <c r="I495" s="40"/>
      <c r="J495" s="40"/>
      <c r="K495" s="36"/>
      <c r="L495" s="43">
        <f>IF(AND($A495='أفضل 5 طلاب'!$C$3,$B495=الإعدادات!$C$8,$N495=1,ISNUMBER($G495)),$G495*100000+N($H495)*100+N($I495)+(1000-ROW())/10000,0)</f>
        <v>0</v>
      </c>
      <c r="M495" s="43">
        <f>IF(AND($A495='أفضل 5 طلاب'!$C$3,$B495=الإعدادات!$C$9,$N495=1,ISNUMBER($G495)),$G495*100000+N($H495)*100+N($I495)+(1000-ROW())/10000,0)</f>
        <v>0</v>
      </c>
      <c r="N495" s="43">
        <f t="shared" si="21"/>
        <v>0</v>
      </c>
      <c r="O495" s="43" t="str">
        <f t="shared" si="23"/>
        <v/>
      </c>
      <c r="P495" s="43">
        <f t="shared" si="22"/>
        <v>0</v>
      </c>
    </row>
    <row r="496" spans="1:16">
      <c r="A496" s="48">
        <v>13</v>
      </c>
      <c r="B496" s="49" t="str">
        <f>IFERROR(INDEX(الطلاب!$C$5:$C$44,MATCH($D496,الطلاب!$A$5:$A$44,0)),"")</f>
        <v>المقرأة الأولى</v>
      </c>
      <c r="C496" s="49" t="str">
        <f>IFERROR(INDEX(الطلاب!$D$5:$D$44,MATCH($D496,الطلاب!$A$5:$A$44,0)),"")</f>
        <v xml:space="preserve">حسان بن ثابت </v>
      </c>
      <c r="D496" s="49">
        <v>12</v>
      </c>
      <c r="E496" s="50" t="str">
        <f>IFERROR(INDEX(الطلاب!$B$5:$B$44,MATCH($D496,الطلاب!$A$5:$A$44,0)),"")</f>
        <v xml:space="preserve">عبدالمجيد الربعي </v>
      </c>
      <c r="F496" s="40"/>
      <c r="G496" s="40"/>
      <c r="H496" s="40"/>
      <c r="I496" s="40"/>
      <c r="J496" s="40"/>
      <c r="K496" s="36"/>
      <c r="L496" s="43">
        <f>IF(AND($A496='أفضل 5 طلاب'!$C$3,$B496=الإعدادات!$C$8,$N496=1,ISNUMBER($G496)),$G496*100000+N($H496)*100+N($I496)+(1000-ROW())/10000,0)</f>
        <v>0</v>
      </c>
      <c r="M496" s="43">
        <f>IF(AND($A496='أفضل 5 طلاب'!$C$3,$B496=الإعدادات!$C$9,$N496=1,ISNUMBER($G496)),$G496*100000+N($H496)*100+N($I496)+(1000-ROW())/10000,0)</f>
        <v>0</v>
      </c>
      <c r="N496" s="43">
        <f t="shared" si="21"/>
        <v>0</v>
      </c>
      <c r="O496" s="43" t="str">
        <f t="shared" si="23"/>
        <v/>
      </c>
      <c r="P496" s="43">
        <f t="shared" si="22"/>
        <v>0</v>
      </c>
    </row>
    <row r="497" spans="1:16">
      <c r="A497" s="48">
        <v>13</v>
      </c>
      <c r="B497" s="49" t="str">
        <f>IFERROR(INDEX(الطلاب!$C$5:$C$44,MATCH($D497,الطلاب!$A$5:$A$44,0)),"")</f>
        <v>المقرأة الأولى</v>
      </c>
      <c r="C497" s="49" t="str">
        <f>IFERROR(INDEX(الطلاب!$D$5:$D$44,MATCH($D497,الطلاب!$A$5:$A$44,0)),"")</f>
        <v xml:space="preserve">حسان بن ثابت </v>
      </c>
      <c r="D497" s="49">
        <v>13</v>
      </c>
      <c r="E497" s="50" t="str">
        <f>IFERROR(INDEX(الطلاب!$B$5:$B$44,MATCH($D497,الطلاب!$A$5:$A$44,0)),"")</f>
        <v xml:space="preserve">عبدالله التويجري </v>
      </c>
      <c r="F497" s="40"/>
      <c r="G497" s="40"/>
      <c r="H497" s="40"/>
      <c r="I497" s="40"/>
      <c r="J497" s="40"/>
      <c r="K497" s="36"/>
      <c r="L497" s="43">
        <f>IF(AND($A497='أفضل 5 طلاب'!$C$3,$B497=الإعدادات!$C$8,$N497=1,ISNUMBER($G497)),$G497*100000+N($H497)*100+N($I497)+(1000-ROW())/10000,0)</f>
        <v>0</v>
      </c>
      <c r="M497" s="43">
        <f>IF(AND($A497='أفضل 5 طلاب'!$C$3,$B497=الإعدادات!$C$9,$N497=1,ISNUMBER($G497)),$G497*100000+N($H497)*100+N($I497)+(1000-ROW())/10000,0)</f>
        <v>0</v>
      </c>
      <c r="N497" s="43">
        <f t="shared" si="21"/>
        <v>0</v>
      </c>
      <c r="O497" s="43" t="str">
        <f t="shared" si="23"/>
        <v/>
      </c>
      <c r="P497" s="43">
        <f t="shared" si="22"/>
        <v>0</v>
      </c>
    </row>
    <row r="498" spans="1:16">
      <c r="A498" s="48">
        <v>13</v>
      </c>
      <c r="B498" s="49" t="str">
        <f>IFERROR(INDEX(الطلاب!$C$5:$C$44,MATCH($D498,الطلاب!$A$5:$A$44,0)),"")</f>
        <v>المقرأة الأولى</v>
      </c>
      <c r="C498" s="49" t="str">
        <f>IFERROR(INDEX(الطلاب!$D$5:$D$44,MATCH($D498,الطلاب!$A$5:$A$44,0)),"")</f>
        <v xml:space="preserve">حسان بن ثابت </v>
      </c>
      <c r="D498" s="49">
        <v>14</v>
      </c>
      <c r="E498" s="50" t="str">
        <f>IFERROR(INDEX(الطلاب!$B$5:$B$44,MATCH($D498,الطلاب!$A$5:$A$44,0)),"")</f>
        <v xml:space="preserve">حسام التويجري </v>
      </c>
      <c r="F498" s="40"/>
      <c r="G498" s="40"/>
      <c r="H498" s="40"/>
      <c r="I498" s="40"/>
      <c r="J498" s="40"/>
      <c r="K498" s="36"/>
      <c r="L498" s="43">
        <f>IF(AND($A498='أفضل 5 طلاب'!$C$3,$B498=الإعدادات!$C$8,$N498=1,ISNUMBER($G498)),$G498*100000+N($H498)*100+N($I498)+(1000-ROW())/10000,0)</f>
        <v>0</v>
      </c>
      <c r="M498" s="43">
        <f>IF(AND($A498='أفضل 5 طلاب'!$C$3,$B498=الإعدادات!$C$9,$N498=1,ISNUMBER($G498)),$G498*100000+N($H498)*100+N($I498)+(1000-ROW())/10000,0)</f>
        <v>0</v>
      </c>
      <c r="N498" s="43">
        <f t="shared" si="21"/>
        <v>0</v>
      </c>
      <c r="O498" s="43" t="str">
        <f t="shared" si="23"/>
        <v/>
      </c>
      <c r="P498" s="43">
        <f t="shared" si="22"/>
        <v>0</v>
      </c>
    </row>
    <row r="499" spans="1:16">
      <c r="A499" s="48">
        <v>13</v>
      </c>
      <c r="B499" s="49" t="str">
        <f>IFERROR(INDEX(الطلاب!$C$5:$C$44,MATCH($D499,الطلاب!$A$5:$A$44,0)),"")</f>
        <v>المقرأة الأولى</v>
      </c>
      <c r="C499" s="49" t="str">
        <f>IFERROR(INDEX(الطلاب!$D$5:$D$44,MATCH($D499,الطلاب!$A$5:$A$44,0)),"")</f>
        <v xml:space="preserve">حسان بن ثابت </v>
      </c>
      <c r="D499" s="49">
        <v>15</v>
      </c>
      <c r="E499" s="50" t="str">
        <f>IFERROR(INDEX(الطلاب!$B$5:$B$44,MATCH($D499,الطلاب!$A$5:$A$44,0)),"")</f>
        <v xml:space="preserve">عبدالرحمن البريدي </v>
      </c>
      <c r="F499" s="40"/>
      <c r="G499" s="40"/>
      <c r="H499" s="40"/>
      <c r="I499" s="40"/>
      <c r="J499" s="40"/>
      <c r="K499" s="36"/>
      <c r="L499" s="43">
        <f>IF(AND($A499='أفضل 5 طلاب'!$C$3,$B499=الإعدادات!$C$8,$N499=1,ISNUMBER($G499)),$G499*100000+N($H499)*100+N($I499)+(1000-ROW())/10000,0)</f>
        <v>0</v>
      </c>
      <c r="M499" s="43">
        <f>IF(AND($A499='أفضل 5 طلاب'!$C$3,$B499=الإعدادات!$C$9,$N499=1,ISNUMBER($G499)),$G499*100000+N($H499)*100+N($I499)+(1000-ROW())/10000,0)</f>
        <v>0</v>
      </c>
      <c r="N499" s="43">
        <f t="shared" si="21"/>
        <v>0</v>
      </c>
      <c r="O499" s="43" t="str">
        <f t="shared" si="23"/>
        <v/>
      </c>
      <c r="P499" s="43">
        <f t="shared" si="22"/>
        <v>0</v>
      </c>
    </row>
    <row r="500" spans="1:16">
      <c r="A500" s="48">
        <v>13</v>
      </c>
      <c r="B500" s="49" t="str">
        <f>IFERROR(INDEX(الطلاب!$C$5:$C$44,MATCH($D500,الطلاب!$A$5:$A$44,0)),"")</f>
        <v>المقرأة الأولى</v>
      </c>
      <c r="C500" s="49" t="str">
        <f>IFERROR(INDEX(الطلاب!$D$5:$D$44,MATCH($D500,الطلاب!$A$5:$A$44,0)),"")</f>
        <v xml:space="preserve">حسان بن ثابت </v>
      </c>
      <c r="D500" s="49">
        <v>16</v>
      </c>
      <c r="E500" s="50" t="str">
        <f>IFERROR(INDEX(الطلاب!$B$5:$B$44,MATCH($D500,الطلاب!$A$5:$A$44,0)),"")</f>
        <v>عبدالرحمن بازرعة</v>
      </c>
      <c r="F500" s="40"/>
      <c r="G500" s="40"/>
      <c r="H500" s="40"/>
      <c r="I500" s="40"/>
      <c r="J500" s="40"/>
      <c r="K500" s="36"/>
      <c r="L500" s="43">
        <f>IF(AND($A500='أفضل 5 طلاب'!$C$3,$B500=الإعدادات!$C$8,$N500=1,ISNUMBER($G500)),$G500*100000+N($H500)*100+N($I500)+(1000-ROW())/10000,0)</f>
        <v>0</v>
      </c>
      <c r="M500" s="43">
        <f>IF(AND($A500='أفضل 5 طلاب'!$C$3,$B500=الإعدادات!$C$9,$N500=1,ISNUMBER($G500)),$G500*100000+N($H500)*100+N($I500)+(1000-ROW())/10000,0)</f>
        <v>0</v>
      </c>
      <c r="N500" s="43">
        <f t="shared" si="21"/>
        <v>0</v>
      </c>
      <c r="O500" s="43" t="str">
        <f t="shared" si="23"/>
        <v/>
      </c>
      <c r="P500" s="43">
        <f t="shared" si="22"/>
        <v>0</v>
      </c>
    </row>
    <row r="501" spans="1:16">
      <c r="A501" s="48">
        <v>13</v>
      </c>
      <c r="B501" s="49" t="str">
        <f>IFERROR(INDEX(الطلاب!$C$5:$C$44,MATCH($D501,الطلاب!$A$5:$A$44,0)),"")</f>
        <v>المقرأة الأولى</v>
      </c>
      <c r="C501" s="49" t="str">
        <f>IFERROR(INDEX(الطلاب!$D$5:$D$44,MATCH($D501,الطلاب!$A$5:$A$44,0)),"")</f>
        <v xml:space="preserve">حسان بن ثابت </v>
      </c>
      <c r="D501" s="49">
        <v>17</v>
      </c>
      <c r="E501" s="50" t="str">
        <f>IFERROR(INDEX(الطلاب!$B$5:$B$44,MATCH($D501,الطلاب!$A$5:$A$44,0)),"")</f>
        <v xml:space="preserve">عبدالله الضحيان </v>
      </c>
      <c r="F501" s="40"/>
      <c r="G501" s="40"/>
      <c r="H501" s="40"/>
      <c r="I501" s="40"/>
      <c r="J501" s="40"/>
      <c r="K501" s="36"/>
      <c r="L501" s="43">
        <f>IF(AND($A501='أفضل 5 طلاب'!$C$3,$B501=الإعدادات!$C$8,$N501=1,ISNUMBER($G501)),$G501*100000+N($H501)*100+N($I501)+(1000-ROW())/10000,0)</f>
        <v>0</v>
      </c>
      <c r="M501" s="43">
        <f>IF(AND($A501='أفضل 5 طلاب'!$C$3,$B501=الإعدادات!$C$9,$N501=1,ISNUMBER($G501)),$G501*100000+N($H501)*100+N($I501)+(1000-ROW())/10000,0)</f>
        <v>0</v>
      </c>
      <c r="N501" s="43">
        <f t="shared" si="21"/>
        <v>0</v>
      </c>
      <c r="O501" s="43" t="str">
        <f t="shared" si="23"/>
        <v/>
      </c>
      <c r="P501" s="43">
        <f t="shared" si="22"/>
        <v>0</v>
      </c>
    </row>
    <row r="502" spans="1:16">
      <c r="A502" s="48">
        <v>13</v>
      </c>
      <c r="B502" s="49" t="str">
        <f>IFERROR(INDEX(الطلاب!$C$5:$C$44,MATCH($D502,الطلاب!$A$5:$A$44,0)),"")</f>
        <v>المقرأة الأولى</v>
      </c>
      <c r="C502" s="49" t="str">
        <f>IFERROR(INDEX(الطلاب!$D$5:$D$44,MATCH($D502,الطلاب!$A$5:$A$44,0)),"")</f>
        <v xml:space="preserve">حسان بن ثابت </v>
      </c>
      <c r="D502" s="49">
        <v>18</v>
      </c>
      <c r="E502" s="50" t="str">
        <f>IFERROR(INDEX(الطلاب!$B$5:$B$44,MATCH($D502,الطلاب!$A$5:$A$44,0)),"")</f>
        <v xml:space="preserve">فيصل الدخيل </v>
      </c>
      <c r="F502" s="40"/>
      <c r="G502" s="40"/>
      <c r="H502" s="40"/>
      <c r="I502" s="40"/>
      <c r="J502" s="40"/>
      <c r="K502" s="36"/>
      <c r="L502" s="43">
        <f>IF(AND($A502='أفضل 5 طلاب'!$C$3,$B502=الإعدادات!$C$8,$N502=1,ISNUMBER($G502)),$G502*100000+N($H502)*100+N($I502)+(1000-ROW())/10000,0)</f>
        <v>0</v>
      </c>
      <c r="M502" s="43">
        <f>IF(AND($A502='أفضل 5 طلاب'!$C$3,$B502=الإعدادات!$C$9,$N502=1,ISNUMBER($G502)),$G502*100000+N($H502)*100+N($I502)+(1000-ROW())/10000,0)</f>
        <v>0</v>
      </c>
      <c r="N502" s="43">
        <f t="shared" si="21"/>
        <v>0</v>
      </c>
      <c r="O502" s="43" t="str">
        <f t="shared" si="23"/>
        <v/>
      </c>
      <c r="P502" s="43">
        <f t="shared" si="22"/>
        <v>0</v>
      </c>
    </row>
    <row r="503" spans="1:16">
      <c r="A503" s="48">
        <v>13</v>
      </c>
      <c r="B503" s="49" t="str">
        <f>IFERROR(INDEX(الطلاب!$C$5:$C$44,MATCH($D503,الطلاب!$A$5:$A$44,0)),"")</f>
        <v>المقرأة الأولى</v>
      </c>
      <c r="C503" s="49" t="str">
        <f>IFERROR(INDEX(الطلاب!$D$5:$D$44,MATCH($D503,الطلاب!$A$5:$A$44,0)),"")</f>
        <v xml:space="preserve">حسان بن ثابت </v>
      </c>
      <c r="D503" s="49">
        <v>19</v>
      </c>
      <c r="E503" s="50" t="str">
        <f>IFERROR(INDEX(الطلاب!$B$5:$B$44,MATCH($D503,الطلاب!$A$5:$A$44,0)),"")</f>
        <v xml:space="preserve">سليمان المحيميد </v>
      </c>
      <c r="F503" s="40"/>
      <c r="G503" s="40"/>
      <c r="H503" s="40"/>
      <c r="I503" s="40"/>
      <c r="J503" s="40"/>
      <c r="K503" s="36"/>
      <c r="L503" s="43">
        <f>IF(AND($A503='أفضل 5 طلاب'!$C$3,$B503=الإعدادات!$C$8,$N503=1,ISNUMBER($G503)),$G503*100000+N($H503)*100+N($I503)+(1000-ROW())/10000,0)</f>
        <v>0</v>
      </c>
      <c r="M503" s="43">
        <f>IF(AND($A503='أفضل 5 طلاب'!$C$3,$B503=الإعدادات!$C$9,$N503=1,ISNUMBER($G503)),$G503*100000+N($H503)*100+N($I503)+(1000-ROW())/10000,0)</f>
        <v>0</v>
      </c>
      <c r="N503" s="43">
        <f t="shared" si="21"/>
        <v>0</v>
      </c>
      <c r="O503" s="43" t="str">
        <f t="shared" si="23"/>
        <v/>
      </c>
      <c r="P503" s="43">
        <f t="shared" si="22"/>
        <v>0</v>
      </c>
    </row>
    <row r="504" spans="1:16">
      <c r="A504" s="48">
        <v>13</v>
      </c>
      <c r="B504" s="49" t="str">
        <f>IFERROR(INDEX(الطلاب!$C$5:$C$44,MATCH($D504,الطلاب!$A$5:$A$44,0)),"")</f>
        <v>المقرأة الثانية</v>
      </c>
      <c r="C504" s="49" t="str">
        <f>IFERROR(INDEX(الطلاب!$D$5:$D$44,MATCH($D504,الطلاب!$A$5:$A$44,0)),"")</f>
        <v xml:space="preserve">ابن رجب </v>
      </c>
      <c r="D504" s="49">
        <v>20</v>
      </c>
      <c r="E504" s="50" t="str">
        <f>IFERROR(INDEX(الطلاب!$B$5:$B$44,MATCH($D504,الطلاب!$A$5:$A$44,0)),"")</f>
        <v xml:space="preserve">اصيل التويجري </v>
      </c>
      <c r="F504" s="40"/>
      <c r="G504" s="40"/>
      <c r="H504" s="40"/>
      <c r="I504" s="40"/>
      <c r="J504" s="40"/>
      <c r="K504" s="36"/>
      <c r="L504" s="43">
        <f>IF(AND($A504='أفضل 5 طلاب'!$C$3,$B504=الإعدادات!$C$8,$N504=1,ISNUMBER($G504)),$G504*100000+N($H504)*100+N($I504)+(1000-ROW())/10000,0)</f>
        <v>0</v>
      </c>
      <c r="M504" s="43">
        <f>IF(AND($A504='أفضل 5 طلاب'!$C$3,$B504=الإعدادات!$C$9,$N504=1,ISNUMBER($G504)),$G504*100000+N($H504)*100+N($I504)+(1000-ROW())/10000,0)</f>
        <v>0</v>
      </c>
      <c r="N504" s="43">
        <f t="shared" si="21"/>
        <v>0</v>
      </c>
      <c r="O504" s="43" t="str">
        <f t="shared" si="23"/>
        <v/>
      </c>
      <c r="P504" s="43">
        <f t="shared" si="22"/>
        <v>0</v>
      </c>
    </row>
    <row r="505" spans="1:16">
      <c r="A505" s="48">
        <v>13</v>
      </c>
      <c r="B505" s="49" t="str">
        <f>IFERROR(INDEX(الطلاب!$C$5:$C$44,MATCH($D505,الطلاب!$A$5:$A$44,0)),"")</f>
        <v>المقرأة الثانية</v>
      </c>
      <c r="C505" s="49" t="str">
        <f>IFERROR(INDEX(الطلاب!$D$5:$D$44,MATCH($D505,الطلاب!$A$5:$A$44,0)),"")</f>
        <v xml:space="preserve">ابن رجب </v>
      </c>
      <c r="D505" s="49">
        <v>21</v>
      </c>
      <c r="E505" s="50" t="str">
        <f>IFERROR(INDEX(الطلاب!$B$5:$B$44,MATCH($D505,الطلاب!$A$5:$A$44,0)),"")</f>
        <v xml:space="preserve">جواد الرفيعي </v>
      </c>
      <c r="F505" s="40"/>
      <c r="G505" s="40"/>
      <c r="H505" s="40"/>
      <c r="I505" s="40"/>
      <c r="J505" s="40"/>
      <c r="K505" s="36"/>
      <c r="L505" s="43">
        <f>IF(AND($A505='أفضل 5 طلاب'!$C$3,$B505=الإعدادات!$C$8,$N505=1,ISNUMBER($G505)),$G505*100000+N($H505)*100+N($I505)+(1000-ROW())/10000,0)</f>
        <v>0</v>
      </c>
      <c r="M505" s="43">
        <f>IF(AND($A505='أفضل 5 طلاب'!$C$3,$B505=الإعدادات!$C$9,$N505=1,ISNUMBER($G505)),$G505*100000+N($H505)*100+N($I505)+(1000-ROW())/10000,0)</f>
        <v>0</v>
      </c>
      <c r="N505" s="43">
        <f t="shared" si="21"/>
        <v>0</v>
      </c>
      <c r="O505" s="43" t="str">
        <f t="shared" si="23"/>
        <v/>
      </c>
      <c r="P505" s="43">
        <f t="shared" si="22"/>
        <v>0</v>
      </c>
    </row>
    <row r="506" spans="1:16">
      <c r="A506" s="48">
        <v>13</v>
      </c>
      <c r="B506" s="49" t="str">
        <f>IFERROR(INDEX(الطلاب!$C$5:$C$44,MATCH($D506,الطلاب!$A$5:$A$44,0)),"")</f>
        <v>المقرأة الثانية</v>
      </c>
      <c r="C506" s="49" t="str">
        <f>IFERROR(INDEX(الطلاب!$D$5:$D$44,MATCH($D506,الطلاب!$A$5:$A$44,0)),"")</f>
        <v xml:space="preserve">ابن رجب </v>
      </c>
      <c r="D506" s="49">
        <v>22</v>
      </c>
      <c r="E506" s="50" t="str">
        <f>IFERROR(INDEX(الطلاب!$B$5:$B$44,MATCH($D506,الطلاب!$A$5:$A$44,0)),"")</f>
        <v xml:space="preserve">سفيان السبيعي </v>
      </c>
      <c r="F506" s="40"/>
      <c r="G506" s="40"/>
      <c r="H506" s="40"/>
      <c r="I506" s="40"/>
      <c r="J506" s="40"/>
      <c r="K506" s="36"/>
      <c r="L506" s="43">
        <f>IF(AND($A506='أفضل 5 طلاب'!$C$3,$B506=الإعدادات!$C$8,$N506=1,ISNUMBER($G506)),$G506*100000+N($H506)*100+N($I506)+(1000-ROW())/10000,0)</f>
        <v>0</v>
      </c>
      <c r="M506" s="43">
        <f>IF(AND($A506='أفضل 5 طلاب'!$C$3,$B506=الإعدادات!$C$9,$N506=1,ISNUMBER($G506)),$G506*100000+N($H506)*100+N($I506)+(1000-ROW())/10000,0)</f>
        <v>0</v>
      </c>
      <c r="N506" s="43">
        <f t="shared" si="21"/>
        <v>0</v>
      </c>
      <c r="O506" s="43" t="str">
        <f t="shared" si="23"/>
        <v/>
      </c>
      <c r="P506" s="43">
        <f t="shared" si="22"/>
        <v>0</v>
      </c>
    </row>
    <row r="507" spans="1:16">
      <c r="A507" s="48">
        <v>13</v>
      </c>
      <c r="B507" s="49" t="str">
        <f>IFERROR(INDEX(الطلاب!$C$5:$C$44,MATCH($D507,الطلاب!$A$5:$A$44,0)),"")</f>
        <v>المقرأة الثانية</v>
      </c>
      <c r="C507" s="49" t="str">
        <f>IFERROR(INDEX(الطلاب!$D$5:$D$44,MATCH($D507,الطلاب!$A$5:$A$44,0)),"")</f>
        <v xml:space="preserve">ابن رجب </v>
      </c>
      <c r="D507" s="49">
        <v>23</v>
      </c>
      <c r="E507" s="50" t="str">
        <f>IFERROR(INDEX(الطلاب!$B$5:$B$44,MATCH($D507,الطلاب!$A$5:$A$44,0)),"")</f>
        <v xml:space="preserve">عمار الفضل </v>
      </c>
      <c r="F507" s="40"/>
      <c r="G507" s="40"/>
      <c r="H507" s="40"/>
      <c r="I507" s="40"/>
      <c r="J507" s="40"/>
      <c r="K507" s="36"/>
      <c r="L507" s="43">
        <f>IF(AND($A507='أفضل 5 طلاب'!$C$3,$B507=الإعدادات!$C$8,$N507=1,ISNUMBER($G507)),$G507*100000+N($H507)*100+N($I507)+(1000-ROW())/10000,0)</f>
        <v>0</v>
      </c>
      <c r="M507" s="43">
        <f>IF(AND($A507='أفضل 5 طلاب'!$C$3,$B507=الإعدادات!$C$9,$N507=1,ISNUMBER($G507)),$G507*100000+N($H507)*100+N($I507)+(1000-ROW())/10000,0)</f>
        <v>0</v>
      </c>
      <c r="N507" s="43">
        <f t="shared" si="21"/>
        <v>0</v>
      </c>
      <c r="O507" s="43" t="str">
        <f t="shared" si="23"/>
        <v/>
      </c>
      <c r="P507" s="43">
        <f t="shared" si="22"/>
        <v>0</v>
      </c>
    </row>
    <row r="508" spans="1:16">
      <c r="A508" s="48">
        <v>13</v>
      </c>
      <c r="B508" s="49" t="str">
        <f>IFERROR(INDEX(الطلاب!$C$5:$C$44,MATCH($D508,الطلاب!$A$5:$A$44,0)),"")</f>
        <v>المقرأة الثانية</v>
      </c>
      <c r="C508" s="49" t="str">
        <f>IFERROR(INDEX(الطلاب!$D$5:$D$44,MATCH($D508,الطلاب!$A$5:$A$44,0)),"")</f>
        <v xml:space="preserve">ابن رجب </v>
      </c>
      <c r="D508" s="49">
        <v>24</v>
      </c>
      <c r="E508" s="50" t="str">
        <f>IFERROR(INDEX(الطلاب!$B$5:$B$44,MATCH($D508,الطلاب!$A$5:$A$44,0)),"")</f>
        <v xml:space="preserve">مروان المهوس </v>
      </c>
      <c r="F508" s="40"/>
      <c r="G508" s="40"/>
      <c r="H508" s="40"/>
      <c r="I508" s="40"/>
      <c r="J508" s="40"/>
      <c r="K508" s="36"/>
      <c r="L508" s="43">
        <f>IF(AND($A508='أفضل 5 طلاب'!$C$3,$B508=الإعدادات!$C$8,$N508=1,ISNUMBER($G508)),$G508*100000+N($H508)*100+N($I508)+(1000-ROW())/10000,0)</f>
        <v>0</v>
      </c>
      <c r="M508" s="43">
        <f>IF(AND($A508='أفضل 5 طلاب'!$C$3,$B508=الإعدادات!$C$9,$N508=1,ISNUMBER($G508)),$G508*100000+N($H508)*100+N($I508)+(1000-ROW())/10000,0)</f>
        <v>0</v>
      </c>
      <c r="N508" s="43">
        <f t="shared" si="21"/>
        <v>0</v>
      </c>
      <c r="O508" s="43" t="str">
        <f t="shared" si="23"/>
        <v/>
      </c>
      <c r="P508" s="43">
        <f t="shared" si="22"/>
        <v>0</v>
      </c>
    </row>
    <row r="509" spans="1:16">
      <c r="A509" s="48">
        <v>13</v>
      </c>
      <c r="B509" s="49" t="str">
        <f>IFERROR(INDEX(الطلاب!$C$5:$C$44,MATCH($D509,الطلاب!$A$5:$A$44,0)),"")</f>
        <v>المقرأة الثانية</v>
      </c>
      <c r="C509" s="49" t="str">
        <f>IFERROR(INDEX(الطلاب!$D$5:$D$44,MATCH($D509,الطلاب!$A$5:$A$44,0)),"")</f>
        <v xml:space="preserve">ابن رجب </v>
      </c>
      <c r="D509" s="49">
        <v>25</v>
      </c>
      <c r="E509" s="50" t="str">
        <f>IFERROR(INDEX(الطلاب!$B$5:$B$44,MATCH($D509,الطلاب!$A$5:$A$44,0)),"")</f>
        <v>جهاد الجدعان</v>
      </c>
      <c r="F509" s="40"/>
      <c r="G509" s="40"/>
      <c r="H509" s="40"/>
      <c r="I509" s="40"/>
      <c r="J509" s="40"/>
      <c r="K509" s="36"/>
      <c r="L509" s="43">
        <f>IF(AND($A509='أفضل 5 طلاب'!$C$3,$B509=الإعدادات!$C$8,$N509=1,ISNUMBER($G509)),$G509*100000+N($H509)*100+N($I509)+(1000-ROW())/10000,0)</f>
        <v>0</v>
      </c>
      <c r="M509" s="43">
        <f>IF(AND($A509='أفضل 5 طلاب'!$C$3,$B509=الإعدادات!$C$9,$N509=1,ISNUMBER($G509)),$G509*100000+N($H509)*100+N($I509)+(1000-ROW())/10000,0)</f>
        <v>0</v>
      </c>
      <c r="N509" s="43">
        <f t="shared" si="21"/>
        <v>0</v>
      </c>
      <c r="O509" s="43" t="str">
        <f t="shared" si="23"/>
        <v/>
      </c>
      <c r="P509" s="43">
        <f t="shared" si="22"/>
        <v>0</v>
      </c>
    </row>
    <row r="510" spans="1:16">
      <c r="A510" s="48">
        <v>13</v>
      </c>
      <c r="B510" s="49" t="str">
        <f>IFERROR(INDEX(الطلاب!$C$5:$C$44,MATCH($D510,الطلاب!$A$5:$A$44,0)),"")</f>
        <v>المقرأة الثانية</v>
      </c>
      <c r="C510" s="49" t="str">
        <f>IFERROR(INDEX(الطلاب!$D$5:$D$44,MATCH($D510,الطلاب!$A$5:$A$44,0)),"")</f>
        <v xml:space="preserve">ابن رجب </v>
      </c>
      <c r="D510" s="49">
        <v>26</v>
      </c>
      <c r="E510" s="50" t="str">
        <f>IFERROR(INDEX(الطلاب!$B$5:$B$44,MATCH($D510,الطلاب!$A$5:$A$44,0)),"")</f>
        <v>صلاح مسعد</v>
      </c>
      <c r="F510" s="40"/>
      <c r="G510" s="40"/>
      <c r="H510" s="40"/>
      <c r="I510" s="40"/>
      <c r="J510" s="40"/>
      <c r="K510" s="36"/>
      <c r="L510" s="43">
        <f>IF(AND($A510='أفضل 5 طلاب'!$C$3,$B510=الإعدادات!$C$8,$N510=1,ISNUMBER($G510)),$G510*100000+N($H510)*100+N($I510)+(1000-ROW())/10000,0)</f>
        <v>0</v>
      </c>
      <c r="M510" s="43">
        <f>IF(AND($A510='أفضل 5 طلاب'!$C$3,$B510=الإعدادات!$C$9,$N510=1,ISNUMBER($G510)),$G510*100000+N($H510)*100+N($I510)+(1000-ROW())/10000,0)</f>
        <v>0</v>
      </c>
      <c r="N510" s="43">
        <f t="shared" si="21"/>
        <v>0</v>
      </c>
      <c r="O510" s="43" t="str">
        <f t="shared" si="23"/>
        <v/>
      </c>
      <c r="P510" s="43">
        <f t="shared" si="22"/>
        <v>0</v>
      </c>
    </row>
    <row r="511" spans="1:16">
      <c r="A511" s="48">
        <v>13</v>
      </c>
      <c r="B511" s="49" t="str">
        <f>IFERROR(INDEX(الطلاب!$C$5:$C$44,MATCH($D511,الطلاب!$A$5:$A$44,0)),"")</f>
        <v>المقرأة الثانية</v>
      </c>
      <c r="C511" s="49" t="str">
        <f>IFERROR(INDEX(الطلاب!$D$5:$D$44,MATCH($D511,الطلاب!$A$5:$A$44,0)),"")</f>
        <v xml:space="preserve">ابي بن مالك </v>
      </c>
      <c r="D511" s="49">
        <v>27</v>
      </c>
      <c r="E511" s="50" t="str">
        <f>IFERROR(INDEX(الطلاب!$B$5:$B$44,MATCH($D511,الطلاب!$A$5:$A$44,0)),"")</f>
        <v>سالم بانوير</v>
      </c>
      <c r="F511" s="40"/>
      <c r="G511" s="40"/>
      <c r="H511" s="40"/>
      <c r="I511" s="40"/>
      <c r="J511" s="40"/>
      <c r="K511" s="36"/>
      <c r="L511" s="43">
        <f>IF(AND($A511='أفضل 5 طلاب'!$C$3,$B511=الإعدادات!$C$8,$N511=1,ISNUMBER($G511)),$G511*100000+N($H511)*100+N($I511)+(1000-ROW())/10000,0)</f>
        <v>0</v>
      </c>
      <c r="M511" s="43">
        <f>IF(AND($A511='أفضل 5 طلاب'!$C$3,$B511=الإعدادات!$C$9,$N511=1,ISNUMBER($G511)),$G511*100000+N($H511)*100+N($I511)+(1000-ROW())/10000,0)</f>
        <v>0</v>
      </c>
      <c r="N511" s="43">
        <f t="shared" si="21"/>
        <v>0</v>
      </c>
      <c r="O511" s="43" t="str">
        <f t="shared" si="23"/>
        <v/>
      </c>
      <c r="P511" s="43">
        <f t="shared" si="22"/>
        <v>0</v>
      </c>
    </row>
    <row r="512" spans="1:16">
      <c r="A512" s="48">
        <v>13</v>
      </c>
      <c r="B512" s="49" t="str">
        <f>IFERROR(INDEX(الطلاب!$C$5:$C$44,MATCH($D512,الطلاب!$A$5:$A$44,0)),"")</f>
        <v>المقرأة الثانية</v>
      </c>
      <c r="C512" s="49" t="str">
        <f>IFERROR(INDEX(الطلاب!$D$5:$D$44,MATCH($D512,الطلاب!$A$5:$A$44,0)),"")</f>
        <v xml:space="preserve">ابي بن مالك </v>
      </c>
      <c r="D512" s="49">
        <v>28</v>
      </c>
      <c r="E512" s="50" t="str">
        <f>IFERROR(INDEX(الطلاب!$B$5:$B$44,MATCH($D512,الطلاب!$A$5:$A$44,0)),"")</f>
        <v xml:space="preserve">عبدالعزيز الصقعبي </v>
      </c>
      <c r="F512" s="40"/>
      <c r="G512" s="40"/>
      <c r="H512" s="40"/>
      <c r="I512" s="40"/>
      <c r="J512" s="40"/>
      <c r="K512" s="36"/>
      <c r="L512" s="43">
        <f>IF(AND($A512='أفضل 5 طلاب'!$C$3,$B512=الإعدادات!$C$8,$N512=1,ISNUMBER($G512)),$G512*100000+N($H512)*100+N($I512)+(1000-ROW())/10000,0)</f>
        <v>0</v>
      </c>
      <c r="M512" s="43">
        <f>IF(AND($A512='أفضل 5 طلاب'!$C$3,$B512=الإعدادات!$C$9,$N512=1,ISNUMBER($G512)),$G512*100000+N($H512)*100+N($I512)+(1000-ROW())/10000,0)</f>
        <v>0</v>
      </c>
      <c r="N512" s="43">
        <f t="shared" si="21"/>
        <v>0</v>
      </c>
      <c r="O512" s="43" t="str">
        <f t="shared" si="23"/>
        <v/>
      </c>
      <c r="P512" s="43">
        <f t="shared" si="22"/>
        <v>0</v>
      </c>
    </row>
    <row r="513" spans="1:16">
      <c r="A513" s="48">
        <v>13</v>
      </c>
      <c r="B513" s="49" t="str">
        <f>IFERROR(INDEX(الطلاب!$C$5:$C$44,MATCH($D513,الطلاب!$A$5:$A$44,0)),"")</f>
        <v>المقرأة الثانية</v>
      </c>
      <c r="C513" s="49" t="str">
        <f>IFERROR(INDEX(الطلاب!$D$5:$D$44,MATCH($D513,الطلاب!$A$5:$A$44,0)),"")</f>
        <v xml:space="preserve">ابي بن مالك </v>
      </c>
      <c r="D513" s="49">
        <v>29</v>
      </c>
      <c r="E513" s="50" t="str">
        <f>IFERROR(INDEX(الطلاب!$B$5:$B$44,MATCH($D513,الطلاب!$A$5:$A$44,0)),"")</f>
        <v xml:space="preserve">عبدالله المجيدل </v>
      </c>
      <c r="F513" s="40"/>
      <c r="G513" s="40"/>
      <c r="H513" s="40"/>
      <c r="I513" s="40"/>
      <c r="J513" s="40"/>
      <c r="K513" s="36"/>
      <c r="L513" s="43">
        <f>IF(AND($A513='أفضل 5 طلاب'!$C$3,$B513=الإعدادات!$C$8,$N513=1,ISNUMBER($G513)),$G513*100000+N($H513)*100+N($I513)+(1000-ROW())/10000,0)</f>
        <v>0</v>
      </c>
      <c r="M513" s="43">
        <f>IF(AND($A513='أفضل 5 طلاب'!$C$3,$B513=الإعدادات!$C$9,$N513=1,ISNUMBER($G513)),$G513*100000+N($H513)*100+N($I513)+(1000-ROW())/10000,0)</f>
        <v>0</v>
      </c>
      <c r="N513" s="43">
        <f t="shared" si="21"/>
        <v>0</v>
      </c>
      <c r="O513" s="43" t="str">
        <f t="shared" si="23"/>
        <v/>
      </c>
      <c r="P513" s="43">
        <f t="shared" si="22"/>
        <v>0</v>
      </c>
    </row>
    <row r="514" spans="1:16">
      <c r="A514" s="48">
        <v>13</v>
      </c>
      <c r="B514" s="49" t="str">
        <f>IFERROR(INDEX(الطلاب!$C$5:$C$44,MATCH($D514,الطلاب!$A$5:$A$44,0)),"")</f>
        <v>المقرأة الثانية</v>
      </c>
      <c r="C514" s="49" t="str">
        <f>IFERROR(INDEX(الطلاب!$D$5:$D$44,MATCH($D514,الطلاب!$A$5:$A$44,0)),"")</f>
        <v xml:space="preserve">ابي بن مالك </v>
      </c>
      <c r="D514" s="49">
        <v>30</v>
      </c>
      <c r="E514" s="50" t="str">
        <f>IFERROR(INDEX(الطلاب!$B$5:$B$44,MATCH($D514,الطلاب!$A$5:$A$44,0)),"")</f>
        <v>فواز الشدوخي</v>
      </c>
      <c r="F514" s="40"/>
      <c r="G514" s="40"/>
      <c r="H514" s="40"/>
      <c r="I514" s="40"/>
      <c r="J514" s="40"/>
      <c r="K514" s="36"/>
      <c r="L514" s="43">
        <f>IF(AND($A514='أفضل 5 طلاب'!$C$3,$B514=الإعدادات!$C$8,$N514=1,ISNUMBER($G514)),$G514*100000+N($H514)*100+N($I514)+(1000-ROW())/10000,0)</f>
        <v>0</v>
      </c>
      <c r="M514" s="43">
        <f>IF(AND($A514='أفضل 5 طلاب'!$C$3,$B514=الإعدادات!$C$9,$N514=1,ISNUMBER($G514)),$G514*100000+N($H514)*100+N($I514)+(1000-ROW())/10000,0)</f>
        <v>0</v>
      </c>
      <c r="N514" s="43">
        <f t="shared" si="21"/>
        <v>0</v>
      </c>
      <c r="O514" s="43" t="str">
        <f t="shared" si="23"/>
        <v/>
      </c>
      <c r="P514" s="43">
        <f t="shared" si="22"/>
        <v>0</v>
      </c>
    </row>
    <row r="515" spans="1:16">
      <c r="A515" s="48">
        <v>13</v>
      </c>
      <c r="B515" s="49" t="str">
        <f>IFERROR(INDEX(الطلاب!$C$5:$C$44,MATCH($D515,الطلاب!$A$5:$A$44,0)),"")</f>
        <v>المقرأة الثانية</v>
      </c>
      <c r="C515" s="49" t="str">
        <f>IFERROR(INDEX(الطلاب!$D$5:$D$44,MATCH($D515,الطلاب!$A$5:$A$44,0)),"")</f>
        <v xml:space="preserve">ابي بن مالك </v>
      </c>
      <c r="D515" s="49">
        <v>31</v>
      </c>
      <c r="E515" s="50" t="str">
        <f>IFERROR(INDEX(الطلاب!$B$5:$B$44,MATCH($D515,الطلاب!$A$5:$A$44,0)),"")</f>
        <v>محمد الطامي</v>
      </c>
      <c r="F515" s="40"/>
      <c r="G515" s="40"/>
      <c r="H515" s="40"/>
      <c r="I515" s="40"/>
      <c r="J515" s="40"/>
      <c r="K515" s="36"/>
      <c r="L515" s="43">
        <f>IF(AND($A515='أفضل 5 طلاب'!$C$3,$B515=الإعدادات!$C$8,$N515=1,ISNUMBER($G515)),$G515*100000+N($H515)*100+N($I515)+(1000-ROW())/10000,0)</f>
        <v>0</v>
      </c>
      <c r="M515" s="43">
        <f>IF(AND($A515='أفضل 5 طلاب'!$C$3,$B515=الإعدادات!$C$9,$N515=1,ISNUMBER($G515)),$G515*100000+N($H515)*100+N($I515)+(1000-ROW())/10000,0)</f>
        <v>0</v>
      </c>
      <c r="N515" s="43">
        <f t="shared" si="21"/>
        <v>0</v>
      </c>
      <c r="O515" s="43" t="str">
        <f t="shared" si="23"/>
        <v/>
      </c>
      <c r="P515" s="43">
        <f t="shared" si="22"/>
        <v>0</v>
      </c>
    </row>
    <row r="516" spans="1:16">
      <c r="A516" s="48">
        <v>13</v>
      </c>
      <c r="B516" s="49" t="str">
        <f>IFERROR(INDEX(الطلاب!$C$5:$C$44,MATCH($D516,الطلاب!$A$5:$A$44,0)),"")</f>
        <v>المقرأة الثانية</v>
      </c>
      <c r="C516" s="49" t="str">
        <f>IFERROR(INDEX(الطلاب!$D$5:$D$44,MATCH($D516,الطلاب!$A$5:$A$44,0)),"")</f>
        <v xml:space="preserve">ابي بن مالك </v>
      </c>
      <c r="D516" s="49">
        <v>32</v>
      </c>
      <c r="E516" s="50" t="str">
        <f>IFERROR(INDEX(الطلاب!$B$5:$B$44,MATCH($D516,الطلاب!$A$5:$A$44,0)),"")</f>
        <v xml:space="preserve">مهند الغماس </v>
      </c>
      <c r="F516" s="40"/>
      <c r="G516" s="40"/>
      <c r="H516" s="40"/>
      <c r="I516" s="40"/>
      <c r="J516" s="40"/>
      <c r="K516" s="36"/>
      <c r="L516" s="43">
        <f>IF(AND($A516='أفضل 5 طلاب'!$C$3,$B516=الإعدادات!$C$8,$N516=1,ISNUMBER($G516)),$G516*100000+N($H516)*100+N($I516)+(1000-ROW())/10000,0)</f>
        <v>0</v>
      </c>
      <c r="M516" s="43">
        <f>IF(AND($A516='أفضل 5 طلاب'!$C$3,$B516=الإعدادات!$C$9,$N516=1,ISNUMBER($G516)),$G516*100000+N($H516)*100+N($I516)+(1000-ROW())/10000,0)</f>
        <v>0</v>
      </c>
      <c r="N516" s="43">
        <f t="shared" si="21"/>
        <v>0</v>
      </c>
      <c r="O516" s="43" t="str">
        <f t="shared" si="23"/>
        <v/>
      </c>
      <c r="P516" s="43">
        <f t="shared" si="22"/>
        <v>0</v>
      </c>
    </row>
    <row r="517" spans="1:16">
      <c r="A517" s="48">
        <v>13</v>
      </c>
      <c r="B517" s="49" t="str">
        <f>IFERROR(INDEX(الطلاب!$C$5:$C$44,MATCH($D517,الطلاب!$A$5:$A$44,0)),"")</f>
        <v>المقرأة الثانية</v>
      </c>
      <c r="C517" s="49" t="str">
        <f>IFERROR(INDEX(الطلاب!$D$5:$D$44,MATCH($D517,الطلاب!$A$5:$A$44,0)),"")</f>
        <v xml:space="preserve">ابي بن مالك </v>
      </c>
      <c r="D517" s="49">
        <v>33</v>
      </c>
      <c r="E517" s="50" t="str">
        <f>IFERROR(INDEX(الطلاب!$B$5:$B$44,MATCH($D517,الطلاب!$A$5:$A$44,0)),"")</f>
        <v>يوسف الحربي</v>
      </c>
      <c r="F517" s="40"/>
      <c r="G517" s="40"/>
      <c r="H517" s="40"/>
      <c r="I517" s="40"/>
      <c r="J517" s="40"/>
      <c r="K517" s="36"/>
      <c r="L517" s="43">
        <f>IF(AND($A517='أفضل 5 طلاب'!$C$3,$B517=الإعدادات!$C$8,$N517=1,ISNUMBER($G517)),$G517*100000+N($H517)*100+N($I517)+(1000-ROW())/10000,0)</f>
        <v>0</v>
      </c>
      <c r="M517" s="43">
        <f>IF(AND($A517='أفضل 5 طلاب'!$C$3,$B517=الإعدادات!$C$9,$N517=1,ISNUMBER($G517)),$G517*100000+N($H517)*100+N($I517)+(1000-ROW())/10000,0)</f>
        <v>0</v>
      </c>
      <c r="N517" s="43">
        <f t="shared" ref="N517:N580" si="24">IF(OR($F517="حاضر",$F517="متأخر"),1,0)</f>
        <v>0</v>
      </c>
      <c r="O517" s="43" t="str">
        <f t="shared" si="23"/>
        <v/>
      </c>
      <c r="P517" s="43">
        <f t="shared" ref="P517:P580" si="25">IF(ISNUMBER($O517),1,0)</f>
        <v>0</v>
      </c>
    </row>
    <row r="518" spans="1:16">
      <c r="A518" s="48">
        <v>13</v>
      </c>
      <c r="B518" s="49" t="str">
        <f>IFERROR(INDEX(الطلاب!$C$5:$C$44,MATCH($D518,الطلاب!$A$5:$A$44,0)),"")</f>
        <v>المقرأة الثانية</v>
      </c>
      <c r="C518" s="49" t="str">
        <f>IFERROR(INDEX(الطلاب!$D$5:$D$44,MATCH($D518,الطلاب!$A$5:$A$44,0)),"")</f>
        <v xml:space="preserve">ابي بن مالك </v>
      </c>
      <c r="D518" s="49">
        <v>34</v>
      </c>
      <c r="E518" s="50" t="str">
        <f>IFERROR(INDEX(الطلاب!$B$5:$B$44,MATCH($D518,الطلاب!$A$5:$A$44,0)),"")</f>
        <v xml:space="preserve">عدي الفريح </v>
      </c>
      <c r="F518" s="40"/>
      <c r="G518" s="40"/>
      <c r="H518" s="40"/>
      <c r="I518" s="40"/>
      <c r="J518" s="40"/>
      <c r="K518" s="36"/>
      <c r="L518" s="43">
        <f>IF(AND($A518='أفضل 5 طلاب'!$C$3,$B518=الإعدادات!$C$8,$N518=1,ISNUMBER($G518)),$G518*100000+N($H518)*100+N($I518)+(1000-ROW())/10000,0)</f>
        <v>0</v>
      </c>
      <c r="M518" s="43">
        <f>IF(AND($A518='أفضل 5 طلاب'!$C$3,$B518=الإعدادات!$C$9,$N518=1,ISNUMBER($G518)),$G518*100000+N($H518)*100+N($I518)+(1000-ROW())/10000,0)</f>
        <v>0</v>
      </c>
      <c r="N518" s="43">
        <f t="shared" si="24"/>
        <v>0</v>
      </c>
      <c r="O518" s="43" t="str">
        <f t="shared" ref="O518:O581" si="26">IF(OR($N518=1,$F518="معتذر",$F518="غائب"),IF(ISNUMBER($G518),$G518,IF($N518=1,"",0)),"")</f>
        <v/>
      </c>
      <c r="P518" s="43">
        <f t="shared" si="25"/>
        <v>0</v>
      </c>
    </row>
    <row r="519" spans="1:16">
      <c r="A519" s="48">
        <v>13</v>
      </c>
      <c r="B519" s="49" t="str">
        <f>IFERROR(INDEX(الطلاب!$C$5:$C$44,MATCH($D519,الطلاب!$A$5:$A$44,0)),"")</f>
        <v>المقرأة الثانية</v>
      </c>
      <c r="C519" s="49" t="str">
        <f>IFERROR(INDEX(الطلاب!$D$5:$D$44,MATCH($D519,الطلاب!$A$5:$A$44,0)),"")</f>
        <v xml:space="preserve">ابي بن مالك </v>
      </c>
      <c r="D519" s="49">
        <v>35</v>
      </c>
      <c r="E519" s="50" t="str">
        <f>IFERROR(INDEX(الطلاب!$B$5:$B$44,MATCH($D519,الطلاب!$A$5:$A$44,0)),"")</f>
        <v xml:space="preserve">عبدالله الفايزي </v>
      </c>
      <c r="F519" s="40"/>
      <c r="G519" s="40"/>
      <c r="H519" s="40"/>
      <c r="I519" s="40"/>
      <c r="J519" s="40"/>
      <c r="K519" s="36"/>
      <c r="L519" s="43">
        <f>IF(AND($A519='أفضل 5 طلاب'!$C$3,$B519=الإعدادات!$C$8,$N519=1,ISNUMBER($G519)),$G519*100000+N($H519)*100+N($I519)+(1000-ROW())/10000,0)</f>
        <v>0</v>
      </c>
      <c r="M519" s="43">
        <f>IF(AND($A519='أفضل 5 طلاب'!$C$3,$B519=الإعدادات!$C$9,$N519=1,ISNUMBER($G519)),$G519*100000+N($H519)*100+N($I519)+(1000-ROW())/10000,0)</f>
        <v>0</v>
      </c>
      <c r="N519" s="43">
        <f t="shared" si="24"/>
        <v>0</v>
      </c>
      <c r="O519" s="43" t="str">
        <f t="shared" si="26"/>
        <v/>
      </c>
      <c r="P519" s="43">
        <f t="shared" si="25"/>
        <v>0</v>
      </c>
    </row>
    <row r="520" spans="1:16">
      <c r="A520" s="48">
        <v>13</v>
      </c>
      <c r="B520" s="49">
        <f>IFERROR(INDEX(الطلاب!$C$5:$C$44,MATCH($D520,الطلاب!$A$5:$A$44,0)),"")</f>
        <v>0</v>
      </c>
      <c r="C520" s="49">
        <f>IFERROR(INDEX(الطلاب!$D$5:$D$44,MATCH($D520,الطلاب!$A$5:$A$44,0)),"")</f>
        <v>0</v>
      </c>
      <c r="D520" s="49">
        <v>36</v>
      </c>
      <c r="E520" s="50" t="str">
        <f>IFERROR(INDEX(الطلاب!$B$5:$B$44,MATCH($D520,الطلاب!$A$5:$A$44,0)),"")</f>
        <v xml:space="preserve">عزام الحسن </v>
      </c>
      <c r="F520" s="40"/>
      <c r="G520" s="40"/>
      <c r="H520" s="40"/>
      <c r="I520" s="40"/>
      <c r="J520" s="40"/>
      <c r="K520" s="36"/>
      <c r="L520" s="43">
        <f>IF(AND($A520='أفضل 5 طلاب'!$C$3,$B520=الإعدادات!$C$8,$N520=1,ISNUMBER($G520)),$G520*100000+N($H520)*100+N($I520)+(1000-ROW())/10000,0)</f>
        <v>0</v>
      </c>
      <c r="M520" s="43">
        <f>IF(AND($A520='أفضل 5 طلاب'!$C$3,$B520=الإعدادات!$C$9,$N520=1,ISNUMBER($G520)),$G520*100000+N($H520)*100+N($I520)+(1000-ROW())/10000,0)</f>
        <v>0</v>
      </c>
      <c r="N520" s="43">
        <f t="shared" si="24"/>
        <v>0</v>
      </c>
      <c r="O520" s="43" t="str">
        <f t="shared" si="26"/>
        <v/>
      </c>
      <c r="P520" s="43">
        <f t="shared" si="25"/>
        <v>0</v>
      </c>
    </row>
    <row r="521" spans="1:16">
      <c r="A521" s="48">
        <v>13</v>
      </c>
      <c r="B521" s="49" t="str">
        <f>IFERROR(INDEX(الطلاب!$C$5:$C$44,MATCH($D521,الطلاب!$A$5:$A$44,0)),"")</f>
        <v>المقرأة الأولى</v>
      </c>
      <c r="C521" s="49" t="str">
        <f>IFERROR(INDEX(الطلاب!$D$5:$D$44,MATCH($D521,الطلاب!$A$5:$A$44,0)),"")</f>
        <v xml:space="preserve">عبدالرحمن بن النعمان </v>
      </c>
      <c r="D521" s="49">
        <v>37</v>
      </c>
      <c r="E521" s="50" t="str">
        <f>IFERROR(INDEX(الطلاب!$B$5:$B$44,MATCH($D521,الطلاب!$A$5:$A$44,0)),"")</f>
        <v xml:space="preserve">أسامة السعوي </v>
      </c>
      <c r="F521" s="40"/>
      <c r="G521" s="40"/>
      <c r="H521" s="40"/>
      <c r="I521" s="40"/>
      <c r="J521" s="40"/>
      <c r="K521" s="36"/>
      <c r="L521" s="43">
        <f>IF(AND($A521='أفضل 5 طلاب'!$C$3,$B521=الإعدادات!$C$8,$N521=1,ISNUMBER($G521)),$G521*100000+N($H521)*100+N($I521)+(1000-ROW())/10000,0)</f>
        <v>0</v>
      </c>
      <c r="M521" s="43">
        <f>IF(AND($A521='أفضل 5 طلاب'!$C$3,$B521=الإعدادات!$C$9,$N521=1,ISNUMBER($G521)),$G521*100000+N($H521)*100+N($I521)+(1000-ROW())/10000,0)</f>
        <v>0</v>
      </c>
      <c r="N521" s="43">
        <f t="shared" si="24"/>
        <v>0</v>
      </c>
      <c r="O521" s="43" t="str">
        <f t="shared" si="26"/>
        <v/>
      </c>
      <c r="P521" s="43">
        <f t="shared" si="25"/>
        <v>0</v>
      </c>
    </row>
    <row r="522" spans="1:16">
      <c r="A522" s="48">
        <v>13</v>
      </c>
      <c r="B522" s="49" t="str">
        <f>IFERROR(INDEX(الطلاب!$C$5:$C$44,MATCH($D522,الطلاب!$A$5:$A$44,0)),"")</f>
        <v>المقرأة الأولى</v>
      </c>
      <c r="C522" s="49" t="str">
        <f>IFERROR(INDEX(الطلاب!$D$5:$D$44,MATCH($D522,الطلاب!$A$5:$A$44,0)),"")</f>
        <v xml:space="preserve">حسان بن ثابت </v>
      </c>
      <c r="D522" s="49">
        <v>38</v>
      </c>
      <c r="E522" s="50" t="str">
        <f>IFERROR(INDEX(الطلاب!$B$5:$B$44,MATCH($D522,الطلاب!$A$5:$A$44,0)),"")</f>
        <v xml:space="preserve">عاصم الضالع </v>
      </c>
      <c r="F522" s="40"/>
      <c r="G522" s="40"/>
      <c r="H522" s="40"/>
      <c r="I522" s="40"/>
      <c r="J522" s="40"/>
      <c r="K522" s="36"/>
      <c r="L522" s="43">
        <f>IF(AND($A522='أفضل 5 طلاب'!$C$3,$B522=الإعدادات!$C$8,$N522=1,ISNUMBER($G522)),$G522*100000+N($H522)*100+N($I522)+(1000-ROW())/10000,0)</f>
        <v>0</v>
      </c>
      <c r="M522" s="43">
        <f>IF(AND($A522='أفضل 5 طلاب'!$C$3,$B522=الإعدادات!$C$9,$N522=1,ISNUMBER($G522)),$G522*100000+N($H522)*100+N($I522)+(1000-ROW())/10000,0)</f>
        <v>0</v>
      </c>
      <c r="N522" s="43">
        <f t="shared" si="24"/>
        <v>0</v>
      </c>
      <c r="O522" s="43" t="str">
        <f t="shared" si="26"/>
        <v/>
      </c>
      <c r="P522" s="43">
        <f t="shared" si="25"/>
        <v>0</v>
      </c>
    </row>
    <row r="523" spans="1:16">
      <c r="A523" s="48">
        <v>13</v>
      </c>
      <c r="B523" s="49">
        <f>IFERROR(INDEX(الطلاب!$C$5:$C$44,MATCH($D523,الطلاب!$A$5:$A$44,0)),"")</f>
        <v>0</v>
      </c>
      <c r="C523" s="49">
        <f>IFERROR(INDEX(الطلاب!$D$5:$D$44,MATCH($D523,الطلاب!$A$5:$A$44,0)),"")</f>
        <v>0</v>
      </c>
      <c r="D523" s="49">
        <v>39</v>
      </c>
      <c r="E523" s="50">
        <f>IFERROR(INDEX(الطلاب!$B$5:$B$44,MATCH($D523,الطلاب!$A$5:$A$44,0)),"")</f>
        <v>0</v>
      </c>
      <c r="F523" s="40"/>
      <c r="G523" s="40"/>
      <c r="H523" s="40"/>
      <c r="I523" s="40"/>
      <c r="J523" s="40"/>
      <c r="K523" s="36"/>
      <c r="L523" s="43">
        <f>IF(AND($A523='أفضل 5 طلاب'!$C$3,$B523=الإعدادات!$C$8,$N523=1,ISNUMBER($G523)),$G523*100000+N($H523)*100+N($I523)+(1000-ROW())/10000,0)</f>
        <v>0</v>
      </c>
      <c r="M523" s="43">
        <f>IF(AND($A523='أفضل 5 طلاب'!$C$3,$B523=الإعدادات!$C$9,$N523=1,ISNUMBER($G523)),$G523*100000+N($H523)*100+N($I523)+(1000-ROW())/10000,0)</f>
        <v>0</v>
      </c>
      <c r="N523" s="43">
        <f t="shared" si="24"/>
        <v>0</v>
      </c>
      <c r="O523" s="43" t="str">
        <f t="shared" si="26"/>
        <v/>
      </c>
      <c r="P523" s="43">
        <f t="shared" si="25"/>
        <v>0</v>
      </c>
    </row>
    <row r="524" spans="1:16" ht="15.95" thickBot="1">
      <c r="A524" s="48">
        <v>13</v>
      </c>
      <c r="B524" s="49">
        <f>IFERROR(INDEX(الطلاب!$C$5:$C$44,MATCH($D524,الطلاب!$A$5:$A$44,0)),"")</f>
        <v>0</v>
      </c>
      <c r="C524" s="49">
        <f>IFERROR(INDEX(الطلاب!$D$5:$D$44,MATCH($D524,الطلاب!$A$5:$A$44,0)),"")</f>
        <v>0</v>
      </c>
      <c r="D524" s="49">
        <v>40</v>
      </c>
      <c r="E524" s="50">
        <f>IFERROR(INDEX(الطلاب!$B$5:$B$44,MATCH($D524,الطلاب!$A$5:$A$44,0)),"")</f>
        <v>0</v>
      </c>
      <c r="F524" s="40"/>
      <c r="G524" s="40"/>
      <c r="H524" s="40"/>
      <c r="I524" s="40"/>
      <c r="J524" s="40"/>
      <c r="K524" s="36"/>
      <c r="L524" s="43">
        <f>IF(AND($A524='أفضل 5 طلاب'!$C$3,$B524=الإعدادات!$C$8,$N524=1,ISNUMBER($G524)),$G524*100000+N($H524)*100+N($I524)+(1000-ROW())/10000,0)</f>
        <v>0</v>
      </c>
      <c r="M524" s="43">
        <f>IF(AND($A524='أفضل 5 طلاب'!$C$3,$B524=الإعدادات!$C$9,$N524=1,ISNUMBER($G524)),$G524*100000+N($H524)*100+N($I524)+(1000-ROW())/10000,0)</f>
        <v>0</v>
      </c>
      <c r="N524" s="43">
        <f t="shared" si="24"/>
        <v>0</v>
      </c>
      <c r="O524" s="43" t="str">
        <f t="shared" si="26"/>
        <v/>
      </c>
      <c r="P524" s="43">
        <f t="shared" si="25"/>
        <v>0</v>
      </c>
    </row>
    <row r="525" spans="1:16">
      <c r="A525" s="52">
        <v>14</v>
      </c>
      <c r="B525" s="54" t="str">
        <f>IFERROR(INDEX(الطلاب!$C$5:$C$44,MATCH($D525,الطلاب!$A$5:$A$44,0)),"")</f>
        <v>المقرأة الأولى</v>
      </c>
      <c r="C525" s="54" t="str">
        <f>IFERROR(INDEX(الطلاب!$D$5:$D$44,MATCH($D525,الطلاب!$A$5:$A$44,0)),"")</f>
        <v xml:space="preserve">عبدالرحمن بن النعمان </v>
      </c>
      <c r="D525" s="54">
        <v>1</v>
      </c>
      <c r="E525" s="56" t="str">
        <f>IFERROR(INDEX(الطلاب!$B$5:$B$44,MATCH($D525,الطلاب!$A$5:$A$44,0)),"")</f>
        <v>غسان اليحيى</v>
      </c>
      <c r="F525" s="47"/>
      <c r="G525" s="47"/>
      <c r="H525" s="47"/>
      <c r="I525" s="47"/>
      <c r="J525" s="47"/>
      <c r="K525" s="36"/>
      <c r="L525" s="43">
        <f>IF(AND($A525='أفضل 5 طلاب'!$C$3,$B525=الإعدادات!$C$8,$N525=1,ISNUMBER($G525)),$G525*100000+N($H525)*100+N($I525)+(1000-ROW())/10000,0)</f>
        <v>0</v>
      </c>
      <c r="M525" s="43">
        <f>IF(AND($A525='أفضل 5 طلاب'!$C$3,$B525=الإعدادات!$C$9,$N525=1,ISNUMBER($G525)),$G525*100000+N($H525)*100+N($I525)+(1000-ROW())/10000,0)</f>
        <v>0</v>
      </c>
      <c r="N525" s="43">
        <f t="shared" si="24"/>
        <v>0</v>
      </c>
      <c r="O525" s="43" t="str">
        <f t="shared" si="26"/>
        <v/>
      </c>
      <c r="P525" s="43">
        <f t="shared" si="25"/>
        <v>0</v>
      </c>
    </row>
    <row r="526" spans="1:16">
      <c r="A526" s="58">
        <v>14</v>
      </c>
      <c r="B526" s="59" t="str">
        <f>IFERROR(INDEX(الطلاب!$C$5:$C$44,MATCH($D526,الطلاب!$A$5:$A$44,0)),"")</f>
        <v>المقرأة الأولى</v>
      </c>
      <c r="C526" s="59" t="str">
        <f>IFERROR(INDEX(الطلاب!$D$5:$D$44,MATCH($D526,الطلاب!$A$5:$A$44,0)),"")</f>
        <v xml:space="preserve">عبدالرحمن بن النعمان </v>
      </c>
      <c r="D526" s="59">
        <v>2</v>
      </c>
      <c r="E526" s="60" t="str">
        <f>IFERROR(INDEX(الطلاب!$B$5:$B$44,MATCH($D526,الطلاب!$A$5:$A$44,0)),"")</f>
        <v xml:space="preserve">صالح الشريف </v>
      </c>
      <c r="F526" s="40"/>
      <c r="G526" s="40"/>
      <c r="H526" s="40"/>
      <c r="I526" s="40"/>
      <c r="J526" s="40"/>
      <c r="K526" s="36"/>
      <c r="L526" s="43">
        <f>IF(AND($A526='أفضل 5 طلاب'!$C$3,$B526=الإعدادات!$C$8,$N526=1,ISNUMBER($G526)),$G526*100000+N($H526)*100+N($I526)+(1000-ROW())/10000,0)</f>
        <v>0</v>
      </c>
      <c r="M526" s="43">
        <f>IF(AND($A526='أفضل 5 طلاب'!$C$3,$B526=الإعدادات!$C$9,$N526=1,ISNUMBER($G526)),$G526*100000+N($H526)*100+N($I526)+(1000-ROW())/10000,0)</f>
        <v>0</v>
      </c>
      <c r="N526" s="43">
        <f t="shared" si="24"/>
        <v>0</v>
      </c>
      <c r="O526" s="43" t="str">
        <f t="shared" si="26"/>
        <v/>
      </c>
      <c r="P526" s="43">
        <f t="shared" si="25"/>
        <v>0</v>
      </c>
    </row>
    <row r="527" spans="1:16">
      <c r="A527" s="58">
        <v>14</v>
      </c>
      <c r="B527" s="59" t="str">
        <f>IFERROR(INDEX(الطلاب!$C$5:$C$44,MATCH($D527,الطلاب!$A$5:$A$44,0)),"")</f>
        <v>المقرأة الأولى</v>
      </c>
      <c r="C527" s="59" t="str">
        <f>IFERROR(INDEX(الطلاب!$D$5:$D$44,MATCH($D527,الطلاب!$A$5:$A$44,0)),"")</f>
        <v xml:space="preserve">عبدالرحمن بن النعمان </v>
      </c>
      <c r="D527" s="59">
        <v>3</v>
      </c>
      <c r="E527" s="60" t="str">
        <f>IFERROR(INDEX(الطلاب!$B$5:$B$44,MATCH($D527,الطلاب!$A$5:$A$44,0)),"")</f>
        <v xml:space="preserve">فهد المشيقح </v>
      </c>
      <c r="F527" s="40"/>
      <c r="G527" s="40"/>
      <c r="H527" s="40"/>
      <c r="I527" s="40"/>
      <c r="J527" s="40"/>
      <c r="K527" s="36"/>
      <c r="L527" s="43">
        <f>IF(AND($A527='أفضل 5 طلاب'!$C$3,$B527=الإعدادات!$C$8,$N527=1,ISNUMBER($G527)),$G527*100000+N($H527)*100+N($I527)+(1000-ROW())/10000,0)</f>
        <v>0</v>
      </c>
      <c r="M527" s="43">
        <f>IF(AND($A527='أفضل 5 طلاب'!$C$3,$B527=الإعدادات!$C$9,$N527=1,ISNUMBER($G527)),$G527*100000+N($H527)*100+N($I527)+(1000-ROW())/10000,0)</f>
        <v>0</v>
      </c>
      <c r="N527" s="43">
        <f t="shared" si="24"/>
        <v>0</v>
      </c>
      <c r="O527" s="43" t="str">
        <f t="shared" si="26"/>
        <v/>
      </c>
      <c r="P527" s="43">
        <f t="shared" si="25"/>
        <v>0</v>
      </c>
    </row>
    <row r="528" spans="1:16">
      <c r="A528" s="58">
        <v>14</v>
      </c>
      <c r="B528" s="59" t="str">
        <f>IFERROR(INDEX(الطلاب!$C$5:$C$44,MATCH($D528,الطلاب!$A$5:$A$44,0)),"")</f>
        <v>المقرأة الأولى</v>
      </c>
      <c r="C528" s="59" t="str">
        <f>IFERROR(INDEX(الطلاب!$D$5:$D$44,MATCH($D528,الطلاب!$A$5:$A$44,0)),"")</f>
        <v xml:space="preserve">عبدالرحمن بن النعمان </v>
      </c>
      <c r="D528" s="59">
        <v>4</v>
      </c>
      <c r="E528" s="60" t="str">
        <f>IFERROR(INDEX(الطلاب!$B$5:$B$44,MATCH($D528,الطلاب!$A$5:$A$44,0)),"")</f>
        <v>عبدالله الحفير</v>
      </c>
      <c r="F528" s="40"/>
      <c r="G528" s="40"/>
      <c r="H528" s="40"/>
      <c r="I528" s="40"/>
      <c r="J528" s="40"/>
      <c r="K528" s="36"/>
      <c r="L528" s="43">
        <f>IF(AND($A528='أفضل 5 طلاب'!$C$3,$B528=الإعدادات!$C$8,$N528=1,ISNUMBER($G528)),$G528*100000+N($H528)*100+N($I528)+(1000-ROW())/10000,0)</f>
        <v>0</v>
      </c>
      <c r="M528" s="43">
        <f>IF(AND($A528='أفضل 5 طلاب'!$C$3,$B528=الإعدادات!$C$9,$N528=1,ISNUMBER($G528)),$G528*100000+N($H528)*100+N($I528)+(1000-ROW())/10000,0)</f>
        <v>0</v>
      </c>
      <c r="N528" s="43">
        <f t="shared" si="24"/>
        <v>0</v>
      </c>
      <c r="O528" s="43" t="str">
        <f t="shared" si="26"/>
        <v/>
      </c>
      <c r="P528" s="43">
        <f t="shared" si="25"/>
        <v>0</v>
      </c>
    </row>
    <row r="529" spans="1:16">
      <c r="A529" s="58">
        <v>14</v>
      </c>
      <c r="B529" s="59" t="str">
        <f>IFERROR(INDEX(الطلاب!$C$5:$C$44,MATCH($D529,الطلاب!$A$5:$A$44,0)),"")</f>
        <v>المقرأة الأولى</v>
      </c>
      <c r="C529" s="59" t="str">
        <f>IFERROR(INDEX(الطلاب!$D$5:$D$44,MATCH($D529,الطلاب!$A$5:$A$44,0)),"")</f>
        <v xml:space="preserve">عبدالرحمن بن النعمان </v>
      </c>
      <c r="D529" s="59">
        <v>5</v>
      </c>
      <c r="E529" s="60" t="str">
        <f>IFERROR(INDEX(الطلاب!$B$5:$B$44,MATCH($D529,الطلاب!$A$5:$A$44,0)),"")</f>
        <v>زياد الدخيل الله</v>
      </c>
      <c r="F529" s="40"/>
      <c r="G529" s="40"/>
      <c r="H529" s="40"/>
      <c r="I529" s="40"/>
      <c r="J529" s="40"/>
      <c r="K529" s="36"/>
      <c r="L529" s="43">
        <f>IF(AND($A529='أفضل 5 طلاب'!$C$3,$B529=الإعدادات!$C$8,$N529=1,ISNUMBER($G529)),$G529*100000+N($H529)*100+N($I529)+(1000-ROW())/10000,0)</f>
        <v>0</v>
      </c>
      <c r="M529" s="43">
        <f>IF(AND($A529='أفضل 5 طلاب'!$C$3,$B529=الإعدادات!$C$9,$N529=1,ISNUMBER($G529)),$G529*100000+N($H529)*100+N($I529)+(1000-ROW())/10000,0)</f>
        <v>0</v>
      </c>
      <c r="N529" s="43">
        <f t="shared" si="24"/>
        <v>0</v>
      </c>
      <c r="O529" s="43" t="str">
        <f t="shared" si="26"/>
        <v/>
      </c>
      <c r="P529" s="43">
        <f t="shared" si="25"/>
        <v>0</v>
      </c>
    </row>
    <row r="530" spans="1:16">
      <c r="A530" s="58">
        <v>14</v>
      </c>
      <c r="B530" s="59" t="str">
        <f>IFERROR(INDEX(الطلاب!$C$5:$C$44,MATCH($D530,الطلاب!$A$5:$A$44,0)),"")</f>
        <v>المقرأة الأولى</v>
      </c>
      <c r="C530" s="59" t="str">
        <f>IFERROR(INDEX(الطلاب!$D$5:$D$44,MATCH($D530,الطلاب!$A$5:$A$44,0)),"")</f>
        <v xml:space="preserve">ابن رجب </v>
      </c>
      <c r="D530" s="59">
        <v>6</v>
      </c>
      <c r="E530" s="60" t="str">
        <f>IFERROR(INDEX(الطلاب!$B$5:$B$44,MATCH($D530,الطلاب!$A$5:$A$44,0)),"")</f>
        <v xml:space="preserve">عاصم الضبيعي </v>
      </c>
      <c r="F530" s="40"/>
      <c r="G530" s="40"/>
      <c r="H530" s="40"/>
      <c r="I530" s="40"/>
      <c r="J530" s="40"/>
      <c r="K530" s="36"/>
      <c r="L530" s="43">
        <f>IF(AND($A530='أفضل 5 طلاب'!$C$3,$B530=الإعدادات!$C$8,$N530=1,ISNUMBER($G530)),$G530*100000+N($H530)*100+N($I530)+(1000-ROW())/10000,0)</f>
        <v>0</v>
      </c>
      <c r="M530" s="43">
        <f>IF(AND($A530='أفضل 5 طلاب'!$C$3,$B530=الإعدادات!$C$9,$N530=1,ISNUMBER($G530)),$G530*100000+N($H530)*100+N($I530)+(1000-ROW())/10000,0)</f>
        <v>0</v>
      </c>
      <c r="N530" s="43">
        <f t="shared" si="24"/>
        <v>0</v>
      </c>
      <c r="O530" s="43" t="str">
        <f t="shared" si="26"/>
        <v/>
      </c>
      <c r="P530" s="43">
        <f t="shared" si="25"/>
        <v>0</v>
      </c>
    </row>
    <row r="531" spans="1:16">
      <c r="A531" s="58">
        <v>14</v>
      </c>
      <c r="B531" s="59" t="str">
        <f>IFERROR(INDEX(الطلاب!$C$5:$C$44,MATCH($D531,الطلاب!$A$5:$A$44,0)),"")</f>
        <v>المقرأة الأولى</v>
      </c>
      <c r="C531" s="59" t="str">
        <f>IFERROR(INDEX(الطلاب!$D$5:$D$44,MATCH($D531,الطلاب!$A$5:$A$44,0)),"")</f>
        <v xml:space="preserve">ابن رجب </v>
      </c>
      <c r="D531" s="59">
        <v>7</v>
      </c>
      <c r="E531" s="60" t="str">
        <f>IFERROR(INDEX(الطلاب!$B$5:$B$44,MATCH($D531,الطلاب!$A$5:$A$44,0)),"")</f>
        <v>محمد السعوي</v>
      </c>
      <c r="F531" s="40"/>
      <c r="G531" s="40"/>
      <c r="H531" s="40"/>
      <c r="I531" s="40"/>
      <c r="J531" s="40"/>
      <c r="K531" s="36"/>
      <c r="L531" s="43">
        <f>IF(AND($A531='أفضل 5 طلاب'!$C$3,$B531=الإعدادات!$C$8,$N531=1,ISNUMBER($G531)),$G531*100000+N($H531)*100+N($I531)+(1000-ROW())/10000,0)</f>
        <v>0</v>
      </c>
      <c r="M531" s="43">
        <f>IF(AND($A531='أفضل 5 طلاب'!$C$3,$B531=الإعدادات!$C$9,$N531=1,ISNUMBER($G531)),$G531*100000+N($H531)*100+N($I531)+(1000-ROW())/10000,0)</f>
        <v>0</v>
      </c>
      <c r="N531" s="43">
        <f t="shared" si="24"/>
        <v>0</v>
      </c>
      <c r="O531" s="43" t="str">
        <f t="shared" si="26"/>
        <v/>
      </c>
      <c r="P531" s="43">
        <f t="shared" si="25"/>
        <v>0</v>
      </c>
    </row>
    <row r="532" spans="1:16">
      <c r="A532" s="58">
        <v>14</v>
      </c>
      <c r="B532" s="59" t="str">
        <f>IFERROR(INDEX(الطلاب!$C$5:$C$44,MATCH($D532,الطلاب!$A$5:$A$44,0)),"")</f>
        <v>المقرأة الأولى</v>
      </c>
      <c r="C532" s="59" t="str">
        <f>IFERROR(INDEX(الطلاب!$D$5:$D$44,MATCH($D532,الطلاب!$A$5:$A$44,0)),"")</f>
        <v xml:space="preserve">ابن رجب </v>
      </c>
      <c r="D532" s="59">
        <v>8</v>
      </c>
      <c r="E532" s="60" t="str">
        <f>IFERROR(INDEX(الطلاب!$B$5:$B$44,MATCH($D532,الطلاب!$A$5:$A$44,0)),"")</f>
        <v>هشام المخلف</v>
      </c>
      <c r="F532" s="40"/>
      <c r="G532" s="40"/>
      <c r="H532" s="40"/>
      <c r="I532" s="40"/>
      <c r="J532" s="40"/>
      <c r="K532" s="36"/>
      <c r="L532" s="43">
        <f>IF(AND($A532='أفضل 5 طلاب'!$C$3,$B532=الإعدادات!$C$8,$N532=1,ISNUMBER($G532)),$G532*100000+N($H532)*100+N($I532)+(1000-ROW())/10000,0)</f>
        <v>0</v>
      </c>
      <c r="M532" s="43">
        <f>IF(AND($A532='أفضل 5 طلاب'!$C$3,$B532=الإعدادات!$C$9,$N532=1,ISNUMBER($G532)),$G532*100000+N($H532)*100+N($I532)+(1000-ROW())/10000,0)</f>
        <v>0</v>
      </c>
      <c r="N532" s="43">
        <f t="shared" si="24"/>
        <v>0</v>
      </c>
      <c r="O532" s="43" t="str">
        <f t="shared" si="26"/>
        <v/>
      </c>
      <c r="P532" s="43">
        <f t="shared" si="25"/>
        <v>0</v>
      </c>
    </row>
    <row r="533" spans="1:16">
      <c r="A533" s="58">
        <v>14</v>
      </c>
      <c r="B533" s="59" t="str">
        <f>IFERROR(INDEX(الطلاب!$C$5:$C$44,MATCH($D533,الطلاب!$A$5:$A$44,0)),"")</f>
        <v>المقرأة الأولى</v>
      </c>
      <c r="C533" s="59" t="str">
        <f>IFERROR(INDEX(الطلاب!$D$5:$D$44,MATCH($D533,الطلاب!$A$5:$A$44,0)),"")</f>
        <v xml:space="preserve">ابن رجب </v>
      </c>
      <c r="D533" s="59">
        <v>9</v>
      </c>
      <c r="E533" s="60" t="str">
        <f>IFERROR(INDEX(الطلاب!$B$5:$B$44,MATCH($D533,الطلاب!$A$5:$A$44,0)),"")</f>
        <v xml:space="preserve">اسامة السعدون </v>
      </c>
      <c r="F533" s="40"/>
      <c r="G533" s="40"/>
      <c r="H533" s="40"/>
      <c r="I533" s="40"/>
      <c r="J533" s="40"/>
      <c r="K533" s="36"/>
      <c r="L533" s="43">
        <f>IF(AND($A533='أفضل 5 طلاب'!$C$3,$B533=الإعدادات!$C$8,$N533=1,ISNUMBER($G533)),$G533*100000+N($H533)*100+N($I533)+(1000-ROW())/10000,0)</f>
        <v>0</v>
      </c>
      <c r="M533" s="43">
        <f>IF(AND($A533='أفضل 5 طلاب'!$C$3,$B533=الإعدادات!$C$9,$N533=1,ISNUMBER($G533)),$G533*100000+N($H533)*100+N($I533)+(1000-ROW())/10000,0)</f>
        <v>0</v>
      </c>
      <c r="N533" s="43">
        <f t="shared" si="24"/>
        <v>0</v>
      </c>
      <c r="O533" s="43" t="str">
        <f t="shared" si="26"/>
        <v/>
      </c>
      <c r="P533" s="43">
        <f t="shared" si="25"/>
        <v>0</v>
      </c>
    </row>
    <row r="534" spans="1:16">
      <c r="A534" s="58">
        <v>14</v>
      </c>
      <c r="B534" s="59" t="str">
        <f>IFERROR(INDEX(الطلاب!$C$5:$C$44,MATCH($D534,الطلاب!$A$5:$A$44,0)),"")</f>
        <v>المقرأة الأولى</v>
      </c>
      <c r="C534" s="59" t="str">
        <f>IFERROR(INDEX(الطلاب!$D$5:$D$44,MATCH($D534,الطلاب!$A$5:$A$44,0)),"")</f>
        <v xml:space="preserve">حسان بن ثابت </v>
      </c>
      <c r="D534" s="59">
        <v>10</v>
      </c>
      <c r="E534" s="60" t="str">
        <f>IFERROR(INDEX(الطلاب!$B$5:$B$44,MATCH($D534,الطلاب!$A$5:$A$44,0)),"")</f>
        <v xml:space="preserve">محمد الثنيان </v>
      </c>
      <c r="F534" s="40"/>
      <c r="G534" s="40"/>
      <c r="H534" s="40"/>
      <c r="I534" s="40"/>
      <c r="J534" s="40"/>
      <c r="K534" s="36"/>
      <c r="L534" s="43">
        <f>IF(AND($A534='أفضل 5 طلاب'!$C$3,$B534=الإعدادات!$C$8,$N534=1,ISNUMBER($G534)),$G534*100000+N($H534)*100+N($I534)+(1000-ROW())/10000,0)</f>
        <v>0</v>
      </c>
      <c r="M534" s="43">
        <f>IF(AND($A534='أفضل 5 طلاب'!$C$3,$B534=الإعدادات!$C$9,$N534=1,ISNUMBER($G534)),$G534*100000+N($H534)*100+N($I534)+(1000-ROW())/10000,0)</f>
        <v>0</v>
      </c>
      <c r="N534" s="43">
        <f t="shared" si="24"/>
        <v>0</v>
      </c>
      <c r="O534" s="43" t="str">
        <f t="shared" si="26"/>
        <v/>
      </c>
      <c r="P534" s="43">
        <f t="shared" si="25"/>
        <v>0</v>
      </c>
    </row>
    <row r="535" spans="1:16">
      <c r="A535" s="58">
        <v>14</v>
      </c>
      <c r="B535" s="59" t="str">
        <f>IFERROR(INDEX(الطلاب!$C$5:$C$44,MATCH($D535,الطلاب!$A$5:$A$44,0)),"")</f>
        <v>المقرأة الأولى</v>
      </c>
      <c r="C535" s="59" t="str">
        <f>IFERROR(INDEX(الطلاب!$D$5:$D$44,MATCH($D535,الطلاب!$A$5:$A$44,0)),"")</f>
        <v xml:space="preserve">حسان بن ثابت </v>
      </c>
      <c r="D535" s="59">
        <v>11</v>
      </c>
      <c r="E535" s="60" t="str">
        <f>IFERROR(INDEX(الطلاب!$B$5:$B$44,MATCH($D535,الطلاب!$A$5:$A$44,0)),"")</f>
        <v xml:space="preserve">كنان الجريفاني </v>
      </c>
      <c r="F535" s="40"/>
      <c r="G535" s="40"/>
      <c r="H535" s="40"/>
      <c r="I535" s="40"/>
      <c r="J535" s="40"/>
      <c r="K535" s="36"/>
      <c r="L535" s="43">
        <f>IF(AND($A535='أفضل 5 طلاب'!$C$3,$B535=الإعدادات!$C$8,$N535=1,ISNUMBER($G535)),$G535*100000+N($H535)*100+N($I535)+(1000-ROW())/10000,0)</f>
        <v>0</v>
      </c>
      <c r="M535" s="43">
        <f>IF(AND($A535='أفضل 5 طلاب'!$C$3,$B535=الإعدادات!$C$9,$N535=1,ISNUMBER($G535)),$G535*100000+N($H535)*100+N($I535)+(1000-ROW())/10000,0)</f>
        <v>0</v>
      </c>
      <c r="N535" s="43">
        <f t="shared" si="24"/>
        <v>0</v>
      </c>
      <c r="O535" s="43" t="str">
        <f t="shared" si="26"/>
        <v/>
      </c>
      <c r="P535" s="43">
        <f t="shared" si="25"/>
        <v>0</v>
      </c>
    </row>
    <row r="536" spans="1:16">
      <c r="A536" s="58">
        <v>14</v>
      </c>
      <c r="B536" s="59" t="str">
        <f>IFERROR(INDEX(الطلاب!$C$5:$C$44,MATCH($D536,الطلاب!$A$5:$A$44,0)),"")</f>
        <v>المقرأة الأولى</v>
      </c>
      <c r="C536" s="59" t="str">
        <f>IFERROR(INDEX(الطلاب!$D$5:$D$44,MATCH($D536,الطلاب!$A$5:$A$44,0)),"")</f>
        <v xml:space="preserve">حسان بن ثابت </v>
      </c>
      <c r="D536" s="59">
        <v>12</v>
      </c>
      <c r="E536" s="60" t="str">
        <f>IFERROR(INDEX(الطلاب!$B$5:$B$44,MATCH($D536,الطلاب!$A$5:$A$44,0)),"")</f>
        <v xml:space="preserve">عبدالمجيد الربعي </v>
      </c>
      <c r="F536" s="40"/>
      <c r="G536" s="40"/>
      <c r="H536" s="40"/>
      <c r="I536" s="40"/>
      <c r="J536" s="40"/>
      <c r="K536" s="36"/>
      <c r="L536" s="43">
        <f>IF(AND($A536='أفضل 5 طلاب'!$C$3,$B536=الإعدادات!$C$8,$N536=1,ISNUMBER($G536)),$G536*100000+N($H536)*100+N($I536)+(1000-ROW())/10000,0)</f>
        <v>0</v>
      </c>
      <c r="M536" s="43">
        <f>IF(AND($A536='أفضل 5 طلاب'!$C$3,$B536=الإعدادات!$C$9,$N536=1,ISNUMBER($G536)),$G536*100000+N($H536)*100+N($I536)+(1000-ROW())/10000,0)</f>
        <v>0</v>
      </c>
      <c r="N536" s="43">
        <f t="shared" si="24"/>
        <v>0</v>
      </c>
      <c r="O536" s="43" t="str">
        <f t="shared" si="26"/>
        <v/>
      </c>
      <c r="P536" s="43">
        <f t="shared" si="25"/>
        <v>0</v>
      </c>
    </row>
    <row r="537" spans="1:16">
      <c r="A537" s="58">
        <v>14</v>
      </c>
      <c r="B537" s="59" t="str">
        <f>IFERROR(INDEX(الطلاب!$C$5:$C$44,MATCH($D537,الطلاب!$A$5:$A$44,0)),"")</f>
        <v>المقرأة الأولى</v>
      </c>
      <c r="C537" s="59" t="str">
        <f>IFERROR(INDEX(الطلاب!$D$5:$D$44,MATCH($D537,الطلاب!$A$5:$A$44,0)),"")</f>
        <v xml:space="preserve">حسان بن ثابت </v>
      </c>
      <c r="D537" s="59">
        <v>13</v>
      </c>
      <c r="E537" s="60" t="str">
        <f>IFERROR(INDEX(الطلاب!$B$5:$B$44,MATCH($D537,الطلاب!$A$5:$A$44,0)),"")</f>
        <v xml:space="preserve">عبدالله التويجري </v>
      </c>
      <c r="F537" s="40"/>
      <c r="G537" s="40"/>
      <c r="H537" s="40"/>
      <c r="I537" s="40"/>
      <c r="J537" s="40"/>
      <c r="K537" s="36"/>
      <c r="L537" s="43">
        <f>IF(AND($A537='أفضل 5 طلاب'!$C$3,$B537=الإعدادات!$C$8,$N537=1,ISNUMBER($G537)),$G537*100000+N($H537)*100+N($I537)+(1000-ROW())/10000,0)</f>
        <v>0</v>
      </c>
      <c r="M537" s="43">
        <f>IF(AND($A537='أفضل 5 طلاب'!$C$3,$B537=الإعدادات!$C$9,$N537=1,ISNUMBER($G537)),$G537*100000+N($H537)*100+N($I537)+(1000-ROW())/10000,0)</f>
        <v>0</v>
      </c>
      <c r="N537" s="43">
        <f t="shared" si="24"/>
        <v>0</v>
      </c>
      <c r="O537" s="43" t="str">
        <f t="shared" si="26"/>
        <v/>
      </c>
      <c r="P537" s="43">
        <f t="shared" si="25"/>
        <v>0</v>
      </c>
    </row>
    <row r="538" spans="1:16">
      <c r="A538" s="58">
        <v>14</v>
      </c>
      <c r="B538" s="59" t="str">
        <f>IFERROR(INDEX(الطلاب!$C$5:$C$44,MATCH($D538,الطلاب!$A$5:$A$44,0)),"")</f>
        <v>المقرأة الأولى</v>
      </c>
      <c r="C538" s="59" t="str">
        <f>IFERROR(INDEX(الطلاب!$D$5:$D$44,MATCH($D538,الطلاب!$A$5:$A$44,0)),"")</f>
        <v xml:space="preserve">حسان بن ثابت </v>
      </c>
      <c r="D538" s="59">
        <v>14</v>
      </c>
      <c r="E538" s="60" t="str">
        <f>IFERROR(INDEX(الطلاب!$B$5:$B$44,MATCH($D538,الطلاب!$A$5:$A$44,0)),"")</f>
        <v xml:space="preserve">حسام التويجري </v>
      </c>
      <c r="F538" s="40"/>
      <c r="G538" s="40"/>
      <c r="H538" s="40"/>
      <c r="I538" s="40"/>
      <c r="J538" s="40"/>
      <c r="K538" s="36"/>
      <c r="L538" s="43">
        <f>IF(AND($A538='أفضل 5 طلاب'!$C$3,$B538=الإعدادات!$C$8,$N538=1,ISNUMBER($G538)),$G538*100000+N($H538)*100+N($I538)+(1000-ROW())/10000,0)</f>
        <v>0</v>
      </c>
      <c r="M538" s="43">
        <f>IF(AND($A538='أفضل 5 طلاب'!$C$3,$B538=الإعدادات!$C$9,$N538=1,ISNUMBER($G538)),$G538*100000+N($H538)*100+N($I538)+(1000-ROW())/10000,0)</f>
        <v>0</v>
      </c>
      <c r="N538" s="43">
        <f t="shared" si="24"/>
        <v>0</v>
      </c>
      <c r="O538" s="43" t="str">
        <f t="shared" si="26"/>
        <v/>
      </c>
      <c r="P538" s="43">
        <f t="shared" si="25"/>
        <v>0</v>
      </c>
    </row>
    <row r="539" spans="1:16">
      <c r="A539" s="58">
        <v>14</v>
      </c>
      <c r="B539" s="59" t="str">
        <f>IFERROR(INDEX(الطلاب!$C$5:$C$44,MATCH($D539,الطلاب!$A$5:$A$44,0)),"")</f>
        <v>المقرأة الأولى</v>
      </c>
      <c r="C539" s="59" t="str">
        <f>IFERROR(INDEX(الطلاب!$D$5:$D$44,MATCH($D539,الطلاب!$A$5:$A$44,0)),"")</f>
        <v xml:space="preserve">حسان بن ثابت </v>
      </c>
      <c r="D539" s="59">
        <v>15</v>
      </c>
      <c r="E539" s="60" t="str">
        <f>IFERROR(INDEX(الطلاب!$B$5:$B$44,MATCH($D539,الطلاب!$A$5:$A$44,0)),"")</f>
        <v xml:space="preserve">عبدالرحمن البريدي </v>
      </c>
      <c r="F539" s="40"/>
      <c r="G539" s="40"/>
      <c r="H539" s="40"/>
      <c r="I539" s="40"/>
      <c r="J539" s="40"/>
      <c r="K539" s="36"/>
      <c r="L539" s="43">
        <f>IF(AND($A539='أفضل 5 طلاب'!$C$3,$B539=الإعدادات!$C$8,$N539=1,ISNUMBER($G539)),$G539*100000+N($H539)*100+N($I539)+(1000-ROW())/10000,0)</f>
        <v>0</v>
      </c>
      <c r="M539" s="43">
        <f>IF(AND($A539='أفضل 5 طلاب'!$C$3,$B539=الإعدادات!$C$9,$N539=1,ISNUMBER($G539)),$G539*100000+N($H539)*100+N($I539)+(1000-ROW())/10000,0)</f>
        <v>0</v>
      </c>
      <c r="N539" s="43">
        <f t="shared" si="24"/>
        <v>0</v>
      </c>
      <c r="O539" s="43" t="str">
        <f t="shared" si="26"/>
        <v/>
      </c>
      <c r="P539" s="43">
        <f t="shared" si="25"/>
        <v>0</v>
      </c>
    </row>
    <row r="540" spans="1:16">
      <c r="A540" s="58">
        <v>14</v>
      </c>
      <c r="B540" s="59" t="str">
        <f>IFERROR(INDEX(الطلاب!$C$5:$C$44,MATCH($D540,الطلاب!$A$5:$A$44,0)),"")</f>
        <v>المقرأة الأولى</v>
      </c>
      <c r="C540" s="59" t="str">
        <f>IFERROR(INDEX(الطلاب!$D$5:$D$44,MATCH($D540,الطلاب!$A$5:$A$44,0)),"")</f>
        <v xml:space="preserve">حسان بن ثابت </v>
      </c>
      <c r="D540" s="59">
        <v>16</v>
      </c>
      <c r="E540" s="60" t="str">
        <f>IFERROR(INDEX(الطلاب!$B$5:$B$44,MATCH($D540,الطلاب!$A$5:$A$44,0)),"")</f>
        <v>عبدالرحمن بازرعة</v>
      </c>
      <c r="F540" s="40"/>
      <c r="G540" s="40"/>
      <c r="H540" s="40"/>
      <c r="I540" s="40"/>
      <c r="J540" s="40"/>
      <c r="K540" s="36"/>
      <c r="L540" s="43">
        <f>IF(AND($A540='أفضل 5 طلاب'!$C$3,$B540=الإعدادات!$C$8,$N540=1,ISNUMBER($G540)),$G540*100000+N($H540)*100+N($I540)+(1000-ROW())/10000,0)</f>
        <v>0</v>
      </c>
      <c r="M540" s="43">
        <f>IF(AND($A540='أفضل 5 طلاب'!$C$3,$B540=الإعدادات!$C$9,$N540=1,ISNUMBER($G540)),$G540*100000+N($H540)*100+N($I540)+(1000-ROW())/10000,0)</f>
        <v>0</v>
      </c>
      <c r="N540" s="43">
        <f t="shared" si="24"/>
        <v>0</v>
      </c>
      <c r="O540" s="43" t="str">
        <f t="shared" si="26"/>
        <v/>
      </c>
      <c r="P540" s="43">
        <f t="shared" si="25"/>
        <v>0</v>
      </c>
    </row>
    <row r="541" spans="1:16">
      <c r="A541" s="58">
        <v>14</v>
      </c>
      <c r="B541" s="59" t="str">
        <f>IFERROR(INDEX(الطلاب!$C$5:$C$44,MATCH($D541,الطلاب!$A$5:$A$44,0)),"")</f>
        <v>المقرأة الأولى</v>
      </c>
      <c r="C541" s="59" t="str">
        <f>IFERROR(INDEX(الطلاب!$D$5:$D$44,MATCH($D541,الطلاب!$A$5:$A$44,0)),"")</f>
        <v xml:space="preserve">حسان بن ثابت </v>
      </c>
      <c r="D541" s="59">
        <v>17</v>
      </c>
      <c r="E541" s="60" t="str">
        <f>IFERROR(INDEX(الطلاب!$B$5:$B$44,MATCH($D541,الطلاب!$A$5:$A$44,0)),"")</f>
        <v xml:space="preserve">عبدالله الضحيان </v>
      </c>
      <c r="F541" s="40"/>
      <c r="G541" s="40"/>
      <c r="H541" s="40"/>
      <c r="I541" s="40"/>
      <c r="J541" s="40"/>
      <c r="K541" s="36"/>
      <c r="L541" s="43">
        <f>IF(AND($A541='أفضل 5 طلاب'!$C$3,$B541=الإعدادات!$C$8,$N541=1,ISNUMBER($G541)),$G541*100000+N($H541)*100+N($I541)+(1000-ROW())/10000,0)</f>
        <v>0</v>
      </c>
      <c r="M541" s="43">
        <f>IF(AND($A541='أفضل 5 طلاب'!$C$3,$B541=الإعدادات!$C$9,$N541=1,ISNUMBER($G541)),$G541*100000+N($H541)*100+N($I541)+(1000-ROW())/10000,0)</f>
        <v>0</v>
      </c>
      <c r="N541" s="43">
        <f t="shared" si="24"/>
        <v>0</v>
      </c>
      <c r="O541" s="43" t="str">
        <f t="shared" si="26"/>
        <v/>
      </c>
      <c r="P541" s="43">
        <f t="shared" si="25"/>
        <v>0</v>
      </c>
    </row>
    <row r="542" spans="1:16">
      <c r="A542" s="58">
        <v>14</v>
      </c>
      <c r="B542" s="59" t="str">
        <f>IFERROR(INDEX(الطلاب!$C$5:$C$44,MATCH($D542,الطلاب!$A$5:$A$44,0)),"")</f>
        <v>المقرأة الأولى</v>
      </c>
      <c r="C542" s="59" t="str">
        <f>IFERROR(INDEX(الطلاب!$D$5:$D$44,MATCH($D542,الطلاب!$A$5:$A$44,0)),"")</f>
        <v xml:space="preserve">حسان بن ثابت </v>
      </c>
      <c r="D542" s="59">
        <v>18</v>
      </c>
      <c r="E542" s="60" t="str">
        <f>IFERROR(INDEX(الطلاب!$B$5:$B$44,MATCH($D542,الطلاب!$A$5:$A$44,0)),"")</f>
        <v xml:space="preserve">فيصل الدخيل </v>
      </c>
      <c r="F542" s="40"/>
      <c r="G542" s="40"/>
      <c r="H542" s="40"/>
      <c r="I542" s="40"/>
      <c r="J542" s="40"/>
      <c r="K542" s="36"/>
      <c r="L542" s="43">
        <f>IF(AND($A542='أفضل 5 طلاب'!$C$3,$B542=الإعدادات!$C$8,$N542=1,ISNUMBER($G542)),$G542*100000+N($H542)*100+N($I542)+(1000-ROW())/10000,0)</f>
        <v>0</v>
      </c>
      <c r="M542" s="43">
        <f>IF(AND($A542='أفضل 5 طلاب'!$C$3,$B542=الإعدادات!$C$9,$N542=1,ISNUMBER($G542)),$G542*100000+N($H542)*100+N($I542)+(1000-ROW())/10000,0)</f>
        <v>0</v>
      </c>
      <c r="N542" s="43">
        <f t="shared" si="24"/>
        <v>0</v>
      </c>
      <c r="O542" s="43" t="str">
        <f t="shared" si="26"/>
        <v/>
      </c>
      <c r="P542" s="43">
        <f t="shared" si="25"/>
        <v>0</v>
      </c>
    </row>
    <row r="543" spans="1:16">
      <c r="A543" s="58">
        <v>14</v>
      </c>
      <c r="B543" s="59" t="str">
        <f>IFERROR(INDEX(الطلاب!$C$5:$C$44,MATCH($D543,الطلاب!$A$5:$A$44,0)),"")</f>
        <v>المقرأة الأولى</v>
      </c>
      <c r="C543" s="59" t="str">
        <f>IFERROR(INDEX(الطلاب!$D$5:$D$44,MATCH($D543,الطلاب!$A$5:$A$44,0)),"")</f>
        <v xml:space="preserve">حسان بن ثابت </v>
      </c>
      <c r="D543" s="59">
        <v>19</v>
      </c>
      <c r="E543" s="60" t="str">
        <f>IFERROR(INDEX(الطلاب!$B$5:$B$44,MATCH($D543,الطلاب!$A$5:$A$44,0)),"")</f>
        <v xml:space="preserve">سليمان المحيميد </v>
      </c>
      <c r="F543" s="40"/>
      <c r="G543" s="40"/>
      <c r="H543" s="40"/>
      <c r="I543" s="40"/>
      <c r="J543" s="40"/>
      <c r="K543" s="36"/>
      <c r="L543" s="43">
        <f>IF(AND($A543='أفضل 5 طلاب'!$C$3,$B543=الإعدادات!$C$8,$N543=1,ISNUMBER($G543)),$G543*100000+N($H543)*100+N($I543)+(1000-ROW())/10000,0)</f>
        <v>0</v>
      </c>
      <c r="M543" s="43">
        <f>IF(AND($A543='أفضل 5 طلاب'!$C$3,$B543=الإعدادات!$C$9,$N543=1,ISNUMBER($G543)),$G543*100000+N($H543)*100+N($I543)+(1000-ROW())/10000,0)</f>
        <v>0</v>
      </c>
      <c r="N543" s="43">
        <f t="shared" si="24"/>
        <v>0</v>
      </c>
      <c r="O543" s="43" t="str">
        <f t="shared" si="26"/>
        <v/>
      </c>
      <c r="P543" s="43">
        <f t="shared" si="25"/>
        <v>0</v>
      </c>
    </row>
    <row r="544" spans="1:16">
      <c r="A544" s="58">
        <v>14</v>
      </c>
      <c r="B544" s="59" t="str">
        <f>IFERROR(INDEX(الطلاب!$C$5:$C$44,MATCH($D544,الطلاب!$A$5:$A$44,0)),"")</f>
        <v>المقرأة الثانية</v>
      </c>
      <c r="C544" s="59" t="str">
        <f>IFERROR(INDEX(الطلاب!$D$5:$D$44,MATCH($D544,الطلاب!$A$5:$A$44,0)),"")</f>
        <v xml:space="preserve">ابن رجب </v>
      </c>
      <c r="D544" s="59">
        <v>20</v>
      </c>
      <c r="E544" s="60" t="str">
        <f>IFERROR(INDEX(الطلاب!$B$5:$B$44,MATCH($D544,الطلاب!$A$5:$A$44,0)),"")</f>
        <v xml:space="preserve">اصيل التويجري </v>
      </c>
      <c r="F544" s="40"/>
      <c r="G544" s="40"/>
      <c r="H544" s="40"/>
      <c r="I544" s="40"/>
      <c r="J544" s="40"/>
      <c r="K544" s="36"/>
      <c r="L544" s="43">
        <f>IF(AND($A544='أفضل 5 طلاب'!$C$3,$B544=الإعدادات!$C$8,$N544=1,ISNUMBER($G544)),$G544*100000+N($H544)*100+N($I544)+(1000-ROW())/10000,0)</f>
        <v>0</v>
      </c>
      <c r="M544" s="43">
        <f>IF(AND($A544='أفضل 5 طلاب'!$C$3,$B544=الإعدادات!$C$9,$N544=1,ISNUMBER($G544)),$G544*100000+N($H544)*100+N($I544)+(1000-ROW())/10000,0)</f>
        <v>0</v>
      </c>
      <c r="N544" s="43">
        <f t="shared" si="24"/>
        <v>0</v>
      </c>
      <c r="O544" s="43" t="str">
        <f t="shared" si="26"/>
        <v/>
      </c>
      <c r="P544" s="43">
        <f t="shared" si="25"/>
        <v>0</v>
      </c>
    </row>
    <row r="545" spans="1:16">
      <c r="A545" s="58">
        <v>14</v>
      </c>
      <c r="B545" s="59" t="str">
        <f>IFERROR(INDEX(الطلاب!$C$5:$C$44,MATCH($D545,الطلاب!$A$5:$A$44,0)),"")</f>
        <v>المقرأة الثانية</v>
      </c>
      <c r="C545" s="59" t="str">
        <f>IFERROR(INDEX(الطلاب!$D$5:$D$44,MATCH($D545,الطلاب!$A$5:$A$44,0)),"")</f>
        <v xml:space="preserve">ابن رجب </v>
      </c>
      <c r="D545" s="59">
        <v>21</v>
      </c>
      <c r="E545" s="60" t="str">
        <f>IFERROR(INDEX(الطلاب!$B$5:$B$44,MATCH($D545,الطلاب!$A$5:$A$44,0)),"")</f>
        <v xml:space="preserve">جواد الرفيعي </v>
      </c>
      <c r="F545" s="40"/>
      <c r="G545" s="40"/>
      <c r="H545" s="40"/>
      <c r="I545" s="40"/>
      <c r="J545" s="40"/>
      <c r="K545" s="36"/>
      <c r="L545" s="43">
        <f>IF(AND($A545='أفضل 5 طلاب'!$C$3,$B545=الإعدادات!$C$8,$N545=1,ISNUMBER($G545)),$G545*100000+N($H545)*100+N($I545)+(1000-ROW())/10000,0)</f>
        <v>0</v>
      </c>
      <c r="M545" s="43">
        <f>IF(AND($A545='أفضل 5 طلاب'!$C$3,$B545=الإعدادات!$C$9,$N545=1,ISNUMBER($G545)),$G545*100000+N($H545)*100+N($I545)+(1000-ROW())/10000,0)</f>
        <v>0</v>
      </c>
      <c r="N545" s="43">
        <f t="shared" si="24"/>
        <v>0</v>
      </c>
      <c r="O545" s="43" t="str">
        <f t="shared" si="26"/>
        <v/>
      </c>
      <c r="P545" s="43">
        <f t="shared" si="25"/>
        <v>0</v>
      </c>
    </row>
    <row r="546" spans="1:16">
      <c r="A546" s="58">
        <v>14</v>
      </c>
      <c r="B546" s="59" t="str">
        <f>IFERROR(INDEX(الطلاب!$C$5:$C$44,MATCH($D546,الطلاب!$A$5:$A$44,0)),"")</f>
        <v>المقرأة الثانية</v>
      </c>
      <c r="C546" s="59" t="str">
        <f>IFERROR(INDEX(الطلاب!$D$5:$D$44,MATCH($D546,الطلاب!$A$5:$A$44,0)),"")</f>
        <v xml:space="preserve">ابن رجب </v>
      </c>
      <c r="D546" s="59">
        <v>22</v>
      </c>
      <c r="E546" s="60" t="str">
        <f>IFERROR(INDEX(الطلاب!$B$5:$B$44,MATCH($D546,الطلاب!$A$5:$A$44,0)),"")</f>
        <v xml:space="preserve">سفيان السبيعي </v>
      </c>
      <c r="F546" s="40"/>
      <c r="G546" s="40"/>
      <c r="H546" s="40"/>
      <c r="I546" s="40"/>
      <c r="J546" s="40"/>
      <c r="K546" s="36"/>
      <c r="L546" s="43">
        <f>IF(AND($A546='أفضل 5 طلاب'!$C$3,$B546=الإعدادات!$C$8,$N546=1,ISNUMBER($G546)),$G546*100000+N($H546)*100+N($I546)+(1000-ROW())/10000,0)</f>
        <v>0</v>
      </c>
      <c r="M546" s="43">
        <f>IF(AND($A546='أفضل 5 طلاب'!$C$3,$B546=الإعدادات!$C$9,$N546=1,ISNUMBER($G546)),$G546*100000+N($H546)*100+N($I546)+(1000-ROW())/10000,0)</f>
        <v>0</v>
      </c>
      <c r="N546" s="43">
        <f t="shared" si="24"/>
        <v>0</v>
      </c>
      <c r="O546" s="43" t="str">
        <f t="shared" si="26"/>
        <v/>
      </c>
      <c r="P546" s="43">
        <f t="shared" si="25"/>
        <v>0</v>
      </c>
    </row>
    <row r="547" spans="1:16">
      <c r="A547" s="58">
        <v>14</v>
      </c>
      <c r="B547" s="59" t="str">
        <f>IFERROR(INDEX(الطلاب!$C$5:$C$44,MATCH($D547,الطلاب!$A$5:$A$44,0)),"")</f>
        <v>المقرأة الثانية</v>
      </c>
      <c r="C547" s="59" t="str">
        <f>IFERROR(INDEX(الطلاب!$D$5:$D$44,MATCH($D547,الطلاب!$A$5:$A$44,0)),"")</f>
        <v xml:space="preserve">ابن رجب </v>
      </c>
      <c r="D547" s="59">
        <v>23</v>
      </c>
      <c r="E547" s="60" t="str">
        <f>IFERROR(INDEX(الطلاب!$B$5:$B$44,MATCH($D547,الطلاب!$A$5:$A$44,0)),"")</f>
        <v xml:space="preserve">عمار الفضل </v>
      </c>
      <c r="F547" s="40"/>
      <c r="G547" s="40"/>
      <c r="H547" s="40"/>
      <c r="I547" s="40"/>
      <c r="J547" s="40"/>
      <c r="K547" s="36"/>
      <c r="L547" s="43">
        <f>IF(AND($A547='أفضل 5 طلاب'!$C$3,$B547=الإعدادات!$C$8,$N547=1,ISNUMBER($G547)),$G547*100000+N($H547)*100+N($I547)+(1000-ROW())/10000,0)</f>
        <v>0</v>
      </c>
      <c r="M547" s="43">
        <f>IF(AND($A547='أفضل 5 طلاب'!$C$3,$B547=الإعدادات!$C$9,$N547=1,ISNUMBER($G547)),$G547*100000+N($H547)*100+N($I547)+(1000-ROW())/10000,0)</f>
        <v>0</v>
      </c>
      <c r="N547" s="43">
        <f t="shared" si="24"/>
        <v>0</v>
      </c>
      <c r="O547" s="43" t="str">
        <f t="shared" si="26"/>
        <v/>
      </c>
      <c r="P547" s="43">
        <f t="shared" si="25"/>
        <v>0</v>
      </c>
    </row>
    <row r="548" spans="1:16">
      <c r="A548" s="58">
        <v>14</v>
      </c>
      <c r="B548" s="59" t="str">
        <f>IFERROR(INDEX(الطلاب!$C$5:$C$44,MATCH($D548,الطلاب!$A$5:$A$44,0)),"")</f>
        <v>المقرأة الثانية</v>
      </c>
      <c r="C548" s="59" t="str">
        <f>IFERROR(INDEX(الطلاب!$D$5:$D$44,MATCH($D548,الطلاب!$A$5:$A$44,0)),"")</f>
        <v xml:space="preserve">ابن رجب </v>
      </c>
      <c r="D548" s="59">
        <v>24</v>
      </c>
      <c r="E548" s="60" t="str">
        <f>IFERROR(INDEX(الطلاب!$B$5:$B$44,MATCH($D548,الطلاب!$A$5:$A$44,0)),"")</f>
        <v xml:space="preserve">مروان المهوس </v>
      </c>
      <c r="F548" s="40"/>
      <c r="G548" s="40"/>
      <c r="H548" s="40"/>
      <c r="I548" s="40"/>
      <c r="J548" s="40"/>
      <c r="K548" s="36"/>
      <c r="L548" s="43">
        <f>IF(AND($A548='أفضل 5 طلاب'!$C$3,$B548=الإعدادات!$C$8,$N548=1,ISNUMBER($G548)),$G548*100000+N($H548)*100+N($I548)+(1000-ROW())/10000,0)</f>
        <v>0</v>
      </c>
      <c r="M548" s="43">
        <f>IF(AND($A548='أفضل 5 طلاب'!$C$3,$B548=الإعدادات!$C$9,$N548=1,ISNUMBER($G548)),$G548*100000+N($H548)*100+N($I548)+(1000-ROW())/10000,0)</f>
        <v>0</v>
      </c>
      <c r="N548" s="43">
        <f t="shared" si="24"/>
        <v>0</v>
      </c>
      <c r="O548" s="43" t="str">
        <f t="shared" si="26"/>
        <v/>
      </c>
      <c r="P548" s="43">
        <f t="shared" si="25"/>
        <v>0</v>
      </c>
    </row>
    <row r="549" spans="1:16">
      <c r="A549" s="58">
        <v>14</v>
      </c>
      <c r="B549" s="59" t="str">
        <f>IFERROR(INDEX(الطلاب!$C$5:$C$44,MATCH($D549,الطلاب!$A$5:$A$44,0)),"")</f>
        <v>المقرأة الثانية</v>
      </c>
      <c r="C549" s="59" t="str">
        <f>IFERROR(INDEX(الطلاب!$D$5:$D$44,MATCH($D549,الطلاب!$A$5:$A$44,0)),"")</f>
        <v xml:space="preserve">ابن رجب </v>
      </c>
      <c r="D549" s="59">
        <v>25</v>
      </c>
      <c r="E549" s="60" t="str">
        <f>IFERROR(INDEX(الطلاب!$B$5:$B$44,MATCH($D549,الطلاب!$A$5:$A$44,0)),"")</f>
        <v>جهاد الجدعان</v>
      </c>
      <c r="F549" s="40"/>
      <c r="G549" s="40"/>
      <c r="H549" s="40"/>
      <c r="I549" s="40"/>
      <c r="J549" s="40"/>
      <c r="K549" s="36"/>
      <c r="L549" s="43">
        <f>IF(AND($A549='أفضل 5 طلاب'!$C$3,$B549=الإعدادات!$C$8,$N549=1,ISNUMBER($G549)),$G549*100000+N($H549)*100+N($I549)+(1000-ROW())/10000,0)</f>
        <v>0</v>
      </c>
      <c r="M549" s="43">
        <f>IF(AND($A549='أفضل 5 طلاب'!$C$3,$B549=الإعدادات!$C$9,$N549=1,ISNUMBER($G549)),$G549*100000+N($H549)*100+N($I549)+(1000-ROW())/10000,0)</f>
        <v>0</v>
      </c>
      <c r="N549" s="43">
        <f t="shared" si="24"/>
        <v>0</v>
      </c>
      <c r="O549" s="43" t="str">
        <f t="shared" si="26"/>
        <v/>
      </c>
      <c r="P549" s="43">
        <f t="shared" si="25"/>
        <v>0</v>
      </c>
    </row>
    <row r="550" spans="1:16">
      <c r="A550" s="58">
        <v>14</v>
      </c>
      <c r="B550" s="59" t="str">
        <f>IFERROR(INDEX(الطلاب!$C$5:$C$44,MATCH($D550,الطلاب!$A$5:$A$44,0)),"")</f>
        <v>المقرأة الثانية</v>
      </c>
      <c r="C550" s="59" t="str">
        <f>IFERROR(INDEX(الطلاب!$D$5:$D$44,MATCH($D550,الطلاب!$A$5:$A$44,0)),"")</f>
        <v xml:space="preserve">ابن رجب </v>
      </c>
      <c r="D550" s="59">
        <v>26</v>
      </c>
      <c r="E550" s="60" t="str">
        <f>IFERROR(INDEX(الطلاب!$B$5:$B$44,MATCH($D550,الطلاب!$A$5:$A$44,0)),"")</f>
        <v>صلاح مسعد</v>
      </c>
      <c r="F550" s="40"/>
      <c r="G550" s="40"/>
      <c r="H550" s="40"/>
      <c r="I550" s="40"/>
      <c r="J550" s="40"/>
      <c r="K550" s="36"/>
      <c r="L550" s="43">
        <f>IF(AND($A550='أفضل 5 طلاب'!$C$3,$B550=الإعدادات!$C$8,$N550=1,ISNUMBER($G550)),$G550*100000+N($H550)*100+N($I550)+(1000-ROW())/10000,0)</f>
        <v>0</v>
      </c>
      <c r="M550" s="43">
        <f>IF(AND($A550='أفضل 5 طلاب'!$C$3,$B550=الإعدادات!$C$9,$N550=1,ISNUMBER($G550)),$G550*100000+N($H550)*100+N($I550)+(1000-ROW())/10000,0)</f>
        <v>0</v>
      </c>
      <c r="N550" s="43">
        <f t="shared" si="24"/>
        <v>0</v>
      </c>
      <c r="O550" s="43" t="str">
        <f t="shared" si="26"/>
        <v/>
      </c>
      <c r="P550" s="43">
        <f t="shared" si="25"/>
        <v>0</v>
      </c>
    </row>
    <row r="551" spans="1:16">
      <c r="A551" s="58">
        <v>14</v>
      </c>
      <c r="B551" s="59" t="str">
        <f>IFERROR(INDEX(الطلاب!$C$5:$C$44,MATCH($D551,الطلاب!$A$5:$A$44,0)),"")</f>
        <v>المقرأة الثانية</v>
      </c>
      <c r="C551" s="59" t="str">
        <f>IFERROR(INDEX(الطلاب!$D$5:$D$44,MATCH($D551,الطلاب!$A$5:$A$44,0)),"")</f>
        <v xml:space="preserve">ابي بن مالك </v>
      </c>
      <c r="D551" s="59">
        <v>27</v>
      </c>
      <c r="E551" s="60" t="str">
        <f>IFERROR(INDEX(الطلاب!$B$5:$B$44,MATCH($D551,الطلاب!$A$5:$A$44,0)),"")</f>
        <v>سالم بانوير</v>
      </c>
      <c r="F551" s="40"/>
      <c r="G551" s="40"/>
      <c r="H551" s="40"/>
      <c r="I551" s="40"/>
      <c r="J551" s="40"/>
      <c r="K551" s="36"/>
      <c r="L551" s="43">
        <f>IF(AND($A551='أفضل 5 طلاب'!$C$3,$B551=الإعدادات!$C$8,$N551=1,ISNUMBER($G551)),$G551*100000+N($H551)*100+N($I551)+(1000-ROW())/10000,0)</f>
        <v>0</v>
      </c>
      <c r="M551" s="43">
        <f>IF(AND($A551='أفضل 5 طلاب'!$C$3,$B551=الإعدادات!$C$9,$N551=1,ISNUMBER($G551)),$G551*100000+N($H551)*100+N($I551)+(1000-ROW())/10000,0)</f>
        <v>0</v>
      </c>
      <c r="N551" s="43">
        <f t="shared" si="24"/>
        <v>0</v>
      </c>
      <c r="O551" s="43" t="str">
        <f t="shared" si="26"/>
        <v/>
      </c>
      <c r="P551" s="43">
        <f t="shared" si="25"/>
        <v>0</v>
      </c>
    </row>
    <row r="552" spans="1:16">
      <c r="A552" s="58">
        <v>14</v>
      </c>
      <c r="B552" s="59" t="str">
        <f>IFERROR(INDEX(الطلاب!$C$5:$C$44,MATCH($D552,الطلاب!$A$5:$A$44,0)),"")</f>
        <v>المقرأة الثانية</v>
      </c>
      <c r="C552" s="59" t="str">
        <f>IFERROR(INDEX(الطلاب!$D$5:$D$44,MATCH($D552,الطلاب!$A$5:$A$44,0)),"")</f>
        <v xml:space="preserve">ابي بن مالك </v>
      </c>
      <c r="D552" s="59">
        <v>28</v>
      </c>
      <c r="E552" s="60" t="str">
        <f>IFERROR(INDEX(الطلاب!$B$5:$B$44,MATCH($D552,الطلاب!$A$5:$A$44,0)),"")</f>
        <v xml:space="preserve">عبدالعزيز الصقعبي </v>
      </c>
      <c r="F552" s="40"/>
      <c r="G552" s="40"/>
      <c r="H552" s="40"/>
      <c r="I552" s="40"/>
      <c r="J552" s="40"/>
      <c r="K552" s="36"/>
      <c r="L552" s="43">
        <f>IF(AND($A552='أفضل 5 طلاب'!$C$3,$B552=الإعدادات!$C$8,$N552=1,ISNUMBER($G552)),$G552*100000+N($H552)*100+N($I552)+(1000-ROW())/10000,0)</f>
        <v>0</v>
      </c>
      <c r="M552" s="43">
        <f>IF(AND($A552='أفضل 5 طلاب'!$C$3,$B552=الإعدادات!$C$9,$N552=1,ISNUMBER($G552)),$G552*100000+N($H552)*100+N($I552)+(1000-ROW())/10000,0)</f>
        <v>0</v>
      </c>
      <c r="N552" s="43">
        <f t="shared" si="24"/>
        <v>0</v>
      </c>
      <c r="O552" s="43" t="str">
        <f t="shared" si="26"/>
        <v/>
      </c>
      <c r="P552" s="43">
        <f t="shared" si="25"/>
        <v>0</v>
      </c>
    </row>
    <row r="553" spans="1:16">
      <c r="A553" s="58">
        <v>14</v>
      </c>
      <c r="B553" s="59" t="str">
        <f>IFERROR(INDEX(الطلاب!$C$5:$C$44,MATCH($D553,الطلاب!$A$5:$A$44,0)),"")</f>
        <v>المقرأة الثانية</v>
      </c>
      <c r="C553" s="59" t="str">
        <f>IFERROR(INDEX(الطلاب!$D$5:$D$44,MATCH($D553,الطلاب!$A$5:$A$44,0)),"")</f>
        <v xml:space="preserve">ابي بن مالك </v>
      </c>
      <c r="D553" s="59">
        <v>29</v>
      </c>
      <c r="E553" s="60" t="str">
        <f>IFERROR(INDEX(الطلاب!$B$5:$B$44,MATCH($D553,الطلاب!$A$5:$A$44,0)),"")</f>
        <v xml:space="preserve">عبدالله المجيدل </v>
      </c>
      <c r="F553" s="40"/>
      <c r="G553" s="40"/>
      <c r="H553" s="40"/>
      <c r="I553" s="40"/>
      <c r="J553" s="40"/>
      <c r="K553" s="36"/>
      <c r="L553" s="43">
        <f>IF(AND($A553='أفضل 5 طلاب'!$C$3,$B553=الإعدادات!$C$8,$N553=1,ISNUMBER($G553)),$G553*100000+N($H553)*100+N($I553)+(1000-ROW())/10000,0)</f>
        <v>0</v>
      </c>
      <c r="M553" s="43">
        <f>IF(AND($A553='أفضل 5 طلاب'!$C$3,$B553=الإعدادات!$C$9,$N553=1,ISNUMBER($G553)),$G553*100000+N($H553)*100+N($I553)+(1000-ROW())/10000,0)</f>
        <v>0</v>
      </c>
      <c r="N553" s="43">
        <f t="shared" si="24"/>
        <v>0</v>
      </c>
      <c r="O553" s="43" t="str">
        <f t="shared" si="26"/>
        <v/>
      </c>
      <c r="P553" s="43">
        <f t="shared" si="25"/>
        <v>0</v>
      </c>
    </row>
    <row r="554" spans="1:16">
      <c r="A554" s="58">
        <v>14</v>
      </c>
      <c r="B554" s="59" t="str">
        <f>IFERROR(INDEX(الطلاب!$C$5:$C$44,MATCH($D554,الطلاب!$A$5:$A$44,0)),"")</f>
        <v>المقرأة الثانية</v>
      </c>
      <c r="C554" s="59" t="str">
        <f>IFERROR(INDEX(الطلاب!$D$5:$D$44,MATCH($D554,الطلاب!$A$5:$A$44,0)),"")</f>
        <v xml:space="preserve">ابي بن مالك </v>
      </c>
      <c r="D554" s="59">
        <v>30</v>
      </c>
      <c r="E554" s="60" t="str">
        <f>IFERROR(INDEX(الطلاب!$B$5:$B$44,MATCH($D554,الطلاب!$A$5:$A$44,0)),"")</f>
        <v>فواز الشدوخي</v>
      </c>
      <c r="F554" s="40"/>
      <c r="G554" s="40"/>
      <c r="H554" s="40"/>
      <c r="I554" s="40"/>
      <c r="J554" s="40"/>
      <c r="K554" s="36"/>
      <c r="L554" s="43">
        <f>IF(AND($A554='أفضل 5 طلاب'!$C$3,$B554=الإعدادات!$C$8,$N554=1,ISNUMBER($G554)),$G554*100000+N($H554)*100+N($I554)+(1000-ROW())/10000,0)</f>
        <v>0</v>
      </c>
      <c r="M554" s="43">
        <f>IF(AND($A554='أفضل 5 طلاب'!$C$3,$B554=الإعدادات!$C$9,$N554=1,ISNUMBER($G554)),$G554*100000+N($H554)*100+N($I554)+(1000-ROW())/10000,0)</f>
        <v>0</v>
      </c>
      <c r="N554" s="43">
        <f t="shared" si="24"/>
        <v>0</v>
      </c>
      <c r="O554" s="43" t="str">
        <f t="shared" si="26"/>
        <v/>
      </c>
      <c r="P554" s="43">
        <f t="shared" si="25"/>
        <v>0</v>
      </c>
    </row>
    <row r="555" spans="1:16">
      <c r="A555" s="58">
        <v>14</v>
      </c>
      <c r="B555" s="59" t="str">
        <f>IFERROR(INDEX(الطلاب!$C$5:$C$44,MATCH($D555,الطلاب!$A$5:$A$44,0)),"")</f>
        <v>المقرأة الثانية</v>
      </c>
      <c r="C555" s="59" t="str">
        <f>IFERROR(INDEX(الطلاب!$D$5:$D$44,MATCH($D555,الطلاب!$A$5:$A$44,0)),"")</f>
        <v xml:space="preserve">ابي بن مالك </v>
      </c>
      <c r="D555" s="59">
        <v>31</v>
      </c>
      <c r="E555" s="60" t="str">
        <f>IFERROR(INDEX(الطلاب!$B$5:$B$44,MATCH($D555,الطلاب!$A$5:$A$44,0)),"")</f>
        <v>محمد الطامي</v>
      </c>
      <c r="F555" s="40"/>
      <c r="G555" s="40"/>
      <c r="H555" s="40"/>
      <c r="I555" s="40"/>
      <c r="J555" s="40"/>
      <c r="K555" s="36"/>
      <c r="L555" s="43">
        <f>IF(AND($A555='أفضل 5 طلاب'!$C$3,$B555=الإعدادات!$C$8,$N555=1,ISNUMBER($G555)),$G555*100000+N($H555)*100+N($I555)+(1000-ROW())/10000,0)</f>
        <v>0</v>
      </c>
      <c r="M555" s="43">
        <f>IF(AND($A555='أفضل 5 طلاب'!$C$3,$B555=الإعدادات!$C$9,$N555=1,ISNUMBER($G555)),$G555*100000+N($H555)*100+N($I555)+(1000-ROW())/10000,0)</f>
        <v>0</v>
      </c>
      <c r="N555" s="43">
        <f t="shared" si="24"/>
        <v>0</v>
      </c>
      <c r="O555" s="43" t="str">
        <f t="shared" si="26"/>
        <v/>
      </c>
      <c r="P555" s="43">
        <f t="shared" si="25"/>
        <v>0</v>
      </c>
    </row>
    <row r="556" spans="1:16">
      <c r="A556" s="58">
        <v>14</v>
      </c>
      <c r="B556" s="59" t="str">
        <f>IFERROR(INDEX(الطلاب!$C$5:$C$44,MATCH($D556,الطلاب!$A$5:$A$44,0)),"")</f>
        <v>المقرأة الثانية</v>
      </c>
      <c r="C556" s="59" t="str">
        <f>IFERROR(INDEX(الطلاب!$D$5:$D$44,MATCH($D556,الطلاب!$A$5:$A$44,0)),"")</f>
        <v xml:space="preserve">ابي بن مالك </v>
      </c>
      <c r="D556" s="59">
        <v>32</v>
      </c>
      <c r="E556" s="60" t="str">
        <f>IFERROR(INDEX(الطلاب!$B$5:$B$44,MATCH($D556,الطلاب!$A$5:$A$44,0)),"")</f>
        <v xml:space="preserve">مهند الغماس </v>
      </c>
      <c r="F556" s="40"/>
      <c r="G556" s="40"/>
      <c r="H556" s="40"/>
      <c r="I556" s="40"/>
      <c r="J556" s="40"/>
      <c r="K556" s="36"/>
      <c r="L556" s="43">
        <f>IF(AND($A556='أفضل 5 طلاب'!$C$3,$B556=الإعدادات!$C$8,$N556=1,ISNUMBER($G556)),$G556*100000+N($H556)*100+N($I556)+(1000-ROW())/10000,0)</f>
        <v>0</v>
      </c>
      <c r="M556" s="43">
        <f>IF(AND($A556='أفضل 5 طلاب'!$C$3,$B556=الإعدادات!$C$9,$N556=1,ISNUMBER($G556)),$G556*100000+N($H556)*100+N($I556)+(1000-ROW())/10000,0)</f>
        <v>0</v>
      </c>
      <c r="N556" s="43">
        <f t="shared" si="24"/>
        <v>0</v>
      </c>
      <c r="O556" s="43" t="str">
        <f t="shared" si="26"/>
        <v/>
      </c>
      <c r="P556" s="43">
        <f t="shared" si="25"/>
        <v>0</v>
      </c>
    </row>
    <row r="557" spans="1:16">
      <c r="A557" s="58">
        <v>14</v>
      </c>
      <c r="B557" s="59" t="str">
        <f>IFERROR(INDEX(الطلاب!$C$5:$C$44,MATCH($D557,الطلاب!$A$5:$A$44,0)),"")</f>
        <v>المقرأة الثانية</v>
      </c>
      <c r="C557" s="59" t="str">
        <f>IFERROR(INDEX(الطلاب!$D$5:$D$44,MATCH($D557,الطلاب!$A$5:$A$44,0)),"")</f>
        <v xml:space="preserve">ابي بن مالك </v>
      </c>
      <c r="D557" s="59">
        <v>33</v>
      </c>
      <c r="E557" s="60" t="str">
        <f>IFERROR(INDEX(الطلاب!$B$5:$B$44,MATCH($D557,الطلاب!$A$5:$A$44,0)),"")</f>
        <v>يوسف الحربي</v>
      </c>
      <c r="F557" s="40"/>
      <c r="G557" s="40"/>
      <c r="H557" s="40"/>
      <c r="I557" s="40"/>
      <c r="J557" s="40"/>
      <c r="K557" s="36"/>
      <c r="L557" s="43">
        <f>IF(AND($A557='أفضل 5 طلاب'!$C$3,$B557=الإعدادات!$C$8,$N557=1,ISNUMBER($G557)),$G557*100000+N($H557)*100+N($I557)+(1000-ROW())/10000,0)</f>
        <v>0</v>
      </c>
      <c r="M557" s="43">
        <f>IF(AND($A557='أفضل 5 طلاب'!$C$3,$B557=الإعدادات!$C$9,$N557=1,ISNUMBER($G557)),$G557*100000+N($H557)*100+N($I557)+(1000-ROW())/10000,0)</f>
        <v>0</v>
      </c>
      <c r="N557" s="43">
        <f t="shared" si="24"/>
        <v>0</v>
      </c>
      <c r="O557" s="43" t="str">
        <f t="shared" si="26"/>
        <v/>
      </c>
      <c r="P557" s="43">
        <f t="shared" si="25"/>
        <v>0</v>
      </c>
    </row>
    <row r="558" spans="1:16">
      <c r="A558" s="58">
        <v>14</v>
      </c>
      <c r="B558" s="59" t="str">
        <f>IFERROR(INDEX(الطلاب!$C$5:$C$44,MATCH($D558,الطلاب!$A$5:$A$44,0)),"")</f>
        <v>المقرأة الثانية</v>
      </c>
      <c r="C558" s="59" t="str">
        <f>IFERROR(INDEX(الطلاب!$D$5:$D$44,MATCH($D558,الطلاب!$A$5:$A$44,0)),"")</f>
        <v xml:space="preserve">ابي بن مالك </v>
      </c>
      <c r="D558" s="59">
        <v>34</v>
      </c>
      <c r="E558" s="60" t="str">
        <f>IFERROR(INDEX(الطلاب!$B$5:$B$44,MATCH($D558,الطلاب!$A$5:$A$44,0)),"")</f>
        <v xml:space="preserve">عدي الفريح </v>
      </c>
      <c r="F558" s="40"/>
      <c r="G558" s="40"/>
      <c r="H558" s="40"/>
      <c r="I558" s="40"/>
      <c r="J558" s="40"/>
      <c r="K558" s="36"/>
      <c r="L558" s="43">
        <f>IF(AND($A558='أفضل 5 طلاب'!$C$3,$B558=الإعدادات!$C$8,$N558=1,ISNUMBER($G558)),$G558*100000+N($H558)*100+N($I558)+(1000-ROW())/10000,0)</f>
        <v>0</v>
      </c>
      <c r="M558" s="43">
        <f>IF(AND($A558='أفضل 5 طلاب'!$C$3,$B558=الإعدادات!$C$9,$N558=1,ISNUMBER($G558)),$G558*100000+N($H558)*100+N($I558)+(1000-ROW())/10000,0)</f>
        <v>0</v>
      </c>
      <c r="N558" s="43">
        <f t="shared" si="24"/>
        <v>0</v>
      </c>
      <c r="O558" s="43" t="str">
        <f t="shared" si="26"/>
        <v/>
      </c>
      <c r="P558" s="43">
        <f t="shared" si="25"/>
        <v>0</v>
      </c>
    </row>
    <row r="559" spans="1:16">
      <c r="A559" s="58">
        <v>14</v>
      </c>
      <c r="B559" s="59" t="str">
        <f>IFERROR(INDEX(الطلاب!$C$5:$C$44,MATCH($D559,الطلاب!$A$5:$A$44,0)),"")</f>
        <v>المقرأة الثانية</v>
      </c>
      <c r="C559" s="59" t="str">
        <f>IFERROR(INDEX(الطلاب!$D$5:$D$44,MATCH($D559,الطلاب!$A$5:$A$44,0)),"")</f>
        <v xml:space="preserve">ابي بن مالك </v>
      </c>
      <c r="D559" s="59">
        <v>35</v>
      </c>
      <c r="E559" s="60" t="str">
        <f>IFERROR(INDEX(الطلاب!$B$5:$B$44,MATCH($D559,الطلاب!$A$5:$A$44,0)),"")</f>
        <v xml:space="preserve">عبدالله الفايزي </v>
      </c>
      <c r="F559" s="40"/>
      <c r="G559" s="40"/>
      <c r="H559" s="40"/>
      <c r="I559" s="40"/>
      <c r="J559" s="40"/>
      <c r="K559" s="36"/>
      <c r="L559" s="43">
        <f>IF(AND($A559='أفضل 5 طلاب'!$C$3,$B559=الإعدادات!$C$8,$N559=1,ISNUMBER($G559)),$G559*100000+N($H559)*100+N($I559)+(1000-ROW())/10000,0)</f>
        <v>0</v>
      </c>
      <c r="M559" s="43">
        <f>IF(AND($A559='أفضل 5 طلاب'!$C$3,$B559=الإعدادات!$C$9,$N559=1,ISNUMBER($G559)),$G559*100000+N($H559)*100+N($I559)+(1000-ROW())/10000,0)</f>
        <v>0</v>
      </c>
      <c r="N559" s="43">
        <f t="shared" si="24"/>
        <v>0</v>
      </c>
      <c r="O559" s="43" t="str">
        <f t="shared" si="26"/>
        <v/>
      </c>
      <c r="P559" s="43">
        <f t="shared" si="25"/>
        <v>0</v>
      </c>
    </row>
    <row r="560" spans="1:16">
      <c r="A560" s="58">
        <v>14</v>
      </c>
      <c r="B560" s="59">
        <f>IFERROR(INDEX(الطلاب!$C$5:$C$44,MATCH($D560,الطلاب!$A$5:$A$44,0)),"")</f>
        <v>0</v>
      </c>
      <c r="C560" s="59">
        <f>IFERROR(INDEX(الطلاب!$D$5:$D$44,MATCH($D560,الطلاب!$A$5:$A$44,0)),"")</f>
        <v>0</v>
      </c>
      <c r="D560" s="59">
        <v>36</v>
      </c>
      <c r="E560" s="60" t="str">
        <f>IFERROR(INDEX(الطلاب!$B$5:$B$44,MATCH($D560,الطلاب!$A$5:$A$44,0)),"")</f>
        <v xml:space="preserve">عزام الحسن </v>
      </c>
      <c r="F560" s="40"/>
      <c r="G560" s="40"/>
      <c r="H560" s="40"/>
      <c r="I560" s="40"/>
      <c r="J560" s="40"/>
      <c r="K560" s="36"/>
      <c r="L560" s="43">
        <f>IF(AND($A560='أفضل 5 طلاب'!$C$3,$B560=الإعدادات!$C$8,$N560=1,ISNUMBER($G560)),$G560*100000+N($H560)*100+N($I560)+(1000-ROW())/10000,0)</f>
        <v>0</v>
      </c>
      <c r="M560" s="43">
        <f>IF(AND($A560='أفضل 5 طلاب'!$C$3,$B560=الإعدادات!$C$9,$N560=1,ISNUMBER($G560)),$G560*100000+N($H560)*100+N($I560)+(1000-ROW())/10000,0)</f>
        <v>0</v>
      </c>
      <c r="N560" s="43">
        <f t="shared" si="24"/>
        <v>0</v>
      </c>
      <c r="O560" s="43" t="str">
        <f t="shared" si="26"/>
        <v/>
      </c>
      <c r="P560" s="43">
        <f t="shared" si="25"/>
        <v>0</v>
      </c>
    </row>
    <row r="561" spans="1:16">
      <c r="A561" s="58">
        <v>14</v>
      </c>
      <c r="B561" s="59" t="str">
        <f>IFERROR(INDEX(الطلاب!$C$5:$C$44,MATCH($D561,الطلاب!$A$5:$A$44,0)),"")</f>
        <v>المقرأة الأولى</v>
      </c>
      <c r="C561" s="59" t="str">
        <f>IFERROR(INDEX(الطلاب!$D$5:$D$44,MATCH($D561,الطلاب!$A$5:$A$44,0)),"")</f>
        <v xml:space="preserve">عبدالرحمن بن النعمان </v>
      </c>
      <c r="D561" s="59">
        <v>37</v>
      </c>
      <c r="E561" s="60" t="str">
        <f>IFERROR(INDEX(الطلاب!$B$5:$B$44,MATCH($D561,الطلاب!$A$5:$A$44,0)),"")</f>
        <v xml:space="preserve">أسامة السعوي </v>
      </c>
      <c r="F561" s="40"/>
      <c r="G561" s="40"/>
      <c r="H561" s="40"/>
      <c r="I561" s="40"/>
      <c r="J561" s="40"/>
      <c r="K561" s="36"/>
      <c r="L561" s="43">
        <f>IF(AND($A561='أفضل 5 طلاب'!$C$3,$B561=الإعدادات!$C$8,$N561=1,ISNUMBER($G561)),$G561*100000+N($H561)*100+N($I561)+(1000-ROW())/10000,0)</f>
        <v>0</v>
      </c>
      <c r="M561" s="43">
        <f>IF(AND($A561='أفضل 5 طلاب'!$C$3,$B561=الإعدادات!$C$9,$N561=1,ISNUMBER($G561)),$G561*100000+N($H561)*100+N($I561)+(1000-ROW())/10000,0)</f>
        <v>0</v>
      </c>
      <c r="N561" s="43">
        <f t="shared" si="24"/>
        <v>0</v>
      </c>
      <c r="O561" s="43" t="str">
        <f t="shared" si="26"/>
        <v/>
      </c>
      <c r="P561" s="43">
        <f t="shared" si="25"/>
        <v>0</v>
      </c>
    </row>
    <row r="562" spans="1:16">
      <c r="A562" s="58">
        <v>14</v>
      </c>
      <c r="B562" s="59" t="str">
        <f>IFERROR(INDEX(الطلاب!$C$5:$C$44,MATCH($D562,الطلاب!$A$5:$A$44,0)),"")</f>
        <v>المقرأة الأولى</v>
      </c>
      <c r="C562" s="59" t="str">
        <f>IFERROR(INDEX(الطلاب!$D$5:$D$44,MATCH($D562,الطلاب!$A$5:$A$44,0)),"")</f>
        <v xml:space="preserve">حسان بن ثابت </v>
      </c>
      <c r="D562" s="59">
        <v>38</v>
      </c>
      <c r="E562" s="60" t="str">
        <f>IFERROR(INDEX(الطلاب!$B$5:$B$44,MATCH($D562,الطلاب!$A$5:$A$44,0)),"")</f>
        <v xml:space="preserve">عاصم الضالع </v>
      </c>
      <c r="F562" s="40"/>
      <c r="G562" s="40"/>
      <c r="H562" s="40"/>
      <c r="I562" s="40"/>
      <c r="J562" s="40"/>
      <c r="K562" s="36"/>
      <c r="L562" s="43">
        <f>IF(AND($A562='أفضل 5 طلاب'!$C$3,$B562=الإعدادات!$C$8,$N562=1,ISNUMBER($G562)),$G562*100000+N($H562)*100+N($I562)+(1000-ROW())/10000,0)</f>
        <v>0</v>
      </c>
      <c r="M562" s="43">
        <f>IF(AND($A562='أفضل 5 طلاب'!$C$3,$B562=الإعدادات!$C$9,$N562=1,ISNUMBER($G562)),$G562*100000+N($H562)*100+N($I562)+(1000-ROW())/10000,0)</f>
        <v>0</v>
      </c>
      <c r="N562" s="43">
        <f t="shared" si="24"/>
        <v>0</v>
      </c>
      <c r="O562" s="43" t="str">
        <f t="shared" si="26"/>
        <v/>
      </c>
      <c r="P562" s="43">
        <f t="shared" si="25"/>
        <v>0</v>
      </c>
    </row>
    <row r="563" spans="1:16">
      <c r="A563" s="58">
        <v>14</v>
      </c>
      <c r="B563" s="59">
        <f>IFERROR(INDEX(الطلاب!$C$5:$C$44,MATCH($D563,الطلاب!$A$5:$A$44,0)),"")</f>
        <v>0</v>
      </c>
      <c r="C563" s="59">
        <f>IFERROR(INDEX(الطلاب!$D$5:$D$44,MATCH($D563,الطلاب!$A$5:$A$44,0)),"")</f>
        <v>0</v>
      </c>
      <c r="D563" s="59">
        <v>39</v>
      </c>
      <c r="E563" s="60">
        <f>IFERROR(INDEX(الطلاب!$B$5:$B$44,MATCH($D563,الطلاب!$A$5:$A$44,0)),"")</f>
        <v>0</v>
      </c>
      <c r="F563" s="40"/>
      <c r="G563" s="40"/>
      <c r="H563" s="40"/>
      <c r="I563" s="40"/>
      <c r="J563" s="40"/>
      <c r="K563" s="36"/>
      <c r="L563" s="43">
        <f>IF(AND($A563='أفضل 5 طلاب'!$C$3,$B563=الإعدادات!$C$8,$N563=1,ISNUMBER($G563)),$G563*100000+N($H563)*100+N($I563)+(1000-ROW())/10000,0)</f>
        <v>0</v>
      </c>
      <c r="M563" s="43">
        <f>IF(AND($A563='أفضل 5 طلاب'!$C$3,$B563=الإعدادات!$C$9,$N563=1,ISNUMBER($G563)),$G563*100000+N($H563)*100+N($I563)+(1000-ROW())/10000,0)</f>
        <v>0</v>
      </c>
      <c r="N563" s="43">
        <f t="shared" si="24"/>
        <v>0</v>
      </c>
      <c r="O563" s="43" t="str">
        <f t="shared" si="26"/>
        <v/>
      </c>
      <c r="P563" s="43">
        <f t="shared" si="25"/>
        <v>0</v>
      </c>
    </row>
    <row r="564" spans="1:16" ht="15.95" thickBot="1">
      <c r="A564" s="58">
        <v>14</v>
      </c>
      <c r="B564" s="59">
        <f>IFERROR(INDEX(الطلاب!$C$5:$C$44,MATCH($D564,الطلاب!$A$5:$A$44,0)),"")</f>
        <v>0</v>
      </c>
      <c r="C564" s="59">
        <f>IFERROR(INDEX(الطلاب!$D$5:$D$44,MATCH($D564,الطلاب!$A$5:$A$44,0)),"")</f>
        <v>0</v>
      </c>
      <c r="D564" s="59">
        <v>40</v>
      </c>
      <c r="E564" s="60">
        <f>IFERROR(INDEX(الطلاب!$B$5:$B$44,MATCH($D564,الطلاب!$A$5:$A$44,0)),"")</f>
        <v>0</v>
      </c>
      <c r="F564" s="40"/>
      <c r="G564" s="40"/>
      <c r="H564" s="40"/>
      <c r="I564" s="40"/>
      <c r="J564" s="40"/>
      <c r="K564" s="36"/>
      <c r="L564" s="43">
        <f>IF(AND($A564='أفضل 5 طلاب'!$C$3,$B564=الإعدادات!$C$8,$N564=1,ISNUMBER($G564)),$G564*100000+N($H564)*100+N($I564)+(1000-ROW())/10000,0)</f>
        <v>0</v>
      </c>
      <c r="M564" s="43">
        <f>IF(AND($A564='أفضل 5 طلاب'!$C$3,$B564=الإعدادات!$C$9,$N564=1,ISNUMBER($G564)),$G564*100000+N($H564)*100+N($I564)+(1000-ROW())/10000,0)</f>
        <v>0</v>
      </c>
      <c r="N564" s="43">
        <f t="shared" si="24"/>
        <v>0</v>
      </c>
      <c r="O564" s="43" t="str">
        <f t="shared" si="26"/>
        <v/>
      </c>
      <c r="P564" s="43">
        <f t="shared" si="25"/>
        <v>0</v>
      </c>
    </row>
    <row r="565" spans="1:16">
      <c r="A565" s="44">
        <v>15</v>
      </c>
      <c r="B565" s="45" t="str">
        <f>IFERROR(INDEX(الطلاب!$C$5:$C$44,MATCH($D565,الطلاب!$A$5:$A$44,0)),"")</f>
        <v>المقرأة الأولى</v>
      </c>
      <c r="C565" s="45" t="str">
        <f>IFERROR(INDEX(الطلاب!$D$5:$D$44,MATCH($D565,الطلاب!$A$5:$A$44,0)),"")</f>
        <v xml:space="preserve">عبدالرحمن بن النعمان </v>
      </c>
      <c r="D565" s="45">
        <v>1</v>
      </c>
      <c r="E565" s="46" t="str">
        <f>IFERROR(INDEX(الطلاب!$B$5:$B$44,MATCH($D565,الطلاب!$A$5:$A$44,0)),"")</f>
        <v>غسان اليحيى</v>
      </c>
      <c r="F565" s="47"/>
      <c r="G565" s="47"/>
      <c r="H565" s="47"/>
      <c r="I565" s="47"/>
      <c r="J565" s="47"/>
      <c r="K565" s="36"/>
      <c r="L565" s="43">
        <f>IF(AND($A565='أفضل 5 طلاب'!$C$3,$B565=الإعدادات!$C$8,$N565=1,ISNUMBER($G565)),$G565*100000+N($H565)*100+N($I565)+(1000-ROW())/10000,0)</f>
        <v>0</v>
      </c>
      <c r="M565" s="43">
        <f>IF(AND($A565='أفضل 5 طلاب'!$C$3,$B565=الإعدادات!$C$9,$N565=1,ISNUMBER($G565)),$G565*100000+N($H565)*100+N($I565)+(1000-ROW())/10000,0)</f>
        <v>0</v>
      </c>
      <c r="N565" s="43">
        <f t="shared" si="24"/>
        <v>0</v>
      </c>
      <c r="O565" s="43" t="str">
        <f t="shared" si="26"/>
        <v/>
      </c>
      <c r="P565" s="43">
        <f t="shared" si="25"/>
        <v>0</v>
      </c>
    </row>
    <row r="566" spans="1:16">
      <c r="A566" s="48">
        <v>15</v>
      </c>
      <c r="B566" s="49" t="str">
        <f>IFERROR(INDEX(الطلاب!$C$5:$C$44,MATCH($D566,الطلاب!$A$5:$A$44,0)),"")</f>
        <v>المقرأة الأولى</v>
      </c>
      <c r="C566" s="49" t="str">
        <f>IFERROR(INDEX(الطلاب!$D$5:$D$44,MATCH($D566,الطلاب!$A$5:$A$44,0)),"")</f>
        <v xml:space="preserve">عبدالرحمن بن النعمان </v>
      </c>
      <c r="D566" s="49">
        <v>2</v>
      </c>
      <c r="E566" s="50" t="str">
        <f>IFERROR(INDEX(الطلاب!$B$5:$B$44,MATCH($D566,الطلاب!$A$5:$A$44,0)),"")</f>
        <v xml:space="preserve">صالح الشريف </v>
      </c>
      <c r="F566" s="40"/>
      <c r="G566" s="40"/>
      <c r="H566" s="40"/>
      <c r="I566" s="40"/>
      <c r="J566" s="40"/>
      <c r="K566" s="36"/>
      <c r="L566" s="43">
        <f>IF(AND($A566='أفضل 5 طلاب'!$C$3,$B566=الإعدادات!$C$8,$N566=1,ISNUMBER($G566)),$G566*100000+N($H566)*100+N($I566)+(1000-ROW())/10000,0)</f>
        <v>0</v>
      </c>
      <c r="M566" s="43">
        <f>IF(AND($A566='أفضل 5 طلاب'!$C$3,$B566=الإعدادات!$C$9,$N566=1,ISNUMBER($G566)),$G566*100000+N($H566)*100+N($I566)+(1000-ROW())/10000,0)</f>
        <v>0</v>
      </c>
      <c r="N566" s="43">
        <f t="shared" si="24"/>
        <v>0</v>
      </c>
      <c r="O566" s="43" t="str">
        <f t="shared" si="26"/>
        <v/>
      </c>
      <c r="P566" s="43">
        <f t="shared" si="25"/>
        <v>0</v>
      </c>
    </row>
    <row r="567" spans="1:16">
      <c r="A567" s="48">
        <v>15</v>
      </c>
      <c r="B567" s="49" t="str">
        <f>IFERROR(INDEX(الطلاب!$C$5:$C$44,MATCH($D567,الطلاب!$A$5:$A$44,0)),"")</f>
        <v>المقرأة الأولى</v>
      </c>
      <c r="C567" s="49" t="str">
        <f>IFERROR(INDEX(الطلاب!$D$5:$D$44,MATCH($D567,الطلاب!$A$5:$A$44,0)),"")</f>
        <v xml:space="preserve">عبدالرحمن بن النعمان </v>
      </c>
      <c r="D567" s="49">
        <v>3</v>
      </c>
      <c r="E567" s="50" t="str">
        <f>IFERROR(INDEX(الطلاب!$B$5:$B$44,MATCH($D567,الطلاب!$A$5:$A$44,0)),"")</f>
        <v xml:space="preserve">فهد المشيقح </v>
      </c>
      <c r="F567" s="40"/>
      <c r="G567" s="40"/>
      <c r="H567" s="40"/>
      <c r="I567" s="40"/>
      <c r="J567" s="40"/>
      <c r="K567" s="36"/>
      <c r="L567" s="43">
        <f>IF(AND($A567='أفضل 5 طلاب'!$C$3,$B567=الإعدادات!$C$8,$N567=1,ISNUMBER($G567)),$G567*100000+N($H567)*100+N($I567)+(1000-ROW())/10000,0)</f>
        <v>0</v>
      </c>
      <c r="M567" s="43">
        <f>IF(AND($A567='أفضل 5 طلاب'!$C$3,$B567=الإعدادات!$C$9,$N567=1,ISNUMBER($G567)),$G567*100000+N($H567)*100+N($I567)+(1000-ROW())/10000,0)</f>
        <v>0</v>
      </c>
      <c r="N567" s="43">
        <f t="shared" si="24"/>
        <v>0</v>
      </c>
      <c r="O567" s="43" t="str">
        <f t="shared" si="26"/>
        <v/>
      </c>
      <c r="P567" s="43">
        <f t="shared" si="25"/>
        <v>0</v>
      </c>
    </row>
    <row r="568" spans="1:16">
      <c r="A568" s="48">
        <v>15</v>
      </c>
      <c r="B568" s="49" t="str">
        <f>IFERROR(INDEX(الطلاب!$C$5:$C$44,MATCH($D568,الطلاب!$A$5:$A$44,0)),"")</f>
        <v>المقرأة الأولى</v>
      </c>
      <c r="C568" s="49" t="str">
        <f>IFERROR(INDEX(الطلاب!$D$5:$D$44,MATCH($D568,الطلاب!$A$5:$A$44,0)),"")</f>
        <v xml:space="preserve">عبدالرحمن بن النعمان </v>
      </c>
      <c r="D568" s="49">
        <v>4</v>
      </c>
      <c r="E568" s="50" t="str">
        <f>IFERROR(INDEX(الطلاب!$B$5:$B$44,MATCH($D568,الطلاب!$A$5:$A$44,0)),"")</f>
        <v>عبدالله الحفير</v>
      </c>
      <c r="F568" s="40"/>
      <c r="G568" s="40"/>
      <c r="H568" s="40"/>
      <c r="I568" s="40"/>
      <c r="J568" s="40"/>
      <c r="K568" s="36"/>
      <c r="L568" s="43">
        <f>IF(AND($A568='أفضل 5 طلاب'!$C$3,$B568=الإعدادات!$C$8,$N568=1,ISNUMBER($G568)),$G568*100000+N($H568)*100+N($I568)+(1000-ROW())/10000,0)</f>
        <v>0</v>
      </c>
      <c r="M568" s="43">
        <f>IF(AND($A568='أفضل 5 طلاب'!$C$3,$B568=الإعدادات!$C$9,$N568=1,ISNUMBER($G568)),$G568*100000+N($H568)*100+N($I568)+(1000-ROW())/10000,0)</f>
        <v>0</v>
      </c>
      <c r="N568" s="43">
        <f t="shared" si="24"/>
        <v>0</v>
      </c>
      <c r="O568" s="43" t="str">
        <f t="shared" si="26"/>
        <v/>
      </c>
      <c r="P568" s="43">
        <f t="shared" si="25"/>
        <v>0</v>
      </c>
    </row>
    <row r="569" spans="1:16">
      <c r="A569" s="48">
        <v>15</v>
      </c>
      <c r="B569" s="49" t="str">
        <f>IFERROR(INDEX(الطلاب!$C$5:$C$44,MATCH($D569,الطلاب!$A$5:$A$44,0)),"")</f>
        <v>المقرأة الأولى</v>
      </c>
      <c r="C569" s="49" t="str">
        <f>IFERROR(INDEX(الطلاب!$D$5:$D$44,MATCH($D569,الطلاب!$A$5:$A$44,0)),"")</f>
        <v xml:space="preserve">عبدالرحمن بن النعمان </v>
      </c>
      <c r="D569" s="49">
        <v>5</v>
      </c>
      <c r="E569" s="50" t="str">
        <f>IFERROR(INDEX(الطلاب!$B$5:$B$44,MATCH($D569,الطلاب!$A$5:$A$44,0)),"")</f>
        <v>زياد الدخيل الله</v>
      </c>
      <c r="F569" s="40"/>
      <c r="G569" s="40"/>
      <c r="H569" s="40"/>
      <c r="I569" s="40"/>
      <c r="J569" s="40"/>
      <c r="K569" s="36"/>
      <c r="L569" s="43">
        <f>IF(AND($A569='أفضل 5 طلاب'!$C$3,$B569=الإعدادات!$C$8,$N569=1,ISNUMBER($G569)),$G569*100000+N($H569)*100+N($I569)+(1000-ROW())/10000,0)</f>
        <v>0</v>
      </c>
      <c r="M569" s="43">
        <f>IF(AND($A569='أفضل 5 طلاب'!$C$3,$B569=الإعدادات!$C$9,$N569=1,ISNUMBER($G569)),$G569*100000+N($H569)*100+N($I569)+(1000-ROW())/10000,0)</f>
        <v>0</v>
      </c>
      <c r="N569" s="43">
        <f t="shared" si="24"/>
        <v>0</v>
      </c>
      <c r="O569" s="43" t="str">
        <f t="shared" si="26"/>
        <v/>
      </c>
      <c r="P569" s="43">
        <f t="shared" si="25"/>
        <v>0</v>
      </c>
    </row>
    <row r="570" spans="1:16">
      <c r="A570" s="48">
        <v>15</v>
      </c>
      <c r="B570" s="49" t="str">
        <f>IFERROR(INDEX(الطلاب!$C$5:$C$44,MATCH($D570,الطلاب!$A$5:$A$44,0)),"")</f>
        <v>المقرأة الأولى</v>
      </c>
      <c r="C570" s="49" t="str">
        <f>IFERROR(INDEX(الطلاب!$D$5:$D$44,MATCH($D570,الطلاب!$A$5:$A$44,0)),"")</f>
        <v xml:space="preserve">ابن رجب </v>
      </c>
      <c r="D570" s="49">
        <v>6</v>
      </c>
      <c r="E570" s="50" t="str">
        <f>IFERROR(INDEX(الطلاب!$B$5:$B$44,MATCH($D570,الطلاب!$A$5:$A$44,0)),"")</f>
        <v xml:space="preserve">عاصم الضبيعي </v>
      </c>
      <c r="F570" s="40"/>
      <c r="G570" s="40"/>
      <c r="H570" s="40"/>
      <c r="I570" s="40"/>
      <c r="J570" s="40"/>
      <c r="K570" s="36"/>
      <c r="L570" s="43">
        <f>IF(AND($A570='أفضل 5 طلاب'!$C$3,$B570=الإعدادات!$C$8,$N570=1,ISNUMBER($G570)),$G570*100000+N($H570)*100+N($I570)+(1000-ROW())/10000,0)</f>
        <v>0</v>
      </c>
      <c r="M570" s="43">
        <f>IF(AND($A570='أفضل 5 طلاب'!$C$3,$B570=الإعدادات!$C$9,$N570=1,ISNUMBER($G570)),$G570*100000+N($H570)*100+N($I570)+(1000-ROW())/10000,0)</f>
        <v>0</v>
      </c>
      <c r="N570" s="43">
        <f t="shared" si="24"/>
        <v>0</v>
      </c>
      <c r="O570" s="43" t="str">
        <f t="shared" si="26"/>
        <v/>
      </c>
      <c r="P570" s="43">
        <f t="shared" si="25"/>
        <v>0</v>
      </c>
    </row>
    <row r="571" spans="1:16">
      <c r="A571" s="48">
        <v>15</v>
      </c>
      <c r="B571" s="49" t="str">
        <f>IFERROR(INDEX(الطلاب!$C$5:$C$44,MATCH($D571,الطلاب!$A$5:$A$44,0)),"")</f>
        <v>المقرأة الأولى</v>
      </c>
      <c r="C571" s="49" t="str">
        <f>IFERROR(INDEX(الطلاب!$D$5:$D$44,MATCH($D571,الطلاب!$A$5:$A$44,0)),"")</f>
        <v xml:space="preserve">ابن رجب </v>
      </c>
      <c r="D571" s="49">
        <v>7</v>
      </c>
      <c r="E571" s="50" t="str">
        <f>IFERROR(INDEX(الطلاب!$B$5:$B$44,MATCH($D571,الطلاب!$A$5:$A$44,0)),"")</f>
        <v>محمد السعوي</v>
      </c>
      <c r="F571" s="40"/>
      <c r="G571" s="40"/>
      <c r="H571" s="40"/>
      <c r="I571" s="40"/>
      <c r="J571" s="40"/>
      <c r="K571" s="36"/>
      <c r="L571" s="43">
        <f>IF(AND($A571='أفضل 5 طلاب'!$C$3,$B571=الإعدادات!$C$8,$N571=1,ISNUMBER($G571)),$G571*100000+N($H571)*100+N($I571)+(1000-ROW())/10000,0)</f>
        <v>0</v>
      </c>
      <c r="M571" s="43">
        <f>IF(AND($A571='أفضل 5 طلاب'!$C$3,$B571=الإعدادات!$C$9,$N571=1,ISNUMBER($G571)),$G571*100000+N($H571)*100+N($I571)+(1000-ROW())/10000,0)</f>
        <v>0</v>
      </c>
      <c r="N571" s="43">
        <f t="shared" si="24"/>
        <v>0</v>
      </c>
      <c r="O571" s="43" t="str">
        <f t="shared" si="26"/>
        <v/>
      </c>
      <c r="P571" s="43">
        <f t="shared" si="25"/>
        <v>0</v>
      </c>
    </row>
    <row r="572" spans="1:16">
      <c r="A572" s="48">
        <v>15</v>
      </c>
      <c r="B572" s="49" t="str">
        <f>IFERROR(INDEX(الطلاب!$C$5:$C$44,MATCH($D572,الطلاب!$A$5:$A$44,0)),"")</f>
        <v>المقرأة الأولى</v>
      </c>
      <c r="C572" s="49" t="str">
        <f>IFERROR(INDEX(الطلاب!$D$5:$D$44,MATCH($D572,الطلاب!$A$5:$A$44,0)),"")</f>
        <v xml:space="preserve">ابن رجب </v>
      </c>
      <c r="D572" s="49">
        <v>8</v>
      </c>
      <c r="E572" s="50" t="str">
        <f>IFERROR(INDEX(الطلاب!$B$5:$B$44,MATCH($D572,الطلاب!$A$5:$A$44,0)),"")</f>
        <v>هشام المخلف</v>
      </c>
      <c r="F572" s="40"/>
      <c r="G572" s="40"/>
      <c r="H572" s="40"/>
      <c r="I572" s="40"/>
      <c r="J572" s="40"/>
      <c r="K572" s="36"/>
      <c r="L572" s="43">
        <f>IF(AND($A572='أفضل 5 طلاب'!$C$3,$B572=الإعدادات!$C$8,$N572=1,ISNUMBER($G572)),$G572*100000+N($H572)*100+N($I572)+(1000-ROW())/10000,0)</f>
        <v>0</v>
      </c>
      <c r="M572" s="43">
        <f>IF(AND($A572='أفضل 5 طلاب'!$C$3,$B572=الإعدادات!$C$9,$N572=1,ISNUMBER($G572)),$G572*100000+N($H572)*100+N($I572)+(1000-ROW())/10000,0)</f>
        <v>0</v>
      </c>
      <c r="N572" s="43">
        <f t="shared" si="24"/>
        <v>0</v>
      </c>
      <c r="O572" s="43" t="str">
        <f t="shared" si="26"/>
        <v/>
      </c>
      <c r="P572" s="43">
        <f t="shared" si="25"/>
        <v>0</v>
      </c>
    </row>
    <row r="573" spans="1:16">
      <c r="A573" s="48">
        <v>15</v>
      </c>
      <c r="B573" s="49" t="str">
        <f>IFERROR(INDEX(الطلاب!$C$5:$C$44,MATCH($D573,الطلاب!$A$5:$A$44,0)),"")</f>
        <v>المقرأة الأولى</v>
      </c>
      <c r="C573" s="49" t="str">
        <f>IFERROR(INDEX(الطلاب!$D$5:$D$44,MATCH($D573,الطلاب!$A$5:$A$44,0)),"")</f>
        <v xml:space="preserve">ابن رجب </v>
      </c>
      <c r="D573" s="49">
        <v>9</v>
      </c>
      <c r="E573" s="50" t="str">
        <f>IFERROR(INDEX(الطلاب!$B$5:$B$44,MATCH($D573,الطلاب!$A$5:$A$44,0)),"")</f>
        <v xml:space="preserve">اسامة السعدون </v>
      </c>
      <c r="F573" s="40"/>
      <c r="G573" s="40"/>
      <c r="H573" s="40"/>
      <c r="I573" s="40"/>
      <c r="J573" s="40"/>
      <c r="K573" s="36"/>
      <c r="L573" s="43">
        <f>IF(AND($A573='أفضل 5 طلاب'!$C$3,$B573=الإعدادات!$C$8,$N573=1,ISNUMBER($G573)),$G573*100000+N($H573)*100+N($I573)+(1000-ROW())/10000,0)</f>
        <v>0</v>
      </c>
      <c r="M573" s="43">
        <f>IF(AND($A573='أفضل 5 طلاب'!$C$3,$B573=الإعدادات!$C$9,$N573=1,ISNUMBER($G573)),$G573*100000+N($H573)*100+N($I573)+(1000-ROW())/10000,0)</f>
        <v>0</v>
      </c>
      <c r="N573" s="43">
        <f t="shared" si="24"/>
        <v>0</v>
      </c>
      <c r="O573" s="43" t="str">
        <f t="shared" si="26"/>
        <v/>
      </c>
      <c r="P573" s="43">
        <f t="shared" si="25"/>
        <v>0</v>
      </c>
    </row>
    <row r="574" spans="1:16">
      <c r="A574" s="48">
        <v>15</v>
      </c>
      <c r="B574" s="49" t="str">
        <f>IFERROR(INDEX(الطلاب!$C$5:$C$44,MATCH($D574,الطلاب!$A$5:$A$44,0)),"")</f>
        <v>المقرأة الأولى</v>
      </c>
      <c r="C574" s="49" t="str">
        <f>IFERROR(INDEX(الطلاب!$D$5:$D$44,MATCH($D574,الطلاب!$A$5:$A$44,0)),"")</f>
        <v xml:space="preserve">حسان بن ثابت </v>
      </c>
      <c r="D574" s="49">
        <v>10</v>
      </c>
      <c r="E574" s="50" t="str">
        <f>IFERROR(INDEX(الطلاب!$B$5:$B$44,MATCH($D574,الطلاب!$A$5:$A$44,0)),"")</f>
        <v xml:space="preserve">محمد الثنيان </v>
      </c>
      <c r="F574" s="40"/>
      <c r="G574" s="40"/>
      <c r="H574" s="40"/>
      <c r="I574" s="40"/>
      <c r="J574" s="40"/>
      <c r="K574" s="36"/>
      <c r="L574" s="43">
        <f>IF(AND($A574='أفضل 5 طلاب'!$C$3,$B574=الإعدادات!$C$8,$N574=1,ISNUMBER($G574)),$G574*100000+N($H574)*100+N($I574)+(1000-ROW())/10000,0)</f>
        <v>0</v>
      </c>
      <c r="M574" s="43">
        <f>IF(AND($A574='أفضل 5 طلاب'!$C$3,$B574=الإعدادات!$C$9,$N574=1,ISNUMBER($G574)),$G574*100000+N($H574)*100+N($I574)+(1000-ROW())/10000,0)</f>
        <v>0</v>
      </c>
      <c r="N574" s="43">
        <f t="shared" si="24"/>
        <v>0</v>
      </c>
      <c r="O574" s="43" t="str">
        <f t="shared" si="26"/>
        <v/>
      </c>
      <c r="P574" s="43">
        <f t="shared" si="25"/>
        <v>0</v>
      </c>
    </row>
    <row r="575" spans="1:16">
      <c r="A575" s="48">
        <v>15</v>
      </c>
      <c r="B575" s="49" t="str">
        <f>IFERROR(INDEX(الطلاب!$C$5:$C$44,MATCH($D575,الطلاب!$A$5:$A$44,0)),"")</f>
        <v>المقرأة الأولى</v>
      </c>
      <c r="C575" s="49" t="str">
        <f>IFERROR(INDEX(الطلاب!$D$5:$D$44,MATCH($D575,الطلاب!$A$5:$A$44,0)),"")</f>
        <v xml:space="preserve">حسان بن ثابت </v>
      </c>
      <c r="D575" s="49">
        <v>11</v>
      </c>
      <c r="E575" s="50" t="str">
        <f>IFERROR(INDEX(الطلاب!$B$5:$B$44,MATCH($D575,الطلاب!$A$5:$A$44,0)),"")</f>
        <v xml:space="preserve">كنان الجريفاني </v>
      </c>
      <c r="F575" s="40"/>
      <c r="G575" s="40"/>
      <c r="H575" s="40"/>
      <c r="I575" s="40"/>
      <c r="J575" s="40"/>
      <c r="K575" s="36"/>
      <c r="L575" s="43">
        <f>IF(AND($A575='أفضل 5 طلاب'!$C$3,$B575=الإعدادات!$C$8,$N575=1,ISNUMBER($G575)),$G575*100000+N($H575)*100+N($I575)+(1000-ROW())/10000,0)</f>
        <v>0</v>
      </c>
      <c r="M575" s="43">
        <f>IF(AND($A575='أفضل 5 طلاب'!$C$3,$B575=الإعدادات!$C$9,$N575=1,ISNUMBER($G575)),$G575*100000+N($H575)*100+N($I575)+(1000-ROW())/10000,0)</f>
        <v>0</v>
      </c>
      <c r="N575" s="43">
        <f t="shared" si="24"/>
        <v>0</v>
      </c>
      <c r="O575" s="43" t="str">
        <f t="shared" si="26"/>
        <v/>
      </c>
      <c r="P575" s="43">
        <f t="shared" si="25"/>
        <v>0</v>
      </c>
    </row>
    <row r="576" spans="1:16">
      <c r="A576" s="48">
        <v>15</v>
      </c>
      <c r="B576" s="49" t="str">
        <f>IFERROR(INDEX(الطلاب!$C$5:$C$44,MATCH($D576,الطلاب!$A$5:$A$44,0)),"")</f>
        <v>المقرأة الأولى</v>
      </c>
      <c r="C576" s="49" t="str">
        <f>IFERROR(INDEX(الطلاب!$D$5:$D$44,MATCH($D576,الطلاب!$A$5:$A$44,0)),"")</f>
        <v xml:space="preserve">حسان بن ثابت </v>
      </c>
      <c r="D576" s="49">
        <v>12</v>
      </c>
      <c r="E576" s="50" t="str">
        <f>IFERROR(INDEX(الطلاب!$B$5:$B$44,MATCH($D576,الطلاب!$A$5:$A$44,0)),"")</f>
        <v xml:space="preserve">عبدالمجيد الربعي </v>
      </c>
      <c r="F576" s="40"/>
      <c r="G576" s="40"/>
      <c r="H576" s="40"/>
      <c r="I576" s="40"/>
      <c r="J576" s="40"/>
      <c r="K576" s="36"/>
      <c r="L576" s="43">
        <f>IF(AND($A576='أفضل 5 طلاب'!$C$3,$B576=الإعدادات!$C$8,$N576=1,ISNUMBER($G576)),$G576*100000+N($H576)*100+N($I576)+(1000-ROW())/10000,0)</f>
        <v>0</v>
      </c>
      <c r="M576" s="43">
        <f>IF(AND($A576='أفضل 5 طلاب'!$C$3,$B576=الإعدادات!$C$9,$N576=1,ISNUMBER($G576)),$G576*100000+N($H576)*100+N($I576)+(1000-ROW())/10000,0)</f>
        <v>0</v>
      </c>
      <c r="N576" s="43">
        <f t="shared" si="24"/>
        <v>0</v>
      </c>
      <c r="O576" s="43" t="str">
        <f t="shared" si="26"/>
        <v/>
      </c>
      <c r="P576" s="43">
        <f t="shared" si="25"/>
        <v>0</v>
      </c>
    </row>
    <row r="577" spans="1:16">
      <c r="A577" s="48">
        <v>15</v>
      </c>
      <c r="B577" s="49" t="str">
        <f>IFERROR(INDEX(الطلاب!$C$5:$C$44,MATCH($D577,الطلاب!$A$5:$A$44,0)),"")</f>
        <v>المقرأة الأولى</v>
      </c>
      <c r="C577" s="49" t="str">
        <f>IFERROR(INDEX(الطلاب!$D$5:$D$44,MATCH($D577,الطلاب!$A$5:$A$44,0)),"")</f>
        <v xml:space="preserve">حسان بن ثابت </v>
      </c>
      <c r="D577" s="49">
        <v>13</v>
      </c>
      <c r="E577" s="50" t="str">
        <f>IFERROR(INDEX(الطلاب!$B$5:$B$44,MATCH($D577,الطلاب!$A$5:$A$44,0)),"")</f>
        <v xml:space="preserve">عبدالله التويجري </v>
      </c>
      <c r="F577" s="40"/>
      <c r="G577" s="40"/>
      <c r="H577" s="40"/>
      <c r="I577" s="40"/>
      <c r="J577" s="40"/>
      <c r="K577" s="36"/>
      <c r="L577" s="43">
        <f>IF(AND($A577='أفضل 5 طلاب'!$C$3,$B577=الإعدادات!$C$8,$N577=1,ISNUMBER($G577)),$G577*100000+N($H577)*100+N($I577)+(1000-ROW())/10000,0)</f>
        <v>0</v>
      </c>
      <c r="M577" s="43">
        <f>IF(AND($A577='أفضل 5 طلاب'!$C$3,$B577=الإعدادات!$C$9,$N577=1,ISNUMBER($G577)),$G577*100000+N($H577)*100+N($I577)+(1000-ROW())/10000,0)</f>
        <v>0</v>
      </c>
      <c r="N577" s="43">
        <f t="shared" si="24"/>
        <v>0</v>
      </c>
      <c r="O577" s="43" t="str">
        <f t="shared" si="26"/>
        <v/>
      </c>
      <c r="P577" s="43">
        <f t="shared" si="25"/>
        <v>0</v>
      </c>
    </row>
    <row r="578" spans="1:16">
      <c r="A578" s="48">
        <v>15</v>
      </c>
      <c r="B578" s="49" t="str">
        <f>IFERROR(INDEX(الطلاب!$C$5:$C$44,MATCH($D578,الطلاب!$A$5:$A$44,0)),"")</f>
        <v>المقرأة الأولى</v>
      </c>
      <c r="C578" s="49" t="str">
        <f>IFERROR(INDEX(الطلاب!$D$5:$D$44,MATCH($D578,الطلاب!$A$5:$A$44,0)),"")</f>
        <v xml:space="preserve">حسان بن ثابت </v>
      </c>
      <c r="D578" s="49">
        <v>14</v>
      </c>
      <c r="E578" s="50" t="str">
        <f>IFERROR(INDEX(الطلاب!$B$5:$B$44,MATCH($D578,الطلاب!$A$5:$A$44,0)),"")</f>
        <v xml:space="preserve">حسام التويجري </v>
      </c>
      <c r="F578" s="40"/>
      <c r="G578" s="40"/>
      <c r="H578" s="40"/>
      <c r="I578" s="40"/>
      <c r="J578" s="40"/>
      <c r="K578" s="36"/>
      <c r="L578" s="43">
        <f>IF(AND($A578='أفضل 5 طلاب'!$C$3,$B578=الإعدادات!$C$8,$N578=1,ISNUMBER($G578)),$G578*100000+N($H578)*100+N($I578)+(1000-ROW())/10000,0)</f>
        <v>0</v>
      </c>
      <c r="M578" s="43">
        <f>IF(AND($A578='أفضل 5 طلاب'!$C$3,$B578=الإعدادات!$C$9,$N578=1,ISNUMBER($G578)),$G578*100000+N($H578)*100+N($I578)+(1000-ROW())/10000,0)</f>
        <v>0</v>
      </c>
      <c r="N578" s="43">
        <f t="shared" si="24"/>
        <v>0</v>
      </c>
      <c r="O578" s="43" t="str">
        <f t="shared" si="26"/>
        <v/>
      </c>
      <c r="P578" s="43">
        <f t="shared" si="25"/>
        <v>0</v>
      </c>
    </row>
    <row r="579" spans="1:16">
      <c r="A579" s="48">
        <v>15</v>
      </c>
      <c r="B579" s="49" t="str">
        <f>IFERROR(INDEX(الطلاب!$C$5:$C$44,MATCH($D579,الطلاب!$A$5:$A$44,0)),"")</f>
        <v>المقرأة الأولى</v>
      </c>
      <c r="C579" s="49" t="str">
        <f>IFERROR(INDEX(الطلاب!$D$5:$D$44,MATCH($D579,الطلاب!$A$5:$A$44,0)),"")</f>
        <v xml:space="preserve">حسان بن ثابت </v>
      </c>
      <c r="D579" s="49">
        <v>15</v>
      </c>
      <c r="E579" s="50" t="str">
        <f>IFERROR(INDEX(الطلاب!$B$5:$B$44,MATCH($D579,الطلاب!$A$5:$A$44,0)),"")</f>
        <v xml:space="preserve">عبدالرحمن البريدي </v>
      </c>
      <c r="F579" s="40"/>
      <c r="G579" s="40"/>
      <c r="H579" s="40"/>
      <c r="I579" s="40"/>
      <c r="J579" s="40"/>
      <c r="K579" s="36"/>
      <c r="L579" s="43">
        <f>IF(AND($A579='أفضل 5 طلاب'!$C$3,$B579=الإعدادات!$C$8,$N579=1,ISNUMBER($G579)),$G579*100000+N($H579)*100+N($I579)+(1000-ROW())/10000,0)</f>
        <v>0</v>
      </c>
      <c r="M579" s="43">
        <f>IF(AND($A579='أفضل 5 طلاب'!$C$3,$B579=الإعدادات!$C$9,$N579=1,ISNUMBER($G579)),$G579*100000+N($H579)*100+N($I579)+(1000-ROW())/10000,0)</f>
        <v>0</v>
      </c>
      <c r="N579" s="43">
        <f t="shared" si="24"/>
        <v>0</v>
      </c>
      <c r="O579" s="43" t="str">
        <f t="shared" si="26"/>
        <v/>
      </c>
      <c r="P579" s="43">
        <f t="shared" si="25"/>
        <v>0</v>
      </c>
    </row>
    <row r="580" spans="1:16">
      <c r="A580" s="48">
        <v>15</v>
      </c>
      <c r="B580" s="49" t="str">
        <f>IFERROR(INDEX(الطلاب!$C$5:$C$44,MATCH($D580,الطلاب!$A$5:$A$44,0)),"")</f>
        <v>المقرأة الأولى</v>
      </c>
      <c r="C580" s="49" t="str">
        <f>IFERROR(INDEX(الطلاب!$D$5:$D$44,MATCH($D580,الطلاب!$A$5:$A$44,0)),"")</f>
        <v xml:space="preserve">حسان بن ثابت </v>
      </c>
      <c r="D580" s="49">
        <v>16</v>
      </c>
      <c r="E580" s="50" t="str">
        <f>IFERROR(INDEX(الطلاب!$B$5:$B$44,MATCH($D580,الطلاب!$A$5:$A$44,0)),"")</f>
        <v>عبدالرحمن بازرعة</v>
      </c>
      <c r="F580" s="40"/>
      <c r="G580" s="40"/>
      <c r="H580" s="40"/>
      <c r="I580" s="40"/>
      <c r="J580" s="40"/>
      <c r="K580" s="36"/>
      <c r="L580" s="43">
        <f>IF(AND($A580='أفضل 5 طلاب'!$C$3,$B580=الإعدادات!$C$8,$N580=1,ISNUMBER($G580)),$G580*100000+N($H580)*100+N($I580)+(1000-ROW())/10000,0)</f>
        <v>0</v>
      </c>
      <c r="M580" s="43">
        <f>IF(AND($A580='أفضل 5 طلاب'!$C$3,$B580=الإعدادات!$C$9,$N580=1,ISNUMBER($G580)),$G580*100000+N($H580)*100+N($I580)+(1000-ROW())/10000,0)</f>
        <v>0</v>
      </c>
      <c r="N580" s="43">
        <f t="shared" si="24"/>
        <v>0</v>
      </c>
      <c r="O580" s="43" t="str">
        <f t="shared" si="26"/>
        <v/>
      </c>
      <c r="P580" s="43">
        <f t="shared" si="25"/>
        <v>0</v>
      </c>
    </row>
    <row r="581" spans="1:16">
      <c r="A581" s="48">
        <v>15</v>
      </c>
      <c r="B581" s="49" t="str">
        <f>IFERROR(INDEX(الطلاب!$C$5:$C$44,MATCH($D581,الطلاب!$A$5:$A$44,0)),"")</f>
        <v>المقرأة الأولى</v>
      </c>
      <c r="C581" s="49" t="str">
        <f>IFERROR(INDEX(الطلاب!$D$5:$D$44,MATCH($D581,الطلاب!$A$5:$A$44,0)),"")</f>
        <v xml:space="preserve">حسان بن ثابت </v>
      </c>
      <c r="D581" s="49">
        <v>17</v>
      </c>
      <c r="E581" s="50" t="str">
        <f>IFERROR(INDEX(الطلاب!$B$5:$B$44,MATCH($D581,الطلاب!$A$5:$A$44,0)),"")</f>
        <v xml:space="preserve">عبدالله الضحيان </v>
      </c>
      <c r="F581" s="40"/>
      <c r="G581" s="40"/>
      <c r="H581" s="40"/>
      <c r="I581" s="40"/>
      <c r="J581" s="40"/>
      <c r="K581" s="36"/>
      <c r="L581" s="43">
        <f>IF(AND($A581='أفضل 5 طلاب'!$C$3,$B581=الإعدادات!$C$8,$N581=1,ISNUMBER($G581)),$G581*100000+N($H581)*100+N($I581)+(1000-ROW())/10000,0)</f>
        <v>0</v>
      </c>
      <c r="M581" s="43">
        <f>IF(AND($A581='أفضل 5 طلاب'!$C$3,$B581=الإعدادات!$C$9,$N581=1,ISNUMBER($G581)),$G581*100000+N($H581)*100+N($I581)+(1000-ROW())/10000,0)</f>
        <v>0</v>
      </c>
      <c r="N581" s="43">
        <f t="shared" ref="N581:N644" si="27">IF(OR($F581="حاضر",$F581="متأخر"),1,0)</f>
        <v>0</v>
      </c>
      <c r="O581" s="43" t="str">
        <f t="shared" si="26"/>
        <v/>
      </c>
      <c r="P581" s="43">
        <f t="shared" ref="P581:P644" si="28">IF(ISNUMBER($O581),1,0)</f>
        <v>0</v>
      </c>
    </row>
    <row r="582" spans="1:16">
      <c r="A582" s="48">
        <v>15</v>
      </c>
      <c r="B582" s="49" t="str">
        <f>IFERROR(INDEX(الطلاب!$C$5:$C$44,MATCH($D582,الطلاب!$A$5:$A$44,0)),"")</f>
        <v>المقرأة الأولى</v>
      </c>
      <c r="C582" s="49" t="str">
        <f>IFERROR(INDEX(الطلاب!$D$5:$D$44,MATCH($D582,الطلاب!$A$5:$A$44,0)),"")</f>
        <v xml:space="preserve">حسان بن ثابت </v>
      </c>
      <c r="D582" s="49">
        <v>18</v>
      </c>
      <c r="E582" s="50" t="str">
        <f>IFERROR(INDEX(الطلاب!$B$5:$B$44,MATCH($D582,الطلاب!$A$5:$A$44,0)),"")</f>
        <v xml:space="preserve">فيصل الدخيل </v>
      </c>
      <c r="F582" s="40"/>
      <c r="G582" s="40"/>
      <c r="H582" s="40"/>
      <c r="I582" s="40"/>
      <c r="J582" s="40"/>
      <c r="K582" s="36"/>
      <c r="L582" s="43">
        <f>IF(AND($A582='أفضل 5 طلاب'!$C$3,$B582=الإعدادات!$C$8,$N582=1,ISNUMBER($G582)),$G582*100000+N($H582)*100+N($I582)+(1000-ROW())/10000,0)</f>
        <v>0</v>
      </c>
      <c r="M582" s="43">
        <f>IF(AND($A582='أفضل 5 طلاب'!$C$3,$B582=الإعدادات!$C$9,$N582=1,ISNUMBER($G582)),$G582*100000+N($H582)*100+N($I582)+(1000-ROW())/10000,0)</f>
        <v>0</v>
      </c>
      <c r="N582" s="43">
        <f t="shared" si="27"/>
        <v>0</v>
      </c>
      <c r="O582" s="43" t="str">
        <f t="shared" ref="O582:O644" si="29">IF(OR($N582=1,$F582="معتذر",$F582="غائب"),IF(ISNUMBER($G582),$G582,IF($N582=1,"",0)),"")</f>
        <v/>
      </c>
      <c r="P582" s="43">
        <f t="shared" si="28"/>
        <v>0</v>
      </c>
    </row>
    <row r="583" spans="1:16">
      <c r="A583" s="48">
        <v>15</v>
      </c>
      <c r="B583" s="49" t="str">
        <f>IFERROR(INDEX(الطلاب!$C$5:$C$44,MATCH($D583,الطلاب!$A$5:$A$44,0)),"")</f>
        <v>المقرأة الأولى</v>
      </c>
      <c r="C583" s="49" t="str">
        <f>IFERROR(INDEX(الطلاب!$D$5:$D$44,MATCH($D583,الطلاب!$A$5:$A$44,0)),"")</f>
        <v xml:space="preserve">حسان بن ثابت </v>
      </c>
      <c r="D583" s="49">
        <v>19</v>
      </c>
      <c r="E583" s="50" t="str">
        <f>IFERROR(INDEX(الطلاب!$B$5:$B$44,MATCH($D583,الطلاب!$A$5:$A$44,0)),"")</f>
        <v xml:space="preserve">سليمان المحيميد </v>
      </c>
      <c r="F583" s="40"/>
      <c r="G583" s="40"/>
      <c r="H583" s="40"/>
      <c r="I583" s="40"/>
      <c r="J583" s="40"/>
      <c r="K583" s="36"/>
      <c r="L583" s="43">
        <f>IF(AND($A583='أفضل 5 طلاب'!$C$3,$B583=الإعدادات!$C$8,$N583=1,ISNUMBER($G583)),$G583*100000+N($H583)*100+N($I583)+(1000-ROW())/10000,0)</f>
        <v>0</v>
      </c>
      <c r="M583" s="43">
        <f>IF(AND($A583='أفضل 5 طلاب'!$C$3,$B583=الإعدادات!$C$9,$N583=1,ISNUMBER($G583)),$G583*100000+N($H583)*100+N($I583)+(1000-ROW())/10000,0)</f>
        <v>0</v>
      </c>
      <c r="N583" s="43">
        <f t="shared" si="27"/>
        <v>0</v>
      </c>
      <c r="O583" s="43" t="str">
        <f t="shared" si="29"/>
        <v/>
      </c>
      <c r="P583" s="43">
        <f t="shared" si="28"/>
        <v>0</v>
      </c>
    </row>
    <row r="584" spans="1:16">
      <c r="A584" s="48">
        <v>15</v>
      </c>
      <c r="B584" s="49" t="str">
        <f>IFERROR(INDEX(الطلاب!$C$5:$C$44,MATCH($D584,الطلاب!$A$5:$A$44,0)),"")</f>
        <v>المقرأة الثانية</v>
      </c>
      <c r="C584" s="49" t="str">
        <f>IFERROR(INDEX(الطلاب!$D$5:$D$44,MATCH($D584,الطلاب!$A$5:$A$44,0)),"")</f>
        <v xml:space="preserve">ابن رجب </v>
      </c>
      <c r="D584" s="49">
        <v>20</v>
      </c>
      <c r="E584" s="50" t="str">
        <f>IFERROR(INDEX(الطلاب!$B$5:$B$44,MATCH($D584,الطلاب!$A$5:$A$44,0)),"")</f>
        <v xml:space="preserve">اصيل التويجري </v>
      </c>
      <c r="F584" s="40"/>
      <c r="G584" s="40"/>
      <c r="H584" s="40"/>
      <c r="I584" s="40"/>
      <c r="J584" s="40"/>
      <c r="K584" s="36"/>
      <c r="L584" s="43">
        <f>IF(AND($A584='أفضل 5 طلاب'!$C$3,$B584=الإعدادات!$C$8,$N584=1,ISNUMBER($G584)),$G584*100000+N($H584)*100+N($I584)+(1000-ROW())/10000,0)</f>
        <v>0</v>
      </c>
      <c r="M584" s="43">
        <f>IF(AND($A584='أفضل 5 طلاب'!$C$3,$B584=الإعدادات!$C$9,$N584=1,ISNUMBER($G584)),$G584*100000+N($H584)*100+N($I584)+(1000-ROW())/10000,0)</f>
        <v>0</v>
      </c>
      <c r="N584" s="43">
        <f t="shared" si="27"/>
        <v>0</v>
      </c>
      <c r="O584" s="43" t="str">
        <f t="shared" si="29"/>
        <v/>
      </c>
      <c r="P584" s="43">
        <f t="shared" si="28"/>
        <v>0</v>
      </c>
    </row>
    <row r="585" spans="1:16">
      <c r="A585" s="48">
        <v>15</v>
      </c>
      <c r="B585" s="49" t="str">
        <f>IFERROR(INDEX(الطلاب!$C$5:$C$44,MATCH($D585,الطلاب!$A$5:$A$44,0)),"")</f>
        <v>المقرأة الثانية</v>
      </c>
      <c r="C585" s="49" t="str">
        <f>IFERROR(INDEX(الطلاب!$D$5:$D$44,MATCH($D585,الطلاب!$A$5:$A$44,0)),"")</f>
        <v xml:space="preserve">ابن رجب </v>
      </c>
      <c r="D585" s="49">
        <v>21</v>
      </c>
      <c r="E585" s="50" t="str">
        <f>IFERROR(INDEX(الطلاب!$B$5:$B$44,MATCH($D585,الطلاب!$A$5:$A$44,0)),"")</f>
        <v xml:space="preserve">جواد الرفيعي </v>
      </c>
      <c r="F585" s="40"/>
      <c r="G585" s="40"/>
      <c r="H585" s="40"/>
      <c r="I585" s="40"/>
      <c r="J585" s="40"/>
      <c r="K585" s="36"/>
      <c r="L585" s="43">
        <f>IF(AND($A585='أفضل 5 طلاب'!$C$3,$B585=الإعدادات!$C$8,$N585=1,ISNUMBER($G585)),$G585*100000+N($H585)*100+N($I585)+(1000-ROW())/10000,0)</f>
        <v>0</v>
      </c>
      <c r="M585" s="43">
        <f>IF(AND($A585='أفضل 5 طلاب'!$C$3,$B585=الإعدادات!$C$9,$N585=1,ISNUMBER($G585)),$G585*100000+N($H585)*100+N($I585)+(1000-ROW())/10000,0)</f>
        <v>0</v>
      </c>
      <c r="N585" s="43">
        <f t="shared" si="27"/>
        <v>0</v>
      </c>
      <c r="O585" s="43" t="str">
        <f t="shared" si="29"/>
        <v/>
      </c>
      <c r="P585" s="43">
        <f t="shared" si="28"/>
        <v>0</v>
      </c>
    </row>
    <row r="586" spans="1:16">
      <c r="A586" s="48">
        <v>15</v>
      </c>
      <c r="B586" s="49" t="str">
        <f>IFERROR(INDEX(الطلاب!$C$5:$C$44,MATCH($D586,الطلاب!$A$5:$A$44,0)),"")</f>
        <v>المقرأة الثانية</v>
      </c>
      <c r="C586" s="49" t="str">
        <f>IFERROR(INDEX(الطلاب!$D$5:$D$44,MATCH($D586,الطلاب!$A$5:$A$44,0)),"")</f>
        <v xml:space="preserve">ابن رجب </v>
      </c>
      <c r="D586" s="49">
        <v>22</v>
      </c>
      <c r="E586" s="50" t="str">
        <f>IFERROR(INDEX(الطلاب!$B$5:$B$44,MATCH($D586,الطلاب!$A$5:$A$44,0)),"")</f>
        <v xml:space="preserve">سفيان السبيعي </v>
      </c>
      <c r="F586" s="40"/>
      <c r="G586" s="40"/>
      <c r="H586" s="40"/>
      <c r="I586" s="40"/>
      <c r="J586" s="40"/>
      <c r="K586" s="36"/>
      <c r="L586" s="43">
        <f>IF(AND($A586='أفضل 5 طلاب'!$C$3,$B586=الإعدادات!$C$8,$N586=1,ISNUMBER($G586)),$G586*100000+N($H586)*100+N($I586)+(1000-ROW())/10000,0)</f>
        <v>0</v>
      </c>
      <c r="M586" s="43">
        <f>IF(AND($A586='أفضل 5 طلاب'!$C$3,$B586=الإعدادات!$C$9,$N586=1,ISNUMBER($G586)),$G586*100000+N($H586)*100+N($I586)+(1000-ROW())/10000,0)</f>
        <v>0</v>
      </c>
      <c r="N586" s="43">
        <f t="shared" si="27"/>
        <v>0</v>
      </c>
      <c r="O586" s="43" t="str">
        <f t="shared" si="29"/>
        <v/>
      </c>
      <c r="P586" s="43">
        <f t="shared" si="28"/>
        <v>0</v>
      </c>
    </row>
    <row r="587" spans="1:16">
      <c r="A587" s="48">
        <v>15</v>
      </c>
      <c r="B587" s="49" t="str">
        <f>IFERROR(INDEX(الطلاب!$C$5:$C$44,MATCH($D587,الطلاب!$A$5:$A$44,0)),"")</f>
        <v>المقرأة الثانية</v>
      </c>
      <c r="C587" s="49" t="str">
        <f>IFERROR(INDEX(الطلاب!$D$5:$D$44,MATCH($D587,الطلاب!$A$5:$A$44,0)),"")</f>
        <v xml:space="preserve">ابن رجب </v>
      </c>
      <c r="D587" s="49">
        <v>23</v>
      </c>
      <c r="E587" s="50" t="str">
        <f>IFERROR(INDEX(الطلاب!$B$5:$B$44,MATCH($D587,الطلاب!$A$5:$A$44,0)),"")</f>
        <v xml:space="preserve">عمار الفضل </v>
      </c>
      <c r="F587" s="40"/>
      <c r="G587" s="40"/>
      <c r="H587" s="40"/>
      <c r="I587" s="40"/>
      <c r="J587" s="40"/>
      <c r="K587" s="36"/>
      <c r="L587" s="43">
        <f>IF(AND($A587='أفضل 5 طلاب'!$C$3,$B587=الإعدادات!$C$8,$N587=1,ISNUMBER($G587)),$G587*100000+N($H587)*100+N($I587)+(1000-ROW())/10000,0)</f>
        <v>0</v>
      </c>
      <c r="M587" s="43">
        <f>IF(AND($A587='أفضل 5 طلاب'!$C$3,$B587=الإعدادات!$C$9,$N587=1,ISNUMBER($G587)),$G587*100000+N($H587)*100+N($I587)+(1000-ROW())/10000,0)</f>
        <v>0</v>
      </c>
      <c r="N587" s="43">
        <f t="shared" si="27"/>
        <v>0</v>
      </c>
      <c r="O587" s="43" t="str">
        <f t="shared" si="29"/>
        <v/>
      </c>
      <c r="P587" s="43">
        <f t="shared" si="28"/>
        <v>0</v>
      </c>
    </row>
    <row r="588" spans="1:16">
      <c r="A588" s="48">
        <v>15</v>
      </c>
      <c r="B588" s="49" t="str">
        <f>IFERROR(INDEX(الطلاب!$C$5:$C$44,MATCH($D588,الطلاب!$A$5:$A$44,0)),"")</f>
        <v>المقرأة الثانية</v>
      </c>
      <c r="C588" s="49" t="str">
        <f>IFERROR(INDEX(الطلاب!$D$5:$D$44,MATCH($D588,الطلاب!$A$5:$A$44,0)),"")</f>
        <v xml:space="preserve">ابن رجب </v>
      </c>
      <c r="D588" s="49">
        <v>24</v>
      </c>
      <c r="E588" s="50" t="str">
        <f>IFERROR(INDEX(الطلاب!$B$5:$B$44,MATCH($D588,الطلاب!$A$5:$A$44,0)),"")</f>
        <v xml:space="preserve">مروان المهوس </v>
      </c>
      <c r="F588" s="40"/>
      <c r="G588" s="40"/>
      <c r="H588" s="40"/>
      <c r="I588" s="40"/>
      <c r="J588" s="40"/>
      <c r="K588" s="36"/>
      <c r="L588" s="43">
        <f>IF(AND($A588='أفضل 5 طلاب'!$C$3,$B588=الإعدادات!$C$8,$N588=1,ISNUMBER($G588)),$G588*100000+N($H588)*100+N($I588)+(1000-ROW())/10000,0)</f>
        <v>0</v>
      </c>
      <c r="M588" s="43">
        <f>IF(AND($A588='أفضل 5 طلاب'!$C$3,$B588=الإعدادات!$C$9,$N588=1,ISNUMBER($G588)),$G588*100000+N($H588)*100+N($I588)+(1000-ROW())/10000,0)</f>
        <v>0</v>
      </c>
      <c r="N588" s="43">
        <f t="shared" si="27"/>
        <v>0</v>
      </c>
      <c r="O588" s="43" t="str">
        <f t="shared" si="29"/>
        <v/>
      </c>
      <c r="P588" s="43">
        <f t="shared" si="28"/>
        <v>0</v>
      </c>
    </row>
    <row r="589" spans="1:16">
      <c r="A589" s="48">
        <v>15</v>
      </c>
      <c r="B589" s="49" t="str">
        <f>IFERROR(INDEX(الطلاب!$C$5:$C$44,MATCH($D589,الطلاب!$A$5:$A$44,0)),"")</f>
        <v>المقرأة الثانية</v>
      </c>
      <c r="C589" s="49" t="str">
        <f>IFERROR(INDEX(الطلاب!$D$5:$D$44,MATCH($D589,الطلاب!$A$5:$A$44,0)),"")</f>
        <v xml:space="preserve">ابن رجب </v>
      </c>
      <c r="D589" s="49">
        <v>25</v>
      </c>
      <c r="E589" s="50" t="str">
        <f>IFERROR(INDEX(الطلاب!$B$5:$B$44,MATCH($D589,الطلاب!$A$5:$A$44,0)),"")</f>
        <v>جهاد الجدعان</v>
      </c>
      <c r="F589" s="40"/>
      <c r="G589" s="40"/>
      <c r="H589" s="40"/>
      <c r="I589" s="40"/>
      <c r="J589" s="40"/>
      <c r="K589" s="36"/>
      <c r="L589" s="43">
        <f>IF(AND($A589='أفضل 5 طلاب'!$C$3,$B589=الإعدادات!$C$8,$N589=1,ISNUMBER($G589)),$G589*100000+N($H589)*100+N($I589)+(1000-ROW())/10000,0)</f>
        <v>0</v>
      </c>
      <c r="M589" s="43">
        <f>IF(AND($A589='أفضل 5 طلاب'!$C$3,$B589=الإعدادات!$C$9,$N589=1,ISNUMBER($G589)),$G589*100000+N($H589)*100+N($I589)+(1000-ROW())/10000,0)</f>
        <v>0</v>
      </c>
      <c r="N589" s="43">
        <f t="shared" si="27"/>
        <v>0</v>
      </c>
      <c r="O589" s="43" t="str">
        <f t="shared" si="29"/>
        <v/>
      </c>
      <c r="P589" s="43">
        <f t="shared" si="28"/>
        <v>0</v>
      </c>
    </row>
    <row r="590" spans="1:16">
      <c r="A590" s="48">
        <v>15</v>
      </c>
      <c r="B590" s="49" t="str">
        <f>IFERROR(INDEX(الطلاب!$C$5:$C$44,MATCH($D590,الطلاب!$A$5:$A$44,0)),"")</f>
        <v>المقرأة الثانية</v>
      </c>
      <c r="C590" s="49" t="str">
        <f>IFERROR(INDEX(الطلاب!$D$5:$D$44,MATCH($D590,الطلاب!$A$5:$A$44,0)),"")</f>
        <v xml:space="preserve">ابن رجب </v>
      </c>
      <c r="D590" s="49">
        <v>26</v>
      </c>
      <c r="E590" s="50" t="str">
        <f>IFERROR(INDEX(الطلاب!$B$5:$B$44,MATCH($D590,الطلاب!$A$5:$A$44,0)),"")</f>
        <v>صلاح مسعد</v>
      </c>
      <c r="F590" s="40"/>
      <c r="G590" s="40"/>
      <c r="H590" s="40"/>
      <c r="I590" s="40"/>
      <c r="J590" s="40"/>
      <c r="K590" s="36"/>
      <c r="L590" s="43">
        <f>IF(AND($A590='أفضل 5 طلاب'!$C$3,$B590=الإعدادات!$C$8,$N590=1,ISNUMBER($G590)),$G590*100000+N($H590)*100+N($I590)+(1000-ROW())/10000,0)</f>
        <v>0</v>
      </c>
      <c r="M590" s="43">
        <f>IF(AND($A590='أفضل 5 طلاب'!$C$3,$B590=الإعدادات!$C$9,$N590=1,ISNUMBER($G590)),$G590*100000+N($H590)*100+N($I590)+(1000-ROW())/10000,0)</f>
        <v>0</v>
      </c>
      <c r="N590" s="43">
        <f t="shared" si="27"/>
        <v>0</v>
      </c>
      <c r="O590" s="43" t="str">
        <f t="shared" si="29"/>
        <v/>
      </c>
      <c r="P590" s="43">
        <f t="shared" si="28"/>
        <v>0</v>
      </c>
    </row>
    <row r="591" spans="1:16">
      <c r="A591" s="48">
        <v>15</v>
      </c>
      <c r="B591" s="49" t="str">
        <f>IFERROR(INDEX(الطلاب!$C$5:$C$44,MATCH($D591,الطلاب!$A$5:$A$44,0)),"")</f>
        <v>المقرأة الثانية</v>
      </c>
      <c r="C591" s="49" t="str">
        <f>IFERROR(INDEX(الطلاب!$D$5:$D$44,MATCH($D591,الطلاب!$A$5:$A$44,0)),"")</f>
        <v xml:space="preserve">ابي بن مالك </v>
      </c>
      <c r="D591" s="49">
        <v>27</v>
      </c>
      <c r="E591" s="50" t="str">
        <f>IFERROR(INDEX(الطلاب!$B$5:$B$44,MATCH($D591,الطلاب!$A$5:$A$44,0)),"")</f>
        <v>سالم بانوير</v>
      </c>
      <c r="F591" s="40"/>
      <c r="G591" s="40"/>
      <c r="H591" s="40"/>
      <c r="I591" s="40"/>
      <c r="J591" s="40"/>
      <c r="K591" s="36"/>
      <c r="L591" s="43">
        <f>IF(AND($A591='أفضل 5 طلاب'!$C$3,$B591=الإعدادات!$C$8,$N591=1,ISNUMBER($G591)),$G591*100000+N($H591)*100+N($I591)+(1000-ROW())/10000,0)</f>
        <v>0</v>
      </c>
      <c r="M591" s="43">
        <f>IF(AND($A591='أفضل 5 طلاب'!$C$3,$B591=الإعدادات!$C$9,$N591=1,ISNUMBER($G591)),$G591*100000+N($H591)*100+N($I591)+(1000-ROW())/10000,0)</f>
        <v>0</v>
      </c>
      <c r="N591" s="43">
        <f t="shared" si="27"/>
        <v>0</v>
      </c>
      <c r="O591" s="43" t="str">
        <f t="shared" si="29"/>
        <v/>
      </c>
      <c r="P591" s="43">
        <f t="shared" si="28"/>
        <v>0</v>
      </c>
    </row>
    <row r="592" spans="1:16">
      <c r="A592" s="48">
        <v>15</v>
      </c>
      <c r="B592" s="49" t="str">
        <f>IFERROR(INDEX(الطلاب!$C$5:$C$44,MATCH($D592,الطلاب!$A$5:$A$44,0)),"")</f>
        <v>المقرأة الثانية</v>
      </c>
      <c r="C592" s="49" t="str">
        <f>IFERROR(INDEX(الطلاب!$D$5:$D$44,MATCH($D592,الطلاب!$A$5:$A$44,0)),"")</f>
        <v xml:space="preserve">ابي بن مالك </v>
      </c>
      <c r="D592" s="49">
        <v>28</v>
      </c>
      <c r="E592" s="50" t="str">
        <f>IFERROR(INDEX(الطلاب!$B$5:$B$44,MATCH($D592,الطلاب!$A$5:$A$44,0)),"")</f>
        <v xml:space="preserve">عبدالعزيز الصقعبي </v>
      </c>
      <c r="F592" s="40"/>
      <c r="G592" s="40"/>
      <c r="H592" s="40"/>
      <c r="I592" s="40"/>
      <c r="J592" s="40"/>
      <c r="K592" s="36"/>
      <c r="L592" s="43">
        <f>IF(AND($A592='أفضل 5 طلاب'!$C$3,$B592=الإعدادات!$C$8,$N592=1,ISNUMBER($G592)),$G592*100000+N($H592)*100+N($I592)+(1000-ROW())/10000,0)</f>
        <v>0</v>
      </c>
      <c r="M592" s="43">
        <f>IF(AND($A592='أفضل 5 طلاب'!$C$3,$B592=الإعدادات!$C$9,$N592=1,ISNUMBER($G592)),$G592*100000+N($H592)*100+N($I592)+(1000-ROW())/10000,0)</f>
        <v>0</v>
      </c>
      <c r="N592" s="43">
        <f t="shared" si="27"/>
        <v>0</v>
      </c>
      <c r="O592" s="43" t="str">
        <f t="shared" si="29"/>
        <v/>
      </c>
      <c r="P592" s="43">
        <f t="shared" si="28"/>
        <v>0</v>
      </c>
    </row>
    <row r="593" spans="1:16">
      <c r="A593" s="48">
        <v>15</v>
      </c>
      <c r="B593" s="49" t="str">
        <f>IFERROR(INDEX(الطلاب!$C$5:$C$44,MATCH($D593,الطلاب!$A$5:$A$44,0)),"")</f>
        <v>المقرأة الثانية</v>
      </c>
      <c r="C593" s="49" t="str">
        <f>IFERROR(INDEX(الطلاب!$D$5:$D$44,MATCH($D593,الطلاب!$A$5:$A$44,0)),"")</f>
        <v xml:space="preserve">ابي بن مالك </v>
      </c>
      <c r="D593" s="49">
        <v>29</v>
      </c>
      <c r="E593" s="50" t="str">
        <f>IFERROR(INDEX(الطلاب!$B$5:$B$44,MATCH($D593,الطلاب!$A$5:$A$44,0)),"")</f>
        <v xml:space="preserve">عبدالله المجيدل </v>
      </c>
      <c r="F593" s="40"/>
      <c r="G593" s="40"/>
      <c r="H593" s="40"/>
      <c r="I593" s="40"/>
      <c r="J593" s="40"/>
      <c r="K593" s="36"/>
      <c r="L593" s="43">
        <f>IF(AND($A593='أفضل 5 طلاب'!$C$3,$B593=الإعدادات!$C$8,$N593=1,ISNUMBER($G593)),$G593*100000+N($H593)*100+N($I593)+(1000-ROW())/10000,0)</f>
        <v>0</v>
      </c>
      <c r="M593" s="43">
        <f>IF(AND($A593='أفضل 5 طلاب'!$C$3,$B593=الإعدادات!$C$9,$N593=1,ISNUMBER($G593)),$G593*100000+N($H593)*100+N($I593)+(1000-ROW())/10000,0)</f>
        <v>0</v>
      </c>
      <c r="N593" s="43">
        <f t="shared" si="27"/>
        <v>0</v>
      </c>
      <c r="O593" s="43" t="str">
        <f t="shared" si="29"/>
        <v/>
      </c>
      <c r="P593" s="43">
        <f t="shared" si="28"/>
        <v>0</v>
      </c>
    </row>
    <row r="594" spans="1:16">
      <c r="A594" s="48">
        <v>15</v>
      </c>
      <c r="B594" s="49" t="str">
        <f>IFERROR(INDEX(الطلاب!$C$5:$C$44,MATCH($D594,الطلاب!$A$5:$A$44,0)),"")</f>
        <v>المقرأة الثانية</v>
      </c>
      <c r="C594" s="49" t="str">
        <f>IFERROR(INDEX(الطلاب!$D$5:$D$44,MATCH($D594,الطلاب!$A$5:$A$44,0)),"")</f>
        <v xml:space="preserve">ابي بن مالك </v>
      </c>
      <c r="D594" s="49">
        <v>30</v>
      </c>
      <c r="E594" s="50" t="str">
        <f>IFERROR(INDEX(الطلاب!$B$5:$B$44,MATCH($D594,الطلاب!$A$5:$A$44,0)),"")</f>
        <v>فواز الشدوخي</v>
      </c>
      <c r="F594" s="40"/>
      <c r="G594" s="40"/>
      <c r="H594" s="40"/>
      <c r="I594" s="40"/>
      <c r="J594" s="40"/>
      <c r="K594" s="36"/>
      <c r="L594" s="43">
        <f>IF(AND($A594='أفضل 5 طلاب'!$C$3,$B594=الإعدادات!$C$8,$N594=1,ISNUMBER($G594)),$G594*100000+N($H594)*100+N($I594)+(1000-ROW())/10000,0)</f>
        <v>0</v>
      </c>
      <c r="M594" s="43">
        <f>IF(AND($A594='أفضل 5 طلاب'!$C$3,$B594=الإعدادات!$C$9,$N594=1,ISNUMBER($G594)),$G594*100000+N($H594)*100+N($I594)+(1000-ROW())/10000,0)</f>
        <v>0</v>
      </c>
      <c r="N594" s="43">
        <f t="shared" si="27"/>
        <v>0</v>
      </c>
      <c r="O594" s="43" t="str">
        <f t="shared" si="29"/>
        <v/>
      </c>
      <c r="P594" s="43">
        <f t="shared" si="28"/>
        <v>0</v>
      </c>
    </row>
    <row r="595" spans="1:16">
      <c r="A595" s="48">
        <v>15</v>
      </c>
      <c r="B595" s="49" t="str">
        <f>IFERROR(INDEX(الطلاب!$C$5:$C$44,MATCH($D595,الطلاب!$A$5:$A$44,0)),"")</f>
        <v>المقرأة الثانية</v>
      </c>
      <c r="C595" s="49" t="str">
        <f>IFERROR(INDEX(الطلاب!$D$5:$D$44,MATCH($D595,الطلاب!$A$5:$A$44,0)),"")</f>
        <v xml:space="preserve">ابي بن مالك </v>
      </c>
      <c r="D595" s="49">
        <v>31</v>
      </c>
      <c r="E595" s="50" t="str">
        <f>IFERROR(INDEX(الطلاب!$B$5:$B$44,MATCH($D595,الطلاب!$A$5:$A$44,0)),"")</f>
        <v>محمد الطامي</v>
      </c>
      <c r="F595" s="40"/>
      <c r="G595" s="40"/>
      <c r="H595" s="40"/>
      <c r="I595" s="40"/>
      <c r="J595" s="40"/>
      <c r="K595" s="36"/>
      <c r="L595" s="43">
        <f>IF(AND($A595='أفضل 5 طلاب'!$C$3,$B595=الإعدادات!$C$8,$N595=1,ISNUMBER($G595)),$G595*100000+N($H595)*100+N($I595)+(1000-ROW())/10000,0)</f>
        <v>0</v>
      </c>
      <c r="M595" s="43">
        <f>IF(AND($A595='أفضل 5 طلاب'!$C$3,$B595=الإعدادات!$C$9,$N595=1,ISNUMBER($G595)),$G595*100000+N($H595)*100+N($I595)+(1000-ROW())/10000,0)</f>
        <v>0</v>
      </c>
      <c r="N595" s="43">
        <f t="shared" si="27"/>
        <v>0</v>
      </c>
      <c r="O595" s="43" t="str">
        <f t="shared" si="29"/>
        <v/>
      </c>
      <c r="P595" s="43">
        <f t="shared" si="28"/>
        <v>0</v>
      </c>
    </row>
    <row r="596" spans="1:16">
      <c r="A596" s="48">
        <v>15</v>
      </c>
      <c r="B596" s="49" t="str">
        <f>IFERROR(INDEX(الطلاب!$C$5:$C$44,MATCH($D596,الطلاب!$A$5:$A$44,0)),"")</f>
        <v>المقرأة الثانية</v>
      </c>
      <c r="C596" s="49" t="str">
        <f>IFERROR(INDEX(الطلاب!$D$5:$D$44,MATCH($D596,الطلاب!$A$5:$A$44,0)),"")</f>
        <v xml:space="preserve">ابي بن مالك </v>
      </c>
      <c r="D596" s="49">
        <v>32</v>
      </c>
      <c r="E596" s="50" t="str">
        <f>IFERROR(INDEX(الطلاب!$B$5:$B$44,MATCH($D596,الطلاب!$A$5:$A$44,0)),"")</f>
        <v xml:space="preserve">مهند الغماس </v>
      </c>
      <c r="F596" s="40"/>
      <c r="G596" s="40"/>
      <c r="H596" s="40"/>
      <c r="I596" s="40"/>
      <c r="J596" s="40"/>
      <c r="K596" s="36"/>
      <c r="L596" s="43">
        <f>IF(AND($A596='أفضل 5 طلاب'!$C$3,$B596=الإعدادات!$C$8,$N596=1,ISNUMBER($G596)),$G596*100000+N($H596)*100+N($I596)+(1000-ROW())/10000,0)</f>
        <v>0</v>
      </c>
      <c r="M596" s="43">
        <f>IF(AND($A596='أفضل 5 طلاب'!$C$3,$B596=الإعدادات!$C$9,$N596=1,ISNUMBER($G596)),$G596*100000+N($H596)*100+N($I596)+(1000-ROW())/10000,0)</f>
        <v>0</v>
      </c>
      <c r="N596" s="43">
        <f t="shared" si="27"/>
        <v>0</v>
      </c>
      <c r="O596" s="43" t="str">
        <f t="shared" si="29"/>
        <v/>
      </c>
      <c r="P596" s="43">
        <f t="shared" si="28"/>
        <v>0</v>
      </c>
    </row>
    <row r="597" spans="1:16">
      <c r="A597" s="48">
        <v>15</v>
      </c>
      <c r="B597" s="49" t="str">
        <f>IFERROR(INDEX(الطلاب!$C$5:$C$44,MATCH($D597,الطلاب!$A$5:$A$44,0)),"")</f>
        <v>المقرأة الثانية</v>
      </c>
      <c r="C597" s="49" t="str">
        <f>IFERROR(INDEX(الطلاب!$D$5:$D$44,MATCH($D597,الطلاب!$A$5:$A$44,0)),"")</f>
        <v xml:space="preserve">ابي بن مالك </v>
      </c>
      <c r="D597" s="49">
        <v>33</v>
      </c>
      <c r="E597" s="50" t="str">
        <f>IFERROR(INDEX(الطلاب!$B$5:$B$44,MATCH($D597,الطلاب!$A$5:$A$44,0)),"")</f>
        <v>يوسف الحربي</v>
      </c>
      <c r="F597" s="40"/>
      <c r="G597" s="40"/>
      <c r="H597" s="40"/>
      <c r="I597" s="40"/>
      <c r="J597" s="40"/>
      <c r="K597" s="36"/>
      <c r="L597" s="43">
        <f>IF(AND($A597='أفضل 5 طلاب'!$C$3,$B597=الإعدادات!$C$8,$N597=1,ISNUMBER($G597)),$G597*100000+N($H597)*100+N($I597)+(1000-ROW())/10000,0)</f>
        <v>0</v>
      </c>
      <c r="M597" s="43">
        <f>IF(AND($A597='أفضل 5 طلاب'!$C$3,$B597=الإعدادات!$C$9,$N597=1,ISNUMBER($G597)),$G597*100000+N($H597)*100+N($I597)+(1000-ROW())/10000,0)</f>
        <v>0</v>
      </c>
      <c r="N597" s="43">
        <f t="shared" si="27"/>
        <v>0</v>
      </c>
      <c r="O597" s="43" t="str">
        <f t="shared" si="29"/>
        <v/>
      </c>
      <c r="P597" s="43">
        <f t="shared" si="28"/>
        <v>0</v>
      </c>
    </row>
    <row r="598" spans="1:16">
      <c r="A598" s="48">
        <v>15</v>
      </c>
      <c r="B598" s="49" t="str">
        <f>IFERROR(INDEX(الطلاب!$C$5:$C$44,MATCH($D598,الطلاب!$A$5:$A$44,0)),"")</f>
        <v>المقرأة الثانية</v>
      </c>
      <c r="C598" s="49" t="str">
        <f>IFERROR(INDEX(الطلاب!$D$5:$D$44,MATCH($D598,الطلاب!$A$5:$A$44,0)),"")</f>
        <v xml:space="preserve">ابي بن مالك </v>
      </c>
      <c r="D598" s="49">
        <v>34</v>
      </c>
      <c r="E598" s="50" t="str">
        <f>IFERROR(INDEX(الطلاب!$B$5:$B$44,MATCH($D598,الطلاب!$A$5:$A$44,0)),"")</f>
        <v xml:space="preserve">عدي الفريح </v>
      </c>
      <c r="F598" s="40"/>
      <c r="G598" s="40"/>
      <c r="H598" s="40"/>
      <c r="I598" s="40"/>
      <c r="J598" s="40"/>
      <c r="K598" s="36"/>
      <c r="L598" s="43">
        <f>IF(AND($A598='أفضل 5 طلاب'!$C$3,$B598=الإعدادات!$C$8,$N598=1,ISNUMBER($G598)),$G598*100000+N($H598)*100+N($I598)+(1000-ROW())/10000,0)</f>
        <v>0</v>
      </c>
      <c r="M598" s="43">
        <f>IF(AND($A598='أفضل 5 طلاب'!$C$3,$B598=الإعدادات!$C$9,$N598=1,ISNUMBER($G598)),$G598*100000+N($H598)*100+N($I598)+(1000-ROW())/10000,0)</f>
        <v>0</v>
      </c>
      <c r="N598" s="43">
        <f t="shared" si="27"/>
        <v>0</v>
      </c>
      <c r="O598" s="43" t="str">
        <f t="shared" si="29"/>
        <v/>
      </c>
      <c r="P598" s="43">
        <f t="shared" si="28"/>
        <v>0</v>
      </c>
    </row>
    <row r="599" spans="1:16">
      <c r="A599" s="48">
        <v>15</v>
      </c>
      <c r="B599" s="49" t="str">
        <f>IFERROR(INDEX(الطلاب!$C$5:$C$44,MATCH($D599,الطلاب!$A$5:$A$44,0)),"")</f>
        <v>المقرأة الثانية</v>
      </c>
      <c r="C599" s="49" t="str">
        <f>IFERROR(INDEX(الطلاب!$D$5:$D$44,MATCH($D599,الطلاب!$A$5:$A$44,0)),"")</f>
        <v xml:space="preserve">ابي بن مالك </v>
      </c>
      <c r="D599" s="49">
        <v>35</v>
      </c>
      <c r="E599" s="50" t="str">
        <f>IFERROR(INDEX(الطلاب!$B$5:$B$44,MATCH($D599,الطلاب!$A$5:$A$44,0)),"")</f>
        <v xml:space="preserve">عبدالله الفايزي </v>
      </c>
      <c r="F599" s="40"/>
      <c r="G599" s="40"/>
      <c r="H599" s="40"/>
      <c r="I599" s="40"/>
      <c r="J599" s="40"/>
      <c r="K599" s="36"/>
      <c r="L599" s="43">
        <f>IF(AND($A599='أفضل 5 طلاب'!$C$3,$B599=الإعدادات!$C$8,$N599=1,ISNUMBER($G599)),$G599*100000+N($H599)*100+N($I599)+(1000-ROW())/10000,0)</f>
        <v>0</v>
      </c>
      <c r="M599" s="43">
        <f>IF(AND($A599='أفضل 5 طلاب'!$C$3,$B599=الإعدادات!$C$9,$N599=1,ISNUMBER($G599)),$G599*100000+N($H599)*100+N($I599)+(1000-ROW())/10000,0)</f>
        <v>0</v>
      </c>
      <c r="N599" s="43">
        <f t="shared" si="27"/>
        <v>0</v>
      </c>
      <c r="O599" s="43" t="str">
        <f t="shared" si="29"/>
        <v/>
      </c>
      <c r="P599" s="43">
        <f t="shared" si="28"/>
        <v>0</v>
      </c>
    </row>
    <row r="600" spans="1:16">
      <c r="A600" s="48">
        <v>15</v>
      </c>
      <c r="B600" s="49">
        <f>IFERROR(INDEX(الطلاب!$C$5:$C$44,MATCH($D600,الطلاب!$A$5:$A$44,0)),"")</f>
        <v>0</v>
      </c>
      <c r="C600" s="49">
        <f>IFERROR(INDEX(الطلاب!$D$5:$D$44,MATCH($D600,الطلاب!$A$5:$A$44,0)),"")</f>
        <v>0</v>
      </c>
      <c r="D600" s="49">
        <v>36</v>
      </c>
      <c r="E600" s="50" t="str">
        <f>IFERROR(INDEX(الطلاب!$B$5:$B$44,MATCH($D600,الطلاب!$A$5:$A$44,0)),"")</f>
        <v xml:space="preserve">عزام الحسن </v>
      </c>
      <c r="F600" s="40"/>
      <c r="G600" s="40"/>
      <c r="H600" s="40"/>
      <c r="I600" s="40"/>
      <c r="J600" s="40"/>
      <c r="K600" s="36"/>
      <c r="L600" s="43">
        <f>IF(AND($A600='أفضل 5 طلاب'!$C$3,$B600=الإعدادات!$C$8,$N600=1,ISNUMBER($G600)),$G600*100000+N($H600)*100+N($I600)+(1000-ROW())/10000,0)</f>
        <v>0</v>
      </c>
      <c r="M600" s="43">
        <f>IF(AND($A600='أفضل 5 طلاب'!$C$3,$B600=الإعدادات!$C$9,$N600=1,ISNUMBER($G600)),$G600*100000+N($H600)*100+N($I600)+(1000-ROW())/10000,0)</f>
        <v>0</v>
      </c>
      <c r="N600" s="43">
        <f t="shared" si="27"/>
        <v>0</v>
      </c>
      <c r="O600" s="43" t="str">
        <f t="shared" si="29"/>
        <v/>
      </c>
      <c r="P600" s="43">
        <f t="shared" si="28"/>
        <v>0</v>
      </c>
    </row>
    <row r="601" spans="1:16">
      <c r="A601" s="48">
        <v>15</v>
      </c>
      <c r="B601" s="49" t="str">
        <f>IFERROR(INDEX(الطلاب!$C$5:$C$44,MATCH($D601,الطلاب!$A$5:$A$44,0)),"")</f>
        <v>المقرأة الأولى</v>
      </c>
      <c r="C601" s="49" t="str">
        <f>IFERROR(INDEX(الطلاب!$D$5:$D$44,MATCH($D601,الطلاب!$A$5:$A$44,0)),"")</f>
        <v xml:space="preserve">عبدالرحمن بن النعمان </v>
      </c>
      <c r="D601" s="49">
        <v>37</v>
      </c>
      <c r="E601" s="50" t="str">
        <f>IFERROR(INDEX(الطلاب!$B$5:$B$44,MATCH($D601,الطلاب!$A$5:$A$44,0)),"")</f>
        <v xml:space="preserve">أسامة السعوي </v>
      </c>
      <c r="F601" s="40"/>
      <c r="G601" s="40"/>
      <c r="H601" s="40"/>
      <c r="I601" s="40"/>
      <c r="J601" s="40"/>
      <c r="K601" s="36"/>
      <c r="L601" s="43">
        <f>IF(AND($A601='أفضل 5 طلاب'!$C$3,$B601=الإعدادات!$C$8,$N601=1,ISNUMBER($G601)),$G601*100000+N($H601)*100+N($I601)+(1000-ROW())/10000,0)</f>
        <v>0</v>
      </c>
      <c r="M601" s="43">
        <f>IF(AND($A601='أفضل 5 طلاب'!$C$3,$B601=الإعدادات!$C$9,$N601=1,ISNUMBER($G601)),$G601*100000+N($H601)*100+N($I601)+(1000-ROW())/10000,0)</f>
        <v>0</v>
      </c>
      <c r="N601" s="43">
        <f t="shared" si="27"/>
        <v>0</v>
      </c>
      <c r="O601" s="43" t="str">
        <f t="shared" si="29"/>
        <v/>
      </c>
      <c r="P601" s="43">
        <f t="shared" si="28"/>
        <v>0</v>
      </c>
    </row>
    <row r="602" spans="1:16">
      <c r="A602" s="48">
        <v>15</v>
      </c>
      <c r="B602" s="49" t="str">
        <f>IFERROR(INDEX(الطلاب!$C$5:$C$44,MATCH($D602,الطلاب!$A$5:$A$44,0)),"")</f>
        <v>المقرأة الأولى</v>
      </c>
      <c r="C602" s="49" t="str">
        <f>IFERROR(INDEX(الطلاب!$D$5:$D$44,MATCH($D602,الطلاب!$A$5:$A$44,0)),"")</f>
        <v xml:space="preserve">حسان بن ثابت </v>
      </c>
      <c r="D602" s="49">
        <v>38</v>
      </c>
      <c r="E602" s="50" t="str">
        <f>IFERROR(INDEX(الطلاب!$B$5:$B$44,MATCH($D602,الطلاب!$A$5:$A$44,0)),"")</f>
        <v xml:space="preserve">عاصم الضالع </v>
      </c>
      <c r="F602" s="40"/>
      <c r="G602" s="40"/>
      <c r="H602" s="40"/>
      <c r="I602" s="40"/>
      <c r="J602" s="40"/>
      <c r="K602" s="36"/>
      <c r="L602" s="43">
        <f>IF(AND($A602='أفضل 5 طلاب'!$C$3,$B602=الإعدادات!$C$8,$N602=1,ISNUMBER($G602)),$G602*100000+N($H602)*100+N($I602)+(1000-ROW())/10000,0)</f>
        <v>0</v>
      </c>
      <c r="M602" s="43">
        <f>IF(AND($A602='أفضل 5 طلاب'!$C$3,$B602=الإعدادات!$C$9,$N602=1,ISNUMBER($G602)),$G602*100000+N($H602)*100+N($I602)+(1000-ROW())/10000,0)</f>
        <v>0</v>
      </c>
      <c r="N602" s="43">
        <f t="shared" si="27"/>
        <v>0</v>
      </c>
      <c r="O602" s="43" t="str">
        <f t="shared" si="29"/>
        <v/>
      </c>
      <c r="P602" s="43">
        <f t="shared" si="28"/>
        <v>0</v>
      </c>
    </row>
    <row r="603" spans="1:16">
      <c r="A603" s="48">
        <v>15</v>
      </c>
      <c r="B603" s="49">
        <f>IFERROR(INDEX(الطلاب!$C$5:$C$44,MATCH($D603,الطلاب!$A$5:$A$44,0)),"")</f>
        <v>0</v>
      </c>
      <c r="C603" s="49">
        <f>IFERROR(INDEX(الطلاب!$D$5:$D$44,MATCH($D603,الطلاب!$A$5:$A$44,0)),"")</f>
        <v>0</v>
      </c>
      <c r="D603" s="49">
        <v>39</v>
      </c>
      <c r="E603" s="50">
        <f>IFERROR(INDEX(الطلاب!$B$5:$B$44,MATCH($D603,الطلاب!$A$5:$A$44,0)),"")</f>
        <v>0</v>
      </c>
      <c r="F603" s="40"/>
      <c r="G603" s="40"/>
      <c r="H603" s="40"/>
      <c r="I603" s="40"/>
      <c r="J603" s="40"/>
      <c r="K603" s="36"/>
      <c r="L603" s="43">
        <f>IF(AND($A603='أفضل 5 طلاب'!$C$3,$B603=الإعدادات!$C$8,$N603=1,ISNUMBER($G603)),$G603*100000+N($H603)*100+N($I603)+(1000-ROW())/10000,0)</f>
        <v>0</v>
      </c>
      <c r="M603" s="43">
        <f>IF(AND($A603='أفضل 5 طلاب'!$C$3,$B603=الإعدادات!$C$9,$N603=1,ISNUMBER($G603)),$G603*100000+N($H603)*100+N($I603)+(1000-ROW())/10000,0)</f>
        <v>0</v>
      </c>
      <c r="N603" s="43">
        <f t="shared" si="27"/>
        <v>0</v>
      </c>
      <c r="O603" s="43" t="str">
        <f t="shared" si="29"/>
        <v/>
      </c>
      <c r="P603" s="43">
        <f t="shared" si="28"/>
        <v>0</v>
      </c>
    </row>
    <row r="604" spans="1:16" ht="15.95" thickBot="1">
      <c r="A604" s="48">
        <v>15</v>
      </c>
      <c r="B604" s="49">
        <f>IFERROR(INDEX(الطلاب!$C$5:$C$44,MATCH($D604,الطلاب!$A$5:$A$44,0)),"")</f>
        <v>0</v>
      </c>
      <c r="C604" s="49">
        <f>IFERROR(INDEX(الطلاب!$D$5:$D$44,MATCH($D604,الطلاب!$A$5:$A$44,0)),"")</f>
        <v>0</v>
      </c>
      <c r="D604" s="49">
        <v>40</v>
      </c>
      <c r="E604" s="50">
        <f>IFERROR(INDEX(الطلاب!$B$5:$B$44,MATCH($D604,الطلاب!$A$5:$A$44,0)),"")</f>
        <v>0</v>
      </c>
      <c r="F604" s="40"/>
      <c r="G604" s="40"/>
      <c r="H604" s="40"/>
      <c r="I604" s="40"/>
      <c r="J604" s="40"/>
      <c r="K604" s="36"/>
      <c r="L604" s="43">
        <f>IF(AND($A604='أفضل 5 طلاب'!$C$3,$B604=الإعدادات!$C$8,$N604=1,ISNUMBER($G604)),$G604*100000+N($H604)*100+N($I604)+(1000-ROW())/10000,0)</f>
        <v>0</v>
      </c>
      <c r="M604" s="43">
        <f>IF(AND($A604='أفضل 5 طلاب'!$C$3,$B604=الإعدادات!$C$9,$N604=1,ISNUMBER($G604)),$G604*100000+N($H604)*100+N($I604)+(1000-ROW())/10000,0)</f>
        <v>0</v>
      </c>
      <c r="N604" s="43">
        <f t="shared" si="27"/>
        <v>0</v>
      </c>
      <c r="O604" s="43" t="str">
        <f t="shared" si="29"/>
        <v/>
      </c>
      <c r="P604" s="43">
        <f t="shared" si="28"/>
        <v>0</v>
      </c>
    </row>
    <row r="605" spans="1:16">
      <c r="A605" s="52">
        <v>16</v>
      </c>
      <c r="B605" s="54" t="str">
        <f>IFERROR(INDEX(الطلاب!$C$5:$C$44,MATCH($D605,الطلاب!$A$5:$A$44,0)),"")</f>
        <v>المقرأة الأولى</v>
      </c>
      <c r="C605" s="54" t="str">
        <f>IFERROR(INDEX(الطلاب!$D$5:$D$44,MATCH($D605,الطلاب!$A$5:$A$44,0)),"")</f>
        <v xml:space="preserve">عبدالرحمن بن النعمان </v>
      </c>
      <c r="D605" s="54">
        <v>1</v>
      </c>
      <c r="E605" s="56" t="str">
        <f>IFERROR(INDEX(الطلاب!$B$5:$B$44,MATCH($D605,الطلاب!$A$5:$A$44,0)),"")</f>
        <v>غسان اليحيى</v>
      </c>
      <c r="F605" s="47"/>
      <c r="G605" s="47"/>
      <c r="H605" s="47"/>
      <c r="I605" s="47"/>
      <c r="J605" s="47"/>
      <c r="K605" s="36"/>
      <c r="L605" s="43">
        <f>IF(AND($A605='أفضل 5 طلاب'!$C$3,$B605=الإعدادات!$C$8,$N605=1,ISNUMBER($G605)),$G605*100000+N($H605)*100+N($I605)+(1000-ROW())/10000,0)</f>
        <v>0</v>
      </c>
      <c r="M605" s="43">
        <f>IF(AND($A605='أفضل 5 طلاب'!$C$3,$B605=الإعدادات!$C$9,$N605=1,ISNUMBER($G605)),$G605*100000+N($H605)*100+N($I605)+(1000-ROW())/10000,0)</f>
        <v>0</v>
      </c>
      <c r="N605" s="43">
        <f t="shared" si="27"/>
        <v>0</v>
      </c>
      <c r="O605" s="43" t="str">
        <f t="shared" si="29"/>
        <v/>
      </c>
      <c r="P605" s="43">
        <f t="shared" si="28"/>
        <v>0</v>
      </c>
    </row>
    <row r="606" spans="1:16">
      <c r="A606" s="58">
        <v>16</v>
      </c>
      <c r="B606" s="59" t="str">
        <f>IFERROR(INDEX(الطلاب!$C$5:$C$44,MATCH($D606,الطلاب!$A$5:$A$44,0)),"")</f>
        <v>المقرأة الأولى</v>
      </c>
      <c r="C606" s="59" t="str">
        <f>IFERROR(INDEX(الطلاب!$D$5:$D$44,MATCH($D606,الطلاب!$A$5:$A$44,0)),"")</f>
        <v xml:space="preserve">عبدالرحمن بن النعمان </v>
      </c>
      <c r="D606" s="59">
        <v>2</v>
      </c>
      <c r="E606" s="60" t="str">
        <f>IFERROR(INDEX(الطلاب!$B$5:$B$44,MATCH($D606,الطلاب!$A$5:$A$44,0)),"")</f>
        <v xml:space="preserve">صالح الشريف </v>
      </c>
      <c r="F606" s="40"/>
      <c r="G606" s="40"/>
      <c r="H606" s="40"/>
      <c r="I606" s="40"/>
      <c r="J606" s="40"/>
      <c r="K606" s="36"/>
      <c r="L606" s="43">
        <f>IF(AND($A606='أفضل 5 طلاب'!$C$3,$B606=الإعدادات!$C$8,$N606=1,ISNUMBER($G606)),$G606*100000+N($H606)*100+N($I606)+(1000-ROW())/10000,0)</f>
        <v>0</v>
      </c>
      <c r="M606" s="43">
        <f>IF(AND($A606='أفضل 5 طلاب'!$C$3,$B606=الإعدادات!$C$9,$N606=1,ISNUMBER($G606)),$G606*100000+N($H606)*100+N($I606)+(1000-ROW())/10000,0)</f>
        <v>0</v>
      </c>
      <c r="N606" s="43">
        <f t="shared" si="27"/>
        <v>0</v>
      </c>
      <c r="O606" s="43" t="str">
        <f t="shared" si="29"/>
        <v/>
      </c>
      <c r="P606" s="43">
        <f t="shared" si="28"/>
        <v>0</v>
      </c>
    </row>
    <row r="607" spans="1:16">
      <c r="A607" s="58">
        <v>16</v>
      </c>
      <c r="B607" s="59" t="str">
        <f>IFERROR(INDEX(الطلاب!$C$5:$C$44,MATCH($D607,الطلاب!$A$5:$A$44,0)),"")</f>
        <v>المقرأة الأولى</v>
      </c>
      <c r="C607" s="59" t="str">
        <f>IFERROR(INDEX(الطلاب!$D$5:$D$44,MATCH($D607,الطلاب!$A$5:$A$44,0)),"")</f>
        <v xml:space="preserve">عبدالرحمن بن النعمان </v>
      </c>
      <c r="D607" s="59">
        <v>3</v>
      </c>
      <c r="E607" s="60" t="str">
        <f>IFERROR(INDEX(الطلاب!$B$5:$B$44,MATCH($D607,الطلاب!$A$5:$A$44,0)),"")</f>
        <v xml:space="preserve">فهد المشيقح </v>
      </c>
      <c r="F607" s="40"/>
      <c r="G607" s="40"/>
      <c r="H607" s="40"/>
      <c r="I607" s="40"/>
      <c r="J607" s="40"/>
      <c r="K607" s="36"/>
      <c r="L607" s="43">
        <f>IF(AND($A607='أفضل 5 طلاب'!$C$3,$B607=الإعدادات!$C$8,$N607=1,ISNUMBER($G607)),$G607*100000+N($H607)*100+N($I607)+(1000-ROW())/10000,0)</f>
        <v>0</v>
      </c>
      <c r="M607" s="43">
        <f>IF(AND($A607='أفضل 5 طلاب'!$C$3,$B607=الإعدادات!$C$9,$N607=1,ISNUMBER($G607)),$G607*100000+N($H607)*100+N($I607)+(1000-ROW())/10000,0)</f>
        <v>0</v>
      </c>
      <c r="N607" s="43">
        <f t="shared" si="27"/>
        <v>0</v>
      </c>
      <c r="O607" s="43" t="str">
        <f t="shared" si="29"/>
        <v/>
      </c>
      <c r="P607" s="43">
        <f t="shared" si="28"/>
        <v>0</v>
      </c>
    </row>
    <row r="608" spans="1:16">
      <c r="A608" s="58">
        <v>16</v>
      </c>
      <c r="B608" s="59" t="str">
        <f>IFERROR(INDEX(الطلاب!$C$5:$C$44,MATCH($D608,الطلاب!$A$5:$A$44,0)),"")</f>
        <v>المقرأة الأولى</v>
      </c>
      <c r="C608" s="59" t="str">
        <f>IFERROR(INDEX(الطلاب!$D$5:$D$44,MATCH($D608,الطلاب!$A$5:$A$44,0)),"")</f>
        <v xml:space="preserve">عبدالرحمن بن النعمان </v>
      </c>
      <c r="D608" s="59">
        <v>4</v>
      </c>
      <c r="E608" s="60" t="str">
        <f>IFERROR(INDEX(الطلاب!$B$5:$B$44,MATCH($D608,الطلاب!$A$5:$A$44,0)),"")</f>
        <v>عبدالله الحفير</v>
      </c>
      <c r="F608" s="40"/>
      <c r="G608" s="40"/>
      <c r="H608" s="40"/>
      <c r="I608" s="40"/>
      <c r="J608" s="40"/>
      <c r="K608" s="36"/>
      <c r="L608" s="43">
        <f>IF(AND($A608='أفضل 5 طلاب'!$C$3,$B608=الإعدادات!$C$8,$N608=1,ISNUMBER($G608)),$G608*100000+N($H608)*100+N($I608)+(1000-ROW())/10000,0)</f>
        <v>0</v>
      </c>
      <c r="M608" s="43">
        <f>IF(AND($A608='أفضل 5 طلاب'!$C$3,$B608=الإعدادات!$C$9,$N608=1,ISNUMBER($G608)),$G608*100000+N($H608)*100+N($I608)+(1000-ROW())/10000,0)</f>
        <v>0</v>
      </c>
      <c r="N608" s="43">
        <f t="shared" si="27"/>
        <v>0</v>
      </c>
      <c r="O608" s="43" t="str">
        <f t="shared" si="29"/>
        <v/>
      </c>
      <c r="P608" s="43">
        <f t="shared" si="28"/>
        <v>0</v>
      </c>
    </row>
    <row r="609" spans="1:16">
      <c r="A609" s="58">
        <v>16</v>
      </c>
      <c r="B609" s="59" t="str">
        <f>IFERROR(INDEX(الطلاب!$C$5:$C$44,MATCH($D609,الطلاب!$A$5:$A$44,0)),"")</f>
        <v>المقرأة الأولى</v>
      </c>
      <c r="C609" s="59" t="str">
        <f>IFERROR(INDEX(الطلاب!$D$5:$D$44,MATCH($D609,الطلاب!$A$5:$A$44,0)),"")</f>
        <v xml:space="preserve">عبدالرحمن بن النعمان </v>
      </c>
      <c r="D609" s="59">
        <v>5</v>
      </c>
      <c r="E609" s="60" t="str">
        <f>IFERROR(INDEX(الطلاب!$B$5:$B$44,MATCH($D609,الطلاب!$A$5:$A$44,0)),"")</f>
        <v>زياد الدخيل الله</v>
      </c>
      <c r="F609" s="40"/>
      <c r="G609" s="40"/>
      <c r="H609" s="40"/>
      <c r="I609" s="40"/>
      <c r="J609" s="40"/>
      <c r="K609" s="36"/>
      <c r="L609" s="43">
        <f>IF(AND($A609='أفضل 5 طلاب'!$C$3,$B609=الإعدادات!$C$8,$N609=1,ISNUMBER($G609)),$G609*100000+N($H609)*100+N($I609)+(1000-ROW())/10000,0)</f>
        <v>0</v>
      </c>
      <c r="M609" s="43">
        <f>IF(AND($A609='أفضل 5 طلاب'!$C$3,$B609=الإعدادات!$C$9,$N609=1,ISNUMBER($G609)),$G609*100000+N($H609)*100+N($I609)+(1000-ROW())/10000,0)</f>
        <v>0</v>
      </c>
      <c r="N609" s="43">
        <f t="shared" si="27"/>
        <v>0</v>
      </c>
      <c r="O609" s="43" t="str">
        <f t="shared" si="29"/>
        <v/>
      </c>
      <c r="P609" s="43">
        <f t="shared" si="28"/>
        <v>0</v>
      </c>
    </row>
    <row r="610" spans="1:16">
      <c r="A610" s="58">
        <v>16</v>
      </c>
      <c r="B610" s="59" t="str">
        <f>IFERROR(INDEX(الطلاب!$C$5:$C$44,MATCH($D610,الطلاب!$A$5:$A$44,0)),"")</f>
        <v>المقرأة الأولى</v>
      </c>
      <c r="C610" s="59" t="str">
        <f>IFERROR(INDEX(الطلاب!$D$5:$D$44,MATCH($D610,الطلاب!$A$5:$A$44,0)),"")</f>
        <v xml:space="preserve">ابن رجب </v>
      </c>
      <c r="D610" s="59">
        <v>6</v>
      </c>
      <c r="E610" s="60" t="str">
        <f>IFERROR(INDEX(الطلاب!$B$5:$B$44,MATCH($D610,الطلاب!$A$5:$A$44,0)),"")</f>
        <v xml:space="preserve">عاصم الضبيعي </v>
      </c>
      <c r="F610" s="40"/>
      <c r="G610" s="40"/>
      <c r="H610" s="40"/>
      <c r="I610" s="40"/>
      <c r="J610" s="40"/>
      <c r="K610" s="36"/>
      <c r="L610" s="43">
        <f>IF(AND($A610='أفضل 5 طلاب'!$C$3,$B610=الإعدادات!$C$8,$N610=1,ISNUMBER($G610)),$G610*100000+N($H610)*100+N($I610)+(1000-ROW())/10000,0)</f>
        <v>0</v>
      </c>
      <c r="M610" s="43">
        <f>IF(AND($A610='أفضل 5 طلاب'!$C$3,$B610=الإعدادات!$C$9,$N610=1,ISNUMBER($G610)),$G610*100000+N($H610)*100+N($I610)+(1000-ROW())/10000,0)</f>
        <v>0</v>
      </c>
      <c r="N610" s="43">
        <f t="shared" si="27"/>
        <v>0</v>
      </c>
      <c r="O610" s="43" t="str">
        <f t="shared" si="29"/>
        <v/>
      </c>
      <c r="P610" s="43">
        <f t="shared" si="28"/>
        <v>0</v>
      </c>
    </row>
    <row r="611" spans="1:16">
      <c r="A611" s="58">
        <v>16</v>
      </c>
      <c r="B611" s="59" t="str">
        <f>IFERROR(INDEX(الطلاب!$C$5:$C$44,MATCH($D611,الطلاب!$A$5:$A$44,0)),"")</f>
        <v>المقرأة الأولى</v>
      </c>
      <c r="C611" s="59" t="str">
        <f>IFERROR(INDEX(الطلاب!$D$5:$D$44,MATCH($D611,الطلاب!$A$5:$A$44,0)),"")</f>
        <v xml:space="preserve">ابن رجب </v>
      </c>
      <c r="D611" s="59">
        <v>7</v>
      </c>
      <c r="E611" s="60" t="str">
        <f>IFERROR(INDEX(الطلاب!$B$5:$B$44,MATCH($D611,الطلاب!$A$5:$A$44,0)),"")</f>
        <v>محمد السعوي</v>
      </c>
      <c r="F611" s="40"/>
      <c r="G611" s="40"/>
      <c r="H611" s="40"/>
      <c r="I611" s="40"/>
      <c r="J611" s="40"/>
      <c r="K611" s="36"/>
      <c r="L611" s="43">
        <f>IF(AND($A611='أفضل 5 طلاب'!$C$3,$B611=الإعدادات!$C$8,$N611=1,ISNUMBER($G611)),$G611*100000+N($H611)*100+N($I611)+(1000-ROW())/10000,0)</f>
        <v>0</v>
      </c>
      <c r="M611" s="43">
        <f>IF(AND($A611='أفضل 5 طلاب'!$C$3,$B611=الإعدادات!$C$9,$N611=1,ISNUMBER($G611)),$G611*100000+N($H611)*100+N($I611)+(1000-ROW())/10000,0)</f>
        <v>0</v>
      </c>
      <c r="N611" s="43">
        <f t="shared" si="27"/>
        <v>0</v>
      </c>
      <c r="O611" s="43" t="str">
        <f t="shared" si="29"/>
        <v/>
      </c>
      <c r="P611" s="43">
        <f t="shared" si="28"/>
        <v>0</v>
      </c>
    </row>
    <row r="612" spans="1:16">
      <c r="A612" s="58">
        <v>16</v>
      </c>
      <c r="B612" s="59" t="str">
        <f>IFERROR(INDEX(الطلاب!$C$5:$C$44,MATCH($D612,الطلاب!$A$5:$A$44,0)),"")</f>
        <v>المقرأة الأولى</v>
      </c>
      <c r="C612" s="59" t="str">
        <f>IFERROR(INDEX(الطلاب!$D$5:$D$44,MATCH($D612,الطلاب!$A$5:$A$44,0)),"")</f>
        <v xml:space="preserve">ابن رجب </v>
      </c>
      <c r="D612" s="59">
        <v>8</v>
      </c>
      <c r="E612" s="60" t="str">
        <f>IFERROR(INDEX(الطلاب!$B$5:$B$44,MATCH($D612,الطلاب!$A$5:$A$44,0)),"")</f>
        <v>هشام المخلف</v>
      </c>
      <c r="F612" s="40"/>
      <c r="G612" s="40"/>
      <c r="H612" s="40"/>
      <c r="I612" s="40"/>
      <c r="J612" s="40"/>
      <c r="K612" s="36"/>
      <c r="L612" s="43">
        <f>IF(AND($A612='أفضل 5 طلاب'!$C$3,$B612=الإعدادات!$C$8,$N612=1,ISNUMBER($G612)),$G612*100000+N($H612)*100+N($I612)+(1000-ROW())/10000,0)</f>
        <v>0</v>
      </c>
      <c r="M612" s="43">
        <f>IF(AND($A612='أفضل 5 طلاب'!$C$3,$B612=الإعدادات!$C$9,$N612=1,ISNUMBER($G612)),$G612*100000+N($H612)*100+N($I612)+(1000-ROW())/10000,0)</f>
        <v>0</v>
      </c>
      <c r="N612" s="43">
        <f t="shared" si="27"/>
        <v>0</v>
      </c>
      <c r="O612" s="43" t="str">
        <f t="shared" si="29"/>
        <v/>
      </c>
      <c r="P612" s="43">
        <f t="shared" si="28"/>
        <v>0</v>
      </c>
    </row>
    <row r="613" spans="1:16">
      <c r="A613" s="58">
        <v>16</v>
      </c>
      <c r="B613" s="59" t="str">
        <f>IFERROR(INDEX(الطلاب!$C$5:$C$44,MATCH($D613,الطلاب!$A$5:$A$44,0)),"")</f>
        <v>المقرأة الأولى</v>
      </c>
      <c r="C613" s="59" t="str">
        <f>IFERROR(INDEX(الطلاب!$D$5:$D$44,MATCH($D613,الطلاب!$A$5:$A$44,0)),"")</f>
        <v xml:space="preserve">ابن رجب </v>
      </c>
      <c r="D613" s="59">
        <v>9</v>
      </c>
      <c r="E613" s="60" t="str">
        <f>IFERROR(INDEX(الطلاب!$B$5:$B$44,MATCH($D613,الطلاب!$A$5:$A$44,0)),"")</f>
        <v xml:space="preserve">اسامة السعدون </v>
      </c>
      <c r="F613" s="40"/>
      <c r="G613" s="40"/>
      <c r="H613" s="40"/>
      <c r="I613" s="40"/>
      <c r="J613" s="40"/>
      <c r="K613" s="36"/>
      <c r="L613" s="43">
        <f>IF(AND($A613='أفضل 5 طلاب'!$C$3,$B613=الإعدادات!$C$8,$N613=1,ISNUMBER($G613)),$G613*100000+N($H613)*100+N($I613)+(1000-ROW())/10000,0)</f>
        <v>0</v>
      </c>
      <c r="M613" s="43">
        <f>IF(AND($A613='أفضل 5 طلاب'!$C$3,$B613=الإعدادات!$C$9,$N613=1,ISNUMBER($G613)),$G613*100000+N($H613)*100+N($I613)+(1000-ROW())/10000,0)</f>
        <v>0</v>
      </c>
      <c r="N613" s="43">
        <f t="shared" si="27"/>
        <v>0</v>
      </c>
      <c r="O613" s="43" t="str">
        <f t="shared" si="29"/>
        <v/>
      </c>
      <c r="P613" s="43">
        <f t="shared" si="28"/>
        <v>0</v>
      </c>
    </row>
    <row r="614" spans="1:16">
      <c r="A614" s="58">
        <v>16</v>
      </c>
      <c r="B614" s="59" t="str">
        <f>IFERROR(INDEX(الطلاب!$C$5:$C$44,MATCH($D614,الطلاب!$A$5:$A$44,0)),"")</f>
        <v>المقرأة الأولى</v>
      </c>
      <c r="C614" s="59" t="str">
        <f>IFERROR(INDEX(الطلاب!$D$5:$D$44,MATCH($D614,الطلاب!$A$5:$A$44,0)),"")</f>
        <v xml:space="preserve">حسان بن ثابت </v>
      </c>
      <c r="D614" s="59">
        <v>10</v>
      </c>
      <c r="E614" s="60" t="str">
        <f>IFERROR(INDEX(الطلاب!$B$5:$B$44,MATCH($D614,الطلاب!$A$5:$A$44,0)),"")</f>
        <v xml:space="preserve">محمد الثنيان </v>
      </c>
      <c r="F614" s="40"/>
      <c r="G614" s="40"/>
      <c r="H614" s="40"/>
      <c r="I614" s="40"/>
      <c r="J614" s="40"/>
      <c r="K614" s="36"/>
      <c r="L614" s="43">
        <f>IF(AND($A614='أفضل 5 طلاب'!$C$3,$B614=الإعدادات!$C$8,$N614=1,ISNUMBER($G614)),$G614*100000+N($H614)*100+N($I614)+(1000-ROW())/10000,0)</f>
        <v>0</v>
      </c>
      <c r="M614" s="43">
        <f>IF(AND($A614='أفضل 5 طلاب'!$C$3,$B614=الإعدادات!$C$9,$N614=1,ISNUMBER($G614)),$G614*100000+N($H614)*100+N($I614)+(1000-ROW())/10000,0)</f>
        <v>0</v>
      </c>
      <c r="N614" s="43">
        <f t="shared" si="27"/>
        <v>0</v>
      </c>
      <c r="O614" s="43" t="str">
        <f t="shared" si="29"/>
        <v/>
      </c>
      <c r="P614" s="43">
        <f t="shared" si="28"/>
        <v>0</v>
      </c>
    </row>
    <row r="615" spans="1:16">
      <c r="A615" s="58">
        <v>16</v>
      </c>
      <c r="B615" s="59" t="str">
        <f>IFERROR(INDEX(الطلاب!$C$5:$C$44,MATCH($D615,الطلاب!$A$5:$A$44,0)),"")</f>
        <v>المقرأة الأولى</v>
      </c>
      <c r="C615" s="59" t="str">
        <f>IFERROR(INDEX(الطلاب!$D$5:$D$44,MATCH($D615,الطلاب!$A$5:$A$44,0)),"")</f>
        <v xml:space="preserve">حسان بن ثابت </v>
      </c>
      <c r="D615" s="59">
        <v>11</v>
      </c>
      <c r="E615" s="60" t="str">
        <f>IFERROR(INDEX(الطلاب!$B$5:$B$44,MATCH($D615,الطلاب!$A$5:$A$44,0)),"")</f>
        <v xml:space="preserve">كنان الجريفاني </v>
      </c>
      <c r="F615" s="40"/>
      <c r="G615" s="40"/>
      <c r="H615" s="40"/>
      <c r="I615" s="40"/>
      <c r="J615" s="40"/>
      <c r="K615" s="36"/>
      <c r="L615" s="43">
        <f>IF(AND($A615='أفضل 5 طلاب'!$C$3,$B615=الإعدادات!$C$8,$N615=1,ISNUMBER($G615)),$G615*100000+N($H615)*100+N($I615)+(1000-ROW())/10000,0)</f>
        <v>0</v>
      </c>
      <c r="M615" s="43">
        <f>IF(AND($A615='أفضل 5 طلاب'!$C$3,$B615=الإعدادات!$C$9,$N615=1,ISNUMBER($G615)),$G615*100000+N($H615)*100+N($I615)+(1000-ROW())/10000,0)</f>
        <v>0</v>
      </c>
      <c r="N615" s="43">
        <f t="shared" si="27"/>
        <v>0</v>
      </c>
      <c r="O615" s="43" t="str">
        <f t="shared" si="29"/>
        <v/>
      </c>
      <c r="P615" s="43">
        <f t="shared" si="28"/>
        <v>0</v>
      </c>
    </row>
    <row r="616" spans="1:16">
      <c r="A616" s="58">
        <v>16</v>
      </c>
      <c r="B616" s="59" t="str">
        <f>IFERROR(INDEX(الطلاب!$C$5:$C$44,MATCH($D616,الطلاب!$A$5:$A$44,0)),"")</f>
        <v>المقرأة الأولى</v>
      </c>
      <c r="C616" s="59" t="str">
        <f>IFERROR(INDEX(الطلاب!$D$5:$D$44,MATCH($D616,الطلاب!$A$5:$A$44,0)),"")</f>
        <v xml:space="preserve">حسان بن ثابت </v>
      </c>
      <c r="D616" s="59">
        <v>12</v>
      </c>
      <c r="E616" s="60" t="str">
        <f>IFERROR(INDEX(الطلاب!$B$5:$B$44,MATCH($D616,الطلاب!$A$5:$A$44,0)),"")</f>
        <v xml:space="preserve">عبدالمجيد الربعي </v>
      </c>
      <c r="F616" s="40"/>
      <c r="G616" s="40"/>
      <c r="H616" s="40"/>
      <c r="I616" s="40"/>
      <c r="J616" s="40"/>
      <c r="K616" s="36"/>
      <c r="L616" s="43">
        <f>IF(AND($A616='أفضل 5 طلاب'!$C$3,$B616=الإعدادات!$C$8,$N616=1,ISNUMBER($G616)),$G616*100000+N($H616)*100+N($I616)+(1000-ROW())/10000,0)</f>
        <v>0</v>
      </c>
      <c r="M616" s="43">
        <f>IF(AND($A616='أفضل 5 طلاب'!$C$3,$B616=الإعدادات!$C$9,$N616=1,ISNUMBER($G616)),$G616*100000+N($H616)*100+N($I616)+(1000-ROW())/10000,0)</f>
        <v>0</v>
      </c>
      <c r="N616" s="43">
        <f t="shared" si="27"/>
        <v>0</v>
      </c>
      <c r="O616" s="43" t="str">
        <f t="shared" si="29"/>
        <v/>
      </c>
      <c r="P616" s="43">
        <f t="shared" si="28"/>
        <v>0</v>
      </c>
    </row>
    <row r="617" spans="1:16">
      <c r="A617" s="58">
        <v>16</v>
      </c>
      <c r="B617" s="59" t="str">
        <f>IFERROR(INDEX(الطلاب!$C$5:$C$44,MATCH($D617,الطلاب!$A$5:$A$44,0)),"")</f>
        <v>المقرأة الأولى</v>
      </c>
      <c r="C617" s="59" t="str">
        <f>IFERROR(INDEX(الطلاب!$D$5:$D$44,MATCH($D617,الطلاب!$A$5:$A$44,0)),"")</f>
        <v xml:space="preserve">حسان بن ثابت </v>
      </c>
      <c r="D617" s="59">
        <v>13</v>
      </c>
      <c r="E617" s="60" t="str">
        <f>IFERROR(INDEX(الطلاب!$B$5:$B$44,MATCH($D617,الطلاب!$A$5:$A$44,0)),"")</f>
        <v xml:space="preserve">عبدالله التويجري </v>
      </c>
      <c r="F617" s="40"/>
      <c r="G617" s="40"/>
      <c r="H617" s="40"/>
      <c r="I617" s="40"/>
      <c r="J617" s="40"/>
      <c r="K617" s="36"/>
      <c r="L617" s="43">
        <f>IF(AND($A617='أفضل 5 طلاب'!$C$3,$B617=الإعدادات!$C$8,$N617=1,ISNUMBER($G617)),$G617*100000+N($H617)*100+N($I617)+(1000-ROW())/10000,0)</f>
        <v>0</v>
      </c>
      <c r="M617" s="43">
        <f>IF(AND($A617='أفضل 5 طلاب'!$C$3,$B617=الإعدادات!$C$9,$N617=1,ISNUMBER($G617)),$G617*100000+N($H617)*100+N($I617)+(1000-ROW())/10000,0)</f>
        <v>0</v>
      </c>
      <c r="N617" s="43">
        <f t="shared" si="27"/>
        <v>0</v>
      </c>
      <c r="O617" s="43" t="str">
        <f t="shared" si="29"/>
        <v/>
      </c>
      <c r="P617" s="43">
        <f t="shared" si="28"/>
        <v>0</v>
      </c>
    </row>
    <row r="618" spans="1:16">
      <c r="A618" s="58">
        <v>16</v>
      </c>
      <c r="B618" s="59" t="str">
        <f>IFERROR(INDEX(الطلاب!$C$5:$C$44,MATCH($D618,الطلاب!$A$5:$A$44,0)),"")</f>
        <v>المقرأة الأولى</v>
      </c>
      <c r="C618" s="59" t="str">
        <f>IFERROR(INDEX(الطلاب!$D$5:$D$44,MATCH($D618,الطلاب!$A$5:$A$44,0)),"")</f>
        <v xml:space="preserve">حسان بن ثابت </v>
      </c>
      <c r="D618" s="59">
        <v>14</v>
      </c>
      <c r="E618" s="60" t="str">
        <f>IFERROR(INDEX(الطلاب!$B$5:$B$44,MATCH($D618,الطلاب!$A$5:$A$44,0)),"")</f>
        <v xml:space="preserve">حسام التويجري </v>
      </c>
      <c r="F618" s="40"/>
      <c r="G618" s="40"/>
      <c r="H618" s="40"/>
      <c r="I618" s="40"/>
      <c r="J618" s="40"/>
      <c r="K618" s="36"/>
      <c r="L618" s="43">
        <f>IF(AND($A618='أفضل 5 طلاب'!$C$3,$B618=الإعدادات!$C$8,$N618=1,ISNUMBER($G618)),$G618*100000+N($H618)*100+N($I618)+(1000-ROW())/10000,0)</f>
        <v>0</v>
      </c>
      <c r="M618" s="43">
        <f>IF(AND($A618='أفضل 5 طلاب'!$C$3,$B618=الإعدادات!$C$9,$N618=1,ISNUMBER($G618)),$G618*100000+N($H618)*100+N($I618)+(1000-ROW())/10000,0)</f>
        <v>0</v>
      </c>
      <c r="N618" s="43">
        <f t="shared" si="27"/>
        <v>0</v>
      </c>
      <c r="O618" s="43" t="str">
        <f t="shared" si="29"/>
        <v/>
      </c>
      <c r="P618" s="43">
        <f t="shared" si="28"/>
        <v>0</v>
      </c>
    </row>
    <row r="619" spans="1:16">
      <c r="A619" s="58">
        <v>16</v>
      </c>
      <c r="B619" s="59" t="str">
        <f>IFERROR(INDEX(الطلاب!$C$5:$C$44,MATCH($D619,الطلاب!$A$5:$A$44,0)),"")</f>
        <v>المقرأة الأولى</v>
      </c>
      <c r="C619" s="59" t="str">
        <f>IFERROR(INDEX(الطلاب!$D$5:$D$44,MATCH($D619,الطلاب!$A$5:$A$44,0)),"")</f>
        <v xml:space="preserve">حسان بن ثابت </v>
      </c>
      <c r="D619" s="59">
        <v>15</v>
      </c>
      <c r="E619" s="60" t="str">
        <f>IFERROR(INDEX(الطلاب!$B$5:$B$44,MATCH($D619,الطلاب!$A$5:$A$44,0)),"")</f>
        <v xml:space="preserve">عبدالرحمن البريدي </v>
      </c>
      <c r="F619" s="40"/>
      <c r="G619" s="40"/>
      <c r="H619" s="40"/>
      <c r="I619" s="40"/>
      <c r="J619" s="40"/>
      <c r="K619" s="36"/>
      <c r="L619" s="43">
        <f>IF(AND($A619='أفضل 5 طلاب'!$C$3,$B619=الإعدادات!$C$8,$N619=1,ISNUMBER($G619)),$G619*100000+N($H619)*100+N($I619)+(1000-ROW())/10000,0)</f>
        <v>0</v>
      </c>
      <c r="M619" s="43">
        <f>IF(AND($A619='أفضل 5 طلاب'!$C$3,$B619=الإعدادات!$C$9,$N619=1,ISNUMBER($G619)),$G619*100000+N($H619)*100+N($I619)+(1000-ROW())/10000,0)</f>
        <v>0</v>
      </c>
      <c r="N619" s="43">
        <f t="shared" si="27"/>
        <v>0</v>
      </c>
      <c r="O619" s="43" t="str">
        <f t="shared" si="29"/>
        <v/>
      </c>
      <c r="P619" s="43">
        <f t="shared" si="28"/>
        <v>0</v>
      </c>
    </row>
    <row r="620" spans="1:16">
      <c r="A620" s="58">
        <v>16</v>
      </c>
      <c r="B620" s="59" t="str">
        <f>IFERROR(INDEX(الطلاب!$C$5:$C$44,MATCH($D620,الطلاب!$A$5:$A$44,0)),"")</f>
        <v>المقرأة الأولى</v>
      </c>
      <c r="C620" s="59" t="str">
        <f>IFERROR(INDEX(الطلاب!$D$5:$D$44,MATCH($D620,الطلاب!$A$5:$A$44,0)),"")</f>
        <v xml:space="preserve">حسان بن ثابت </v>
      </c>
      <c r="D620" s="59">
        <v>16</v>
      </c>
      <c r="E620" s="60" t="str">
        <f>IFERROR(INDEX(الطلاب!$B$5:$B$44,MATCH($D620,الطلاب!$A$5:$A$44,0)),"")</f>
        <v>عبدالرحمن بازرعة</v>
      </c>
      <c r="F620" s="40"/>
      <c r="G620" s="40"/>
      <c r="H620" s="40"/>
      <c r="I620" s="40"/>
      <c r="J620" s="40"/>
      <c r="K620" s="36"/>
      <c r="L620" s="43">
        <f>IF(AND($A620='أفضل 5 طلاب'!$C$3,$B620=الإعدادات!$C$8,$N620=1,ISNUMBER($G620)),$G620*100000+N($H620)*100+N($I620)+(1000-ROW())/10000,0)</f>
        <v>0</v>
      </c>
      <c r="M620" s="43">
        <f>IF(AND($A620='أفضل 5 طلاب'!$C$3,$B620=الإعدادات!$C$9,$N620=1,ISNUMBER($G620)),$G620*100000+N($H620)*100+N($I620)+(1000-ROW())/10000,0)</f>
        <v>0</v>
      </c>
      <c r="N620" s="43">
        <f t="shared" si="27"/>
        <v>0</v>
      </c>
      <c r="O620" s="43" t="str">
        <f t="shared" si="29"/>
        <v/>
      </c>
      <c r="P620" s="43">
        <f t="shared" si="28"/>
        <v>0</v>
      </c>
    </row>
    <row r="621" spans="1:16">
      <c r="A621" s="58">
        <v>16</v>
      </c>
      <c r="B621" s="59" t="str">
        <f>IFERROR(INDEX(الطلاب!$C$5:$C$44,MATCH($D621,الطلاب!$A$5:$A$44,0)),"")</f>
        <v>المقرأة الأولى</v>
      </c>
      <c r="C621" s="59" t="str">
        <f>IFERROR(INDEX(الطلاب!$D$5:$D$44,MATCH($D621,الطلاب!$A$5:$A$44,0)),"")</f>
        <v xml:space="preserve">حسان بن ثابت </v>
      </c>
      <c r="D621" s="59">
        <v>17</v>
      </c>
      <c r="E621" s="60" t="str">
        <f>IFERROR(INDEX(الطلاب!$B$5:$B$44,MATCH($D621,الطلاب!$A$5:$A$44,0)),"")</f>
        <v xml:space="preserve">عبدالله الضحيان </v>
      </c>
      <c r="F621" s="40"/>
      <c r="G621" s="40"/>
      <c r="H621" s="40"/>
      <c r="I621" s="40"/>
      <c r="J621" s="40"/>
      <c r="K621" s="36"/>
      <c r="L621" s="43">
        <f>IF(AND($A621='أفضل 5 طلاب'!$C$3,$B621=الإعدادات!$C$8,$N621=1,ISNUMBER($G621)),$G621*100000+N($H621)*100+N($I621)+(1000-ROW())/10000,0)</f>
        <v>0</v>
      </c>
      <c r="M621" s="43">
        <f>IF(AND($A621='أفضل 5 طلاب'!$C$3,$B621=الإعدادات!$C$9,$N621=1,ISNUMBER($G621)),$G621*100000+N($H621)*100+N($I621)+(1000-ROW())/10000,0)</f>
        <v>0</v>
      </c>
      <c r="N621" s="43">
        <f t="shared" si="27"/>
        <v>0</v>
      </c>
      <c r="O621" s="43" t="str">
        <f t="shared" si="29"/>
        <v/>
      </c>
      <c r="P621" s="43">
        <f t="shared" si="28"/>
        <v>0</v>
      </c>
    </row>
    <row r="622" spans="1:16">
      <c r="A622" s="58">
        <v>16</v>
      </c>
      <c r="B622" s="59" t="str">
        <f>IFERROR(INDEX(الطلاب!$C$5:$C$44,MATCH($D622,الطلاب!$A$5:$A$44,0)),"")</f>
        <v>المقرأة الأولى</v>
      </c>
      <c r="C622" s="59" t="str">
        <f>IFERROR(INDEX(الطلاب!$D$5:$D$44,MATCH($D622,الطلاب!$A$5:$A$44,0)),"")</f>
        <v xml:space="preserve">حسان بن ثابت </v>
      </c>
      <c r="D622" s="59">
        <v>18</v>
      </c>
      <c r="E622" s="60" t="str">
        <f>IFERROR(INDEX(الطلاب!$B$5:$B$44,MATCH($D622,الطلاب!$A$5:$A$44,0)),"")</f>
        <v xml:space="preserve">فيصل الدخيل </v>
      </c>
      <c r="F622" s="40"/>
      <c r="G622" s="40"/>
      <c r="H622" s="40"/>
      <c r="I622" s="40"/>
      <c r="J622" s="40"/>
      <c r="K622" s="36"/>
      <c r="L622" s="43">
        <f>IF(AND($A622='أفضل 5 طلاب'!$C$3,$B622=الإعدادات!$C$8,$N622=1,ISNUMBER($G622)),$G622*100000+N($H622)*100+N($I622)+(1000-ROW())/10000,0)</f>
        <v>0</v>
      </c>
      <c r="M622" s="43">
        <f>IF(AND($A622='أفضل 5 طلاب'!$C$3,$B622=الإعدادات!$C$9,$N622=1,ISNUMBER($G622)),$G622*100000+N($H622)*100+N($I622)+(1000-ROW())/10000,0)</f>
        <v>0</v>
      </c>
      <c r="N622" s="43">
        <f t="shared" si="27"/>
        <v>0</v>
      </c>
      <c r="O622" s="43" t="str">
        <f t="shared" si="29"/>
        <v/>
      </c>
      <c r="P622" s="43">
        <f t="shared" si="28"/>
        <v>0</v>
      </c>
    </row>
    <row r="623" spans="1:16">
      <c r="A623" s="58">
        <v>16</v>
      </c>
      <c r="B623" s="59" t="str">
        <f>IFERROR(INDEX(الطلاب!$C$5:$C$44,MATCH($D623,الطلاب!$A$5:$A$44,0)),"")</f>
        <v>المقرأة الأولى</v>
      </c>
      <c r="C623" s="59" t="str">
        <f>IFERROR(INDEX(الطلاب!$D$5:$D$44,MATCH($D623,الطلاب!$A$5:$A$44,0)),"")</f>
        <v xml:space="preserve">حسان بن ثابت </v>
      </c>
      <c r="D623" s="59">
        <v>19</v>
      </c>
      <c r="E623" s="60" t="str">
        <f>IFERROR(INDEX(الطلاب!$B$5:$B$44,MATCH($D623,الطلاب!$A$5:$A$44,0)),"")</f>
        <v xml:space="preserve">سليمان المحيميد </v>
      </c>
      <c r="F623" s="40"/>
      <c r="G623" s="40"/>
      <c r="H623" s="40"/>
      <c r="I623" s="40"/>
      <c r="J623" s="40"/>
      <c r="K623" s="36"/>
      <c r="L623" s="43">
        <f>IF(AND($A623='أفضل 5 طلاب'!$C$3,$B623=الإعدادات!$C$8,$N623=1,ISNUMBER($G623)),$G623*100000+N($H623)*100+N($I623)+(1000-ROW())/10000,0)</f>
        <v>0</v>
      </c>
      <c r="M623" s="43">
        <f>IF(AND($A623='أفضل 5 طلاب'!$C$3,$B623=الإعدادات!$C$9,$N623=1,ISNUMBER($G623)),$G623*100000+N($H623)*100+N($I623)+(1000-ROW())/10000,0)</f>
        <v>0</v>
      </c>
      <c r="N623" s="43">
        <f t="shared" si="27"/>
        <v>0</v>
      </c>
      <c r="O623" s="43" t="str">
        <f t="shared" si="29"/>
        <v/>
      </c>
      <c r="P623" s="43">
        <f t="shared" si="28"/>
        <v>0</v>
      </c>
    </row>
    <row r="624" spans="1:16">
      <c r="A624" s="58">
        <v>16</v>
      </c>
      <c r="B624" s="59" t="str">
        <f>IFERROR(INDEX(الطلاب!$C$5:$C$44,MATCH($D624,الطلاب!$A$5:$A$44,0)),"")</f>
        <v>المقرأة الثانية</v>
      </c>
      <c r="C624" s="59" t="str">
        <f>IFERROR(INDEX(الطلاب!$D$5:$D$44,MATCH($D624,الطلاب!$A$5:$A$44,0)),"")</f>
        <v xml:space="preserve">ابن رجب </v>
      </c>
      <c r="D624" s="59">
        <v>20</v>
      </c>
      <c r="E624" s="60" t="str">
        <f>IFERROR(INDEX(الطلاب!$B$5:$B$44,MATCH($D624,الطلاب!$A$5:$A$44,0)),"")</f>
        <v xml:space="preserve">اصيل التويجري </v>
      </c>
      <c r="F624" s="40"/>
      <c r="G624" s="40"/>
      <c r="H624" s="40"/>
      <c r="I624" s="40"/>
      <c r="J624" s="40"/>
      <c r="K624" s="36"/>
      <c r="L624" s="43">
        <f>IF(AND($A624='أفضل 5 طلاب'!$C$3,$B624=الإعدادات!$C$8,$N624=1,ISNUMBER($G624)),$G624*100000+N($H624)*100+N($I624)+(1000-ROW())/10000,0)</f>
        <v>0</v>
      </c>
      <c r="M624" s="43">
        <f>IF(AND($A624='أفضل 5 طلاب'!$C$3,$B624=الإعدادات!$C$9,$N624=1,ISNUMBER($G624)),$G624*100000+N($H624)*100+N($I624)+(1000-ROW())/10000,0)</f>
        <v>0</v>
      </c>
      <c r="N624" s="43">
        <f t="shared" si="27"/>
        <v>0</v>
      </c>
      <c r="O624" s="43" t="str">
        <f t="shared" si="29"/>
        <v/>
      </c>
      <c r="P624" s="43">
        <f t="shared" si="28"/>
        <v>0</v>
      </c>
    </row>
    <row r="625" spans="1:16">
      <c r="A625" s="58">
        <v>16</v>
      </c>
      <c r="B625" s="59" t="str">
        <f>IFERROR(INDEX(الطلاب!$C$5:$C$44,MATCH($D625,الطلاب!$A$5:$A$44,0)),"")</f>
        <v>المقرأة الثانية</v>
      </c>
      <c r="C625" s="59" t="str">
        <f>IFERROR(INDEX(الطلاب!$D$5:$D$44,MATCH($D625,الطلاب!$A$5:$A$44,0)),"")</f>
        <v xml:space="preserve">ابن رجب </v>
      </c>
      <c r="D625" s="59">
        <v>21</v>
      </c>
      <c r="E625" s="60" t="str">
        <f>IFERROR(INDEX(الطلاب!$B$5:$B$44,MATCH($D625,الطلاب!$A$5:$A$44,0)),"")</f>
        <v xml:space="preserve">جواد الرفيعي </v>
      </c>
      <c r="F625" s="40"/>
      <c r="G625" s="40"/>
      <c r="H625" s="40"/>
      <c r="I625" s="40"/>
      <c r="J625" s="40"/>
      <c r="K625" s="36"/>
      <c r="L625" s="43">
        <f>IF(AND($A625='أفضل 5 طلاب'!$C$3,$B625=الإعدادات!$C$8,$N625=1,ISNUMBER($G625)),$G625*100000+N($H625)*100+N($I625)+(1000-ROW())/10000,0)</f>
        <v>0</v>
      </c>
      <c r="M625" s="43">
        <f>IF(AND($A625='أفضل 5 طلاب'!$C$3,$B625=الإعدادات!$C$9,$N625=1,ISNUMBER($G625)),$G625*100000+N($H625)*100+N($I625)+(1000-ROW())/10000,0)</f>
        <v>0</v>
      </c>
      <c r="N625" s="43">
        <f t="shared" si="27"/>
        <v>0</v>
      </c>
      <c r="O625" s="43" t="str">
        <f t="shared" si="29"/>
        <v/>
      </c>
      <c r="P625" s="43">
        <f t="shared" si="28"/>
        <v>0</v>
      </c>
    </row>
    <row r="626" spans="1:16">
      <c r="A626" s="58">
        <v>16</v>
      </c>
      <c r="B626" s="59" t="str">
        <f>IFERROR(INDEX(الطلاب!$C$5:$C$44,MATCH($D626,الطلاب!$A$5:$A$44,0)),"")</f>
        <v>المقرأة الثانية</v>
      </c>
      <c r="C626" s="59" t="str">
        <f>IFERROR(INDEX(الطلاب!$D$5:$D$44,MATCH($D626,الطلاب!$A$5:$A$44,0)),"")</f>
        <v xml:space="preserve">ابن رجب </v>
      </c>
      <c r="D626" s="59">
        <v>22</v>
      </c>
      <c r="E626" s="60" t="str">
        <f>IFERROR(INDEX(الطلاب!$B$5:$B$44,MATCH($D626,الطلاب!$A$5:$A$44,0)),"")</f>
        <v xml:space="preserve">سفيان السبيعي </v>
      </c>
      <c r="F626" s="40"/>
      <c r="G626" s="40"/>
      <c r="H626" s="40"/>
      <c r="I626" s="40"/>
      <c r="J626" s="40"/>
      <c r="K626" s="36"/>
      <c r="L626" s="43">
        <f>IF(AND($A626='أفضل 5 طلاب'!$C$3,$B626=الإعدادات!$C$8,$N626=1,ISNUMBER($G626)),$G626*100000+N($H626)*100+N($I626)+(1000-ROW())/10000,0)</f>
        <v>0</v>
      </c>
      <c r="M626" s="43">
        <f>IF(AND($A626='أفضل 5 طلاب'!$C$3,$B626=الإعدادات!$C$9,$N626=1,ISNUMBER($G626)),$G626*100000+N($H626)*100+N($I626)+(1000-ROW())/10000,0)</f>
        <v>0</v>
      </c>
      <c r="N626" s="43">
        <f t="shared" si="27"/>
        <v>0</v>
      </c>
      <c r="O626" s="43" t="str">
        <f t="shared" si="29"/>
        <v/>
      </c>
      <c r="P626" s="43">
        <f t="shared" si="28"/>
        <v>0</v>
      </c>
    </row>
    <row r="627" spans="1:16">
      <c r="A627" s="58">
        <v>16</v>
      </c>
      <c r="B627" s="59" t="str">
        <f>IFERROR(INDEX(الطلاب!$C$5:$C$44,MATCH($D627,الطلاب!$A$5:$A$44,0)),"")</f>
        <v>المقرأة الثانية</v>
      </c>
      <c r="C627" s="59" t="str">
        <f>IFERROR(INDEX(الطلاب!$D$5:$D$44,MATCH($D627,الطلاب!$A$5:$A$44,0)),"")</f>
        <v xml:space="preserve">ابن رجب </v>
      </c>
      <c r="D627" s="59">
        <v>23</v>
      </c>
      <c r="E627" s="60" t="str">
        <f>IFERROR(INDEX(الطلاب!$B$5:$B$44,MATCH($D627,الطلاب!$A$5:$A$44,0)),"")</f>
        <v xml:space="preserve">عمار الفضل </v>
      </c>
      <c r="F627" s="40"/>
      <c r="G627" s="40"/>
      <c r="H627" s="40"/>
      <c r="I627" s="40"/>
      <c r="J627" s="40"/>
      <c r="K627" s="36"/>
      <c r="L627" s="43">
        <f>IF(AND($A627='أفضل 5 طلاب'!$C$3,$B627=الإعدادات!$C$8,$N627=1,ISNUMBER($G627)),$G627*100000+N($H627)*100+N($I627)+(1000-ROW())/10000,0)</f>
        <v>0</v>
      </c>
      <c r="M627" s="43">
        <f>IF(AND($A627='أفضل 5 طلاب'!$C$3,$B627=الإعدادات!$C$9,$N627=1,ISNUMBER($G627)),$G627*100000+N($H627)*100+N($I627)+(1000-ROW())/10000,0)</f>
        <v>0</v>
      </c>
      <c r="N627" s="43">
        <f t="shared" si="27"/>
        <v>0</v>
      </c>
      <c r="O627" s="43" t="str">
        <f t="shared" si="29"/>
        <v/>
      </c>
      <c r="P627" s="43">
        <f t="shared" si="28"/>
        <v>0</v>
      </c>
    </row>
    <row r="628" spans="1:16">
      <c r="A628" s="58">
        <v>16</v>
      </c>
      <c r="B628" s="59" t="str">
        <f>IFERROR(INDEX(الطلاب!$C$5:$C$44,MATCH($D628,الطلاب!$A$5:$A$44,0)),"")</f>
        <v>المقرأة الثانية</v>
      </c>
      <c r="C628" s="59" t="str">
        <f>IFERROR(INDEX(الطلاب!$D$5:$D$44,MATCH($D628,الطلاب!$A$5:$A$44,0)),"")</f>
        <v xml:space="preserve">ابن رجب </v>
      </c>
      <c r="D628" s="59">
        <v>24</v>
      </c>
      <c r="E628" s="60" t="str">
        <f>IFERROR(INDEX(الطلاب!$B$5:$B$44,MATCH($D628,الطلاب!$A$5:$A$44,0)),"")</f>
        <v xml:space="preserve">مروان المهوس </v>
      </c>
      <c r="F628" s="40"/>
      <c r="G628" s="40"/>
      <c r="H628" s="40"/>
      <c r="I628" s="40"/>
      <c r="J628" s="40"/>
      <c r="K628" s="36"/>
      <c r="L628" s="43">
        <f>IF(AND($A628='أفضل 5 طلاب'!$C$3,$B628=الإعدادات!$C$8,$N628=1,ISNUMBER($G628)),$G628*100000+N($H628)*100+N($I628)+(1000-ROW())/10000,0)</f>
        <v>0</v>
      </c>
      <c r="M628" s="43">
        <f>IF(AND($A628='أفضل 5 طلاب'!$C$3,$B628=الإعدادات!$C$9,$N628=1,ISNUMBER($G628)),$G628*100000+N($H628)*100+N($I628)+(1000-ROW())/10000,0)</f>
        <v>0</v>
      </c>
      <c r="N628" s="43">
        <f t="shared" si="27"/>
        <v>0</v>
      </c>
      <c r="O628" s="43" t="str">
        <f t="shared" si="29"/>
        <v/>
      </c>
      <c r="P628" s="43">
        <f t="shared" si="28"/>
        <v>0</v>
      </c>
    </row>
    <row r="629" spans="1:16">
      <c r="A629" s="58">
        <v>16</v>
      </c>
      <c r="B629" s="59" t="str">
        <f>IFERROR(INDEX(الطلاب!$C$5:$C$44,MATCH($D629,الطلاب!$A$5:$A$44,0)),"")</f>
        <v>المقرأة الثانية</v>
      </c>
      <c r="C629" s="59" t="str">
        <f>IFERROR(INDEX(الطلاب!$D$5:$D$44,MATCH($D629,الطلاب!$A$5:$A$44,0)),"")</f>
        <v xml:space="preserve">ابن رجب </v>
      </c>
      <c r="D629" s="59">
        <v>25</v>
      </c>
      <c r="E629" s="60" t="str">
        <f>IFERROR(INDEX(الطلاب!$B$5:$B$44,MATCH($D629,الطلاب!$A$5:$A$44,0)),"")</f>
        <v>جهاد الجدعان</v>
      </c>
      <c r="F629" s="40"/>
      <c r="G629" s="40"/>
      <c r="H629" s="40"/>
      <c r="I629" s="40"/>
      <c r="J629" s="40"/>
      <c r="K629" s="36"/>
      <c r="L629" s="43">
        <f>IF(AND($A629='أفضل 5 طلاب'!$C$3,$B629=الإعدادات!$C$8,$N629=1,ISNUMBER($G629)),$G629*100000+N($H629)*100+N($I629)+(1000-ROW())/10000,0)</f>
        <v>0</v>
      </c>
      <c r="M629" s="43">
        <f>IF(AND($A629='أفضل 5 طلاب'!$C$3,$B629=الإعدادات!$C$9,$N629=1,ISNUMBER($G629)),$G629*100000+N($H629)*100+N($I629)+(1000-ROW())/10000,0)</f>
        <v>0</v>
      </c>
      <c r="N629" s="43">
        <f t="shared" si="27"/>
        <v>0</v>
      </c>
      <c r="O629" s="43" t="str">
        <f t="shared" si="29"/>
        <v/>
      </c>
      <c r="P629" s="43">
        <f t="shared" si="28"/>
        <v>0</v>
      </c>
    </row>
    <row r="630" spans="1:16">
      <c r="A630" s="58">
        <v>16</v>
      </c>
      <c r="B630" s="59" t="str">
        <f>IFERROR(INDEX(الطلاب!$C$5:$C$44,MATCH($D630,الطلاب!$A$5:$A$44,0)),"")</f>
        <v>المقرأة الثانية</v>
      </c>
      <c r="C630" s="59" t="str">
        <f>IFERROR(INDEX(الطلاب!$D$5:$D$44,MATCH($D630,الطلاب!$A$5:$A$44,0)),"")</f>
        <v xml:space="preserve">ابن رجب </v>
      </c>
      <c r="D630" s="59">
        <v>26</v>
      </c>
      <c r="E630" s="60" t="str">
        <f>IFERROR(INDEX(الطلاب!$B$5:$B$44,MATCH($D630,الطلاب!$A$5:$A$44,0)),"")</f>
        <v>صلاح مسعد</v>
      </c>
      <c r="F630" s="40"/>
      <c r="G630" s="40"/>
      <c r="H630" s="40"/>
      <c r="I630" s="40"/>
      <c r="J630" s="40"/>
      <c r="K630" s="36"/>
      <c r="L630" s="43">
        <f>IF(AND($A630='أفضل 5 طلاب'!$C$3,$B630=الإعدادات!$C$8,$N630=1,ISNUMBER($G630)),$G630*100000+N($H630)*100+N($I630)+(1000-ROW())/10000,0)</f>
        <v>0</v>
      </c>
      <c r="M630" s="43">
        <f>IF(AND($A630='أفضل 5 طلاب'!$C$3,$B630=الإعدادات!$C$9,$N630=1,ISNUMBER($G630)),$G630*100000+N($H630)*100+N($I630)+(1000-ROW())/10000,0)</f>
        <v>0</v>
      </c>
      <c r="N630" s="43">
        <f t="shared" si="27"/>
        <v>0</v>
      </c>
      <c r="O630" s="43" t="str">
        <f t="shared" si="29"/>
        <v/>
      </c>
      <c r="P630" s="43">
        <f t="shared" si="28"/>
        <v>0</v>
      </c>
    </row>
    <row r="631" spans="1:16">
      <c r="A631" s="58">
        <v>16</v>
      </c>
      <c r="B631" s="59" t="str">
        <f>IFERROR(INDEX(الطلاب!$C$5:$C$44,MATCH($D631,الطلاب!$A$5:$A$44,0)),"")</f>
        <v>المقرأة الثانية</v>
      </c>
      <c r="C631" s="59" t="str">
        <f>IFERROR(INDEX(الطلاب!$D$5:$D$44,MATCH($D631,الطلاب!$A$5:$A$44,0)),"")</f>
        <v xml:space="preserve">ابي بن مالك </v>
      </c>
      <c r="D631" s="59">
        <v>27</v>
      </c>
      <c r="E631" s="60" t="str">
        <f>IFERROR(INDEX(الطلاب!$B$5:$B$44,MATCH($D631,الطلاب!$A$5:$A$44,0)),"")</f>
        <v>سالم بانوير</v>
      </c>
      <c r="F631" s="40"/>
      <c r="G631" s="40"/>
      <c r="H631" s="40"/>
      <c r="I631" s="40"/>
      <c r="J631" s="40"/>
      <c r="K631" s="36"/>
      <c r="L631" s="43">
        <f>IF(AND($A631='أفضل 5 طلاب'!$C$3,$B631=الإعدادات!$C$8,$N631=1,ISNUMBER($G631)),$G631*100000+N($H631)*100+N($I631)+(1000-ROW())/10000,0)</f>
        <v>0</v>
      </c>
      <c r="M631" s="43">
        <f>IF(AND($A631='أفضل 5 طلاب'!$C$3,$B631=الإعدادات!$C$9,$N631=1,ISNUMBER($G631)),$G631*100000+N($H631)*100+N($I631)+(1000-ROW())/10000,0)</f>
        <v>0</v>
      </c>
      <c r="N631" s="43">
        <f t="shared" si="27"/>
        <v>0</v>
      </c>
      <c r="O631" s="43" t="str">
        <f t="shared" si="29"/>
        <v/>
      </c>
      <c r="P631" s="43">
        <f t="shared" si="28"/>
        <v>0</v>
      </c>
    </row>
    <row r="632" spans="1:16">
      <c r="A632" s="58">
        <v>16</v>
      </c>
      <c r="B632" s="59" t="str">
        <f>IFERROR(INDEX(الطلاب!$C$5:$C$44,MATCH($D632,الطلاب!$A$5:$A$44,0)),"")</f>
        <v>المقرأة الثانية</v>
      </c>
      <c r="C632" s="59" t="str">
        <f>IFERROR(INDEX(الطلاب!$D$5:$D$44,MATCH($D632,الطلاب!$A$5:$A$44,0)),"")</f>
        <v xml:space="preserve">ابي بن مالك </v>
      </c>
      <c r="D632" s="59">
        <v>28</v>
      </c>
      <c r="E632" s="60" t="str">
        <f>IFERROR(INDEX(الطلاب!$B$5:$B$44,MATCH($D632,الطلاب!$A$5:$A$44,0)),"")</f>
        <v xml:space="preserve">عبدالعزيز الصقعبي </v>
      </c>
      <c r="F632" s="40"/>
      <c r="G632" s="40"/>
      <c r="H632" s="40"/>
      <c r="I632" s="40"/>
      <c r="J632" s="40"/>
      <c r="K632" s="36"/>
      <c r="L632" s="43">
        <f>IF(AND($A632='أفضل 5 طلاب'!$C$3,$B632=الإعدادات!$C$8,$N632=1,ISNUMBER($G632)),$G632*100000+N($H632)*100+N($I632)+(1000-ROW())/10000,0)</f>
        <v>0</v>
      </c>
      <c r="M632" s="43">
        <f>IF(AND($A632='أفضل 5 طلاب'!$C$3,$B632=الإعدادات!$C$9,$N632=1,ISNUMBER($G632)),$G632*100000+N($H632)*100+N($I632)+(1000-ROW())/10000,0)</f>
        <v>0</v>
      </c>
      <c r="N632" s="43">
        <f t="shared" si="27"/>
        <v>0</v>
      </c>
      <c r="O632" s="43" t="str">
        <f t="shared" si="29"/>
        <v/>
      </c>
      <c r="P632" s="43">
        <f t="shared" si="28"/>
        <v>0</v>
      </c>
    </row>
    <row r="633" spans="1:16">
      <c r="A633" s="58">
        <v>16</v>
      </c>
      <c r="B633" s="59" t="str">
        <f>IFERROR(INDEX(الطلاب!$C$5:$C$44,MATCH($D633,الطلاب!$A$5:$A$44,0)),"")</f>
        <v>المقرأة الثانية</v>
      </c>
      <c r="C633" s="59" t="str">
        <f>IFERROR(INDEX(الطلاب!$D$5:$D$44,MATCH($D633,الطلاب!$A$5:$A$44,0)),"")</f>
        <v xml:space="preserve">ابي بن مالك </v>
      </c>
      <c r="D633" s="59">
        <v>29</v>
      </c>
      <c r="E633" s="60" t="str">
        <f>IFERROR(INDEX(الطلاب!$B$5:$B$44,MATCH($D633,الطلاب!$A$5:$A$44,0)),"")</f>
        <v xml:space="preserve">عبدالله المجيدل </v>
      </c>
      <c r="F633" s="40"/>
      <c r="G633" s="40"/>
      <c r="H633" s="40"/>
      <c r="I633" s="40"/>
      <c r="J633" s="40"/>
      <c r="K633" s="36"/>
      <c r="L633" s="43">
        <f>IF(AND($A633='أفضل 5 طلاب'!$C$3,$B633=الإعدادات!$C$8,$N633=1,ISNUMBER($G633)),$G633*100000+N($H633)*100+N($I633)+(1000-ROW())/10000,0)</f>
        <v>0</v>
      </c>
      <c r="M633" s="43">
        <f>IF(AND($A633='أفضل 5 طلاب'!$C$3,$B633=الإعدادات!$C$9,$N633=1,ISNUMBER($G633)),$G633*100000+N($H633)*100+N($I633)+(1000-ROW())/10000,0)</f>
        <v>0</v>
      </c>
      <c r="N633" s="43">
        <f t="shared" si="27"/>
        <v>0</v>
      </c>
      <c r="O633" s="43" t="str">
        <f t="shared" si="29"/>
        <v/>
      </c>
      <c r="P633" s="43">
        <f t="shared" si="28"/>
        <v>0</v>
      </c>
    </row>
    <row r="634" spans="1:16">
      <c r="A634" s="58">
        <v>16</v>
      </c>
      <c r="B634" s="59" t="str">
        <f>IFERROR(INDEX(الطلاب!$C$5:$C$44,MATCH($D634,الطلاب!$A$5:$A$44,0)),"")</f>
        <v>المقرأة الثانية</v>
      </c>
      <c r="C634" s="59" t="str">
        <f>IFERROR(INDEX(الطلاب!$D$5:$D$44,MATCH($D634,الطلاب!$A$5:$A$44,0)),"")</f>
        <v xml:space="preserve">ابي بن مالك </v>
      </c>
      <c r="D634" s="59">
        <v>30</v>
      </c>
      <c r="E634" s="60" t="str">
        <f>IFERROR(INDEX(الطلاب!$B$5:$B$44,MATCH($D634,الطلاب!$A$5:$A$44,0)),"")</f>
        <v>فواز الشدوخي</v>
      </c>
      <c r="F634" s="40"/>
      <c r="G634" s="40"/>
      <c r="H634" s="40"/>
      <c r="I634" s="40"/>
      <c r="J634" s="40"/>
      <c r="K634" s="36"/>
      <c r="L634" s="43">
        <f>IF(AND($A634='أفضل 5 طلاب'!$C$3,$B634=الإعدادات!$C$8,$N634=1,ISNUMBER($G634)),$G634*100000+N($H634)*100+N($I634)+(1000-ROW())/10000,0)</f>
        <v>0</v>
      </c>
      <c r="M634" s="43">
        <f>IF(AND($A634='أفضل 5 طلاب'!$C$3,$B634=الإعدادات!$C$9,$N634=1,ISNUMBER($G634)),$G634*100000+N($H634)*100+N($I634)+(1000-ROW())/10000,0)</f>
        <v>0</v>
      </c>
      <c r="N634" s="43">
        <f t="shared" si="27"/>
        <v>0</v>
      </c>
      <c r="O634" s="43" t="str">
        <f t="shared" si="29"/>
        <v/>
      </c>
      <c r="P634" s="43">
        <f t="shared" si="28"/>
        <v>0</v>
      </c>
    </row>
    <row r="635" spans="1:16">
      <c r="A635" s="58">
        <v>16</v>
      </c>
      <c r="B635" s="59" t="str">
        <f>IFERROR(INDEX(الطلاب!$C$5:$C$44,MATCH($D635,الطلاب!$A$5:$A$44,0)),"")</f>
        <v>المقرأة الثانية</v>
      </c>
      <c r="C635" s="59" t="str">
        <f>IFERROR(INDEX(الطلاب!$D$5:$D$44,MATCH($D635,الطلاب!$A$5:$A$44,0)),"")</f>
        <v xml:space="preserve">ابي بن مالك </v>
      </c>
      <c r="D635" s="59">
        <v>31</v>
      </c>
      <c r="E635" s="60" t="str">
        <f>IFERROR(INDEX(الطلاب!$B$5:$B$44,MATCH($D635,الطلاب!$A$5:$A$44,0)),"")</f>
        <v>محمد الطامي</v>
      </c>
      <c r="F635" s="40"/>
      <c r="G635" s="40"/>
      <c r="H635" s="40"/>
      <c r="I635" s="40"/>
      <c r="J635" s="40"/>
      <c r="K635" s="36"/>
      <c r="L635" s="43">
        <f>IF(AND($A635='أفضل 5 طلاب'!$C$3,$B635=الإعدادات!$C$8,$N635=1,ISNUMBER($G635)),$G635*100000+N($H635)*100+N($I635)+(1000-ROW())/10000,0)</f>
        <v>0</v>
      </c>
      <c r="M635" s="43">
        <f>IF(AND($A635='أفضل 5 طلاب'!$C$3,$B635=الإعدادات!$C$9,$N635=1,ISNUMBER($G635)),$G635*100000+N($H635)*100+N($I635)+(1000-ROW())/10000,0)</f>
        <v>0</v>
      </c>
      <c r="N635" s="43">
        <f t="shared" si="27"/>
        <v>0</v>
      </c>
      <c r="O635" s="43" t="str">
        <f t="shared" si="29"/>
        <v/>
      </c>
      <c r="P635" s="43">
        <f t="shared" si="28"/>
        <v>0</v>
      </c>
    </row>
    <row r="636" spans="1:16">
      <c r="A636" s="58">
        <v>16</v>
      </c>
      <c r="B636" s="59" t="str">
        <f>IFERROR(INDEX(الطلاب!$C$5:$C$44,MATCH($D636,الطلاب!$A$5:$A$44,0)),"")</f>
        <v>المقرأة الثانية</v>
      </c>
      <c r="C636" s="59" t="str">
        <f>IFERROR(INDEX(الطلاب!$D$5:$D$44,MATCH($D636,الطلاب!$A$5:$A$44,0)),"")</f>
        <v xml:space="preserve">ابي بن مالك </v>
      </c>
      <c r="D636" s="59">
        <v>32</v>
      </c>
      <c r="E636" s="60" t="str">
        <f>IFERROR(INDEX(الطلاب!$B$5:$B$44,MATCH($D636,الطلاب!$A$5:$A$44,0)),"")</f>
        <v xml:space="preserve">مهند الغماس </v>
      </c>
      <c r="F636" s="40"/>
      <c r="G636" s="40"/>
      <c r="H636" s="40"/>
      <c r="I636" s="40"/>
      <c r="J636" s="40"/>
      <c r="K636" s="36"/>
      <c r="L636" s="43">
        <f>IF(AND($A636='أفضل 5 طلاب'!$C$3,$B636=الإعدادات!$C$8,$N636=1,ISNUMBER($G636)),$G636*100000+N($H636)*100+N($I636)+(1000-ROW())/10000,0)</f>
        <v>0</v>
      </c>
      <c r="M636" s="43">
        <f>IF(AND($A636='أفضل 5 طلاب'!$C$3,$B636=الإعدادات!$C$9,$N636=1,ISNUMBER($G636)),$G636*100000+N($H636)*100+N($I636)+(1000-ROW())/10000,0)</f>
        <v>0</v>
      </c>
      <c r="N636" s="43">
        <f t="shared" si="27"/>
        <v>0</v>
      </c>
      <c r="O636" s="43" t="str">
        <f t="shared" si="29"/>
        <v/>
      </c>
      <c r="P636" s="43">
        <f t="shared" si="28"/>
        <v>0</v>
      </c>
    </row>
    <row r="637" spans="1:16">
      <c r="A637" s="58">
        <v>16</v>
      </c>
      <c r="B637" s="59" t="str">
        <f>IFERROR(INDEX(الطلاب!$C$5:$C$44,MATCH($D637,الطلاب!$A$5:$A$44,0)),"")</f>
        <v>المقرأة الثانية</v>
      </c>
      <c r="C637" s="59" t="str">
        <f>IFERROR(INDEX(الطلاب!$D$5:$D$44,MATCH($D637,الطلاب!$A$5:$A$44,0)),"")</f>
        <v xml:space="preserve">ابي بن مالك </v>
      </c>
      <c r="D637" s="59">
        <v>33</v>
      </c>
      <c r="E637" s="60" t="str">
        <f>IFERROR(INDEX(الطلاب!$B$5:$B$44,MATCH($D637,الطلاب!$A$5:$A$44,0)),"")</f>
        <v>يوسف الحربي</v>
      </c>
      <c r="F637" s="40"/>
      <c r="G637" s="40"/>
      <c r="H637" s="40"/>
      <c r="I637" s="40"/>
      <c r="J637" s="40"/>
      <c r="K637" s="36"/>
      <c r="L637" s="43">
        <f>IF(AND($A637='أفضل 5 طلاب'!$C$3,$B637=الإعدادات!$C$8,$N637=1,ISNUMBER($G637)),$G637*100000+N($H637)*100+N($I637)+(1000-ROW())/10000,0)</f>
        <v>0</v>
      </c>
      <c r="M637" s="43">
        <f>IF(AND($A637='أفضل 5 طلاب'!$C$3,$B637=الإعدادات!$C$9,$N637=1,ISNUMBER($G637)),$G637*100000+N($H637)*100+N($I637)+(1000-ROW())/10000,0)</f>
        <v>0</v>
      </c>
      <c r="N637" s="43">
        <f t="shared" si="27"/>
        <v>0</v>
      </c>
      <c r="O637" s="43" t="str">
        <f t="shared" si="29"/>
        <v/>
      </c>
      <c r="P637" s="43">
        <f t="shared" si="28"/>
        <v>0</v>
      </c>
    </row>
    <row r="638" spans="1:16">
      <c r="A638" s="58">
        <v>16</v>
      </c>
      <c r="B638" s="59" t="str">
        <f>IFERROR(INDEX(الطلاب!$C$5:$C$44,MATCH($D638,الطلاب!$A$5:$A$44,0)),"")</f>
        <v>المقرأة الثانية</v>
      </c>
      <c r="C638" s="59" t="str">
        <f>IFERROR(INDEX(الطلاب!$D$5:$D$44,MATCH($D638,الطلاب!$A$5:$A$44,0)),"")</f>
        <v xml:space="preserve">ابي بن مالك </v>
      </c>
      <c r="D638" s="59">
        <v>34</v>
      </c>
      <c r="E638" s="60" t="str">
        <f>IFERROR(INDEX(الطلاب!$B$5:$B$44,MATCH($D638,الطلاب!$A$5:$A$44,0)),"")</f>
        <v xml:space="preserve">عدي الفريح </v>
      </c>
      <c r="F638" s="40"/>
      <c r="G638" s="40"/>
      <c r="H638" s="40"/>
      <c r="I638" s="40"/>
      <c r="J638" s="40"/>
      <c r="K638" s="36"/>
      <c r="L638" s="43">
        <f>IF(AND($A638='أفضل 5 طلاب'!$C$3,$B638=الإعدادات!$C$8,$N638=1,ISNUMBER($G638)),$G638*100000+N($H638)*100+N($I638)+(1000-ROW())/10000,0)</f>
        <v>0</v>
      </c>
      <c r="M638" s="43">
        <f>IF(AND($A638='أفضل 5 طلاب'!$C$3,$B638=الإعدادات!$C$9,$N638=1,ISNUMBER($G638)),$G638*100000+N($H638)*100+N($I638)+(1000-ROW())/10000,0)</f>
        <v>0</v>
      </c>
      <c r="N638" s="43">
        <f t="shared" si="27"/>
        <v>0</v>
      </c>
      <c r="O638" s="43" t="str">
        <f t="shared" si="29"/>
        <v/>
      </c>
      <c r="P638" s="43">
        <f t="shared" si="28"/>
        <v>0</v>
      </c>
    </row>
    <row r="639" spans="1:16">
      <c r="A639" s="58">
        <v>16</v>
      </c>
      <c r="B639" s="59" t="str">
        <f>IFERROR(INDEX(الطلاب!$C$5:$C$44,MATCH($D639,الطلاب!$A$5:$A$44,0)),"")</f>
        <v>المقرأة الثانية</v>
      </c>
      <c r="C639" s="59" t="str">
        <f>IFERROR(INDEX(الطلاب!$D$5:$D$44,MATCH($D639,الطلاب!$A$5:$A$44,0)),"")</f>
        <v xml:space="preserve">ابي بن مالك </v>
      </c>
      <c r="D639" s="59">
        <v>35</v>
      </c>
      <c r="E639" s="60" t="str">
        <f>IFERROR(INDEX(الطلاب!$B$5:$B$44,MATCH($D639,الطلاب!$A$5:$A$44,0)),"")</f>
        <v xml:space="preserve">عبدالله الفايزي </v>
      </c>
      <c r="F639" s="40"/>
      <c r="G639" s="40"/>
      <c r="H639" s="40"/>
      <c r="I639" s="40"/>
      <c r="J639" s="40"/>
      <c r="K639" s="36"/>
      <c r="L639" s="43">
        <f>IF(AND($A639='أفضل 5 طلاب'!$C$3,$B639=الإعدادات!$C$8,$N639=1,ISNUMBER($G639)),$G639*100000+N($H639)*100+N($I639)+(1000-ROW())/10000,0)</f>
        <v>0</v>
      </c>
      <c r="M639" s="43">
        <f>IF(AND($A639='أفضل 5 طلاب'!$C$3,$B639=الإعدادات!$C$9,$N639=1,ISNUMBER($G639)),$G639*100000+N($H639)*100+N($I639)+(1000-ROW())/10000,0)</f>
        <v>0</v>
      </c>
      <c r="N639" s="43">
        <f t="shared" si="27"/>
        <v>0</v>
      </c>
      <c r="O639" s="43" t="str">
        <f t="shared" si="29"/>
        <v/>
      </c>
      <c r="P639" s="43">
        <f t="shared" si="28"/>
        <v>0</v>
      </c>
    </row>
    <row r="640" spans="1:16">
      <c r="A640" s="58">
        <v>16</v>
      </c>
      <c r="B640" s="59">
        <f>IFERROR(INDEX(الطلاب!$C$5:$C$44,MATCH($D640,الطلاب!$A$5:$A$44,0)),"")</f>
        <v>0</v>
      </c>
      <c r="C640" s="59">
        <f>IFERROR(INDEX(الطلاب!$D$5:$D$44,MATCH($D640,الطلاب!$A$5:$A$44,0)),"")</f>
        <v>0</v>
      </c>
      <c r="D640" s="59">
        <v>36</v>
      </c>
      <c r="E640" s="60" t="str">
        <f>IFERROR(INDEX(الطلاب!$B$5:$B$44,MATCH($D640,الطلاب!$A$5:$A$44,0)),"")</f>
        <v xml:space="preserve">عزام الحسن </v>
      </c>
      <c r="F640" s="40"/>
      <c r="G640" s="40"/>
      <c r="H640" s="40"/>
      <c r="I640" s="40"/>
      <c r="J640" s="40"/>
      <c r="K640" s="36"/>
      <c r="L640" s="43">
        <f>IF(AND($A640='أفضل 5 طلاب'!$C$3,$B640=الإعدادات!$C$8,$N640=1,ISNUMBER($G640)),$G640*100000+N($H640)*100+N($I640)+(1000-ROW())/10000,0)</f>
        <v>0</v>
      </c>
      <c r="M640" s="43">
        <f>IF(AND($A640='أفضل 5 طلاب'!$C$3,$B640=الإعدادات!$C$9,$N640=1,ISNUMBER($G640)),$G640*100000+N($H640)*100+N($I640)+(1000-ROW())/10000,0)</f>
        <v>0</v>
      </c>
      <c r="N640" s="43">
        <f t="shared" si="27"/>
        <v>0</v>
      </c>
      <c r="O640" s="43" t="str">
        <f t="shared" si="29"/>
        <v/>
      </c>
      <c r="P640" s="43">
        <f t="shared" si="28"/>
        <v>0</v>
      </c>
    </row>
    <row r="641" spans="1:16">
      <c r="A641" s="58">
        <v>16</v>
      </c>
      <c r="B641" s="59" t="str">
        <f>IFERROR(INDEX(الطلاب!$C$5:$C$44,MATCH($D641,الطلاب!$A$5:$A$44,0)),"")</f>
        <v>المقرأة الأولى</v>
      </c>
      <c r="C641" s="59" t="str">
        <f>IFERROR(INDEX(الطلاب!$D$5:$D$44,MATCH($D641,الطلاب!$A$5:$A$44,0)),"")</f>
        <v xml:space="preserve">عبدالرحمن بن النعمان </v>
      </c>
      <c r="D641" s="59">
        <v>37</v>
      </c>
      <c r="E641" s="60" t="str">
        <f>IFERROR(INDEX(الطلاب!$B$5:$B$44,MATCH($D641,الطلاب!$A$5:$A$44,0)),"")</f>
        <v xml:space="preserve">أسامة السعوي </v>
      </c>
      <c r="F641" s="40"/>
      <c r="G641" s="40"/>
      <c r="H641" s="40"/>
      <c r="I641" s="40"/>
      <c r="J641" s="40"/>
      <c r="K641" s="36"/>
      <c r="L641" s="43">
        <f>IF(AND($A641='أفضل 5 طلاب'!$C$3,$B641=الإعدادات!$C$8,$N641=1,ISNUMBER($G641)),$G641*100000+N($H641)*100+N($I641)+(1000-ROW())/10000,0)</f>
        <v>0</v>
      </c>
      <c r="M641" s="43">
        <f>IF(AND($A641='أفضل 5 طلاب'!$C$3,$B641=الإعدادات!$C$9,$N641=1,ISNUMBER($G641)),$G641*100000+N($H641)*100+N($I641)+(1000-ROW())/10000,0)</f>
        <v>0</v>
      </c>
      <c r="N641" s="43">
        <f t="shared" si="27"/>
        <v>0</v>
      </c>
      <c r="O641" s="43" t="str">
        <f t="shared" si="29"/>
        <v/>
      </c>
      <c r="P641" s="43">
        <f t="shared" si="28"/>
        <v>0</v>
      </c>
    </row>
    <row r="642" spans="1:16">
      <c r="A642" s="58">
        <v>16</v>
      </c>
      <c r="B642" s="59" t="str">
        <f>IFERROR(INDEX(الطلاب!$C$5:$C$44,MATCH($D642,الطلاب!$A$5:$A$44,0)),"")</f>
        <v>المقرأة الأولى</v>
      </c>
      <c r="C642" s="59" t="str">
        <f>IFERROR(INDEX(الطلاب!$D$5:$D$44,MATCH($D642,الطلاب!$A$5:$A$44,0)),"")</f>
        <v xml:space="preserve">حسان بن ثابت </v>
      </c>
      <c r="D642" s="59">
        <v>38</v>
      </c>
      <c r="E642" s="60" t="str">
        <f>IFERROR(INDEX(الطلاب!$B$5:$B$44,MATCH($D642,الطلاب!$A$5:$A$44,0)),"")</f>
        <v xml:space="preserve">عاصم الضالع </v>
      </c>
      <c r="F642" s="40"/>
      <c r="G642" s="40"/>
      <c r="H642" s="40"/>
      <c r="I642" s="40"/>
      <c r="J642" s="40"/>
      <c r="K642" s="36"/>
      <c r="L642" s="43">
        <f>IF(AND($A642='أفضل 5 طلاب'!$C$3,$B642=الإعدادات!$C$8,$N642=1,ISNUMBER($G642)),$G642*100000+N($H642)*100+N($I642)+(1000-ROW())/10000,0)</f>
        <v>0</v>
      </c>
      <c r="M642" s="43">
        <f>IF(AND($A642='أفضل 5 طلاب'!$C$3,$B642=الإعدادات!$C$9,$N642=1,ISNUMBER($G642)),$G642*100000+N($H642)*100+N($I642)+(1000-ROW())/10000,0)</f>
        <v>0</v>
      </c>
      <c r="N642" s="43">
        <f t="shared" si="27"/>
        <v>0</v>
      </c>
      <c r="O642" s="43" t="str">
        <f t="shared" si="29"/>
        <v/>
      </c>
      <c r="P642" s="43">
        <f t="shared" si="28"/>
        <v>0</v>
      </c>
    </row>
    <row r="643" spans="1:16">
      <c r="A643" s="58">
        <v>16</v>
      </c>
      <c r="B643" s="59">
        <f>IFERROR(INDEX(الطلاب!$C$5:$C$44,MATCH($D643,الطلاب!$A$5:$A$44,0)),"")</f>
        <v>0</v>
      </c>
      <c r="C643" s="59">
        <f>IFERROR(INDEX(الطلاب!$D$5:$D$44,MATCH($D643,الطلاب!$A$5:$A$44,0)),"")</f>
        <v>0</v>
      </c>
      <c r="D643" s="59">
        <v>39</v>
      </c>
      <c r="E643" s="60">
        <f>IFERROR(INDEX(الطلاب!$B$5:$B$44,MATCH($D643,الطلاب!$A$5:$A$44,0)),"")</f>
        <v>0</v>
      </c>
      <c r="F643" s="40"/>
      <c r="G643" s="40"/>
      <c r="H643" s="40"/>
      <c r="I643" s="40"/>
      <c r="J643" s="40"/>
      <c r="K643" s="36"/>
      <c r="L643" s="43">
        <f>IF(AND($A643='أفضل 5 طلاب'!$C$3,$B643=الإعدادات!$C$8,$N643=1,ISNUMBER($G643)),$G643*100000+N($H643)*100+N($I643)+(1000-ROW())/10000,0)</f>
        <v>0</v>
      </c>
      <c r="M643" s="43">
        <f>IF(AND($A643='أفضل 5 طلاب'!$C$3,$B643=الإعدادات!$C$9,$N643=1,ISNUMBER($G643)),$G643*100000+N($H643)*100+N($I643)+(1000-ROW())/10000,0)</f>
        <v>0</v>
      </c>
      <c r="N643" s="43">
        <f t="shared" si="27"/>
        <v>0</v>
      </c>
      <c r="O643" s="43" t="str">
        <f t="shared" si="29"/>
        <v/>
      </c>
      <c r="P643" s="43">
        <f t="shared" si="28"/>
        <v>0</v>
      </c>
    </row>
    <row r="644" spans="1:16">
      <c r="A644" s="53">
        <v>16</v>
      </c>
      <c r="B644" s="55">
        <f>IFERROR(INDEX(الطلاب!$C$5:$C$44,MATCH($D644,الطلاب!$A$5:$A$44,0)),"")</f>
        <v>0</v>
      </c>
      <c r="C644" s="55">
        <f>IFERROR(INDEX(الطلاب!$D$5:$D$44,MATCH($D644,الطلاب!$A$5:$A$44,0)),"")</f>
        <v>0</v>
      </c>
      <c r="D644" s="55">
        <v>40</v>
      </c>
      <c r="E644" s="57">
        <f>IFERROR(INDEX(الطلاب!$B$5:$B$44,MATCH($D644,الطلاب!$A$5:$A$44,0)),"")</f>
        <v>0</v>
      </c>
      <c r="F644" s="28"/>
      <c r="G644" s="28"/>
      <c r="H644" s="28"/>
      <c r="I644" s="28"/>
      <c r="J644" s="28"/>
      <c r="K644" s="36"/>
      <c r="L644" s="43">
        <f>IF(AND($A644='أفضل 5 طلاب'!$C$3,$B644=الإعدادات!$C$8,$N644=1,ISNUMBER($G644)),$G644*100000+N($H644)*100+N($I644)+(1000-ROW())/10000,0)</f>
        <v>0</v>
      </c>
      <c r="M644" s="43">
        <f>IF(AND($A644='أفضل 5 طلاب'!$C$3,$B644=الإعدادات!$C$9,$N644=1,ISNUMBER($G644)),$G644*100000+N($H644)*100+N($I644)+(1000-ROW())/10000,0)</f>
        <v>0</v>
      </c>
      <c r="N644" s="43">
        <f t="shared" si="27"/>
        <v>0</v>
      </c>
      <c r="O644" s="43" t="str">
        <f t="shared" si="29"/>
        <v/>
      </c>
      <c r="P644" s="43">
        <f t="shared" si="28"/>
        <v>0</v>
      </c>
    </row>
  </sheetData>
  <sheetProtection algorithmName="SHA-512" hashValue="nvVKT9Bp8L0outJXEDaW4yV4ADplzfPNldopizHySsDPzvAyFNNbu+R5OmZBAnsok55EGKnrsfHplDP7gyA4mA==" saltValue="wJTtdEopgPiE4ktDtDzJaA==" spinCount="100000" sheet="1" objects="1" scenarios="1"/>
  <autoFilter ref="A4:J644" xr:uid="{00000000-0009-0000-0000-000003000000}"/>
  <mergeCells count="1">
    <mergeCell ref="A1:J3"/>
  </mergeCells>
  <conditionalFormatting sqref="F5:F644">
    <cfRule type="expression" dxfId="19" priority="2">
      <formula>F5="حاضر"</formula>
    </cfRule>
    <cfRule type="expression" dxfId="18" priority="3">
      <formula>F5="متأخر"</formula>
    </cfRule>
    <cfRule type="expression" dxfId="17" priority="4">
      <formula>F5="غائب"</formula>
    </cfRule>
    <cfRule type="expression" dxfId="16" priority="5">
      <formula>F5="معتذر"</formula>
    </cfRule>
  </conditionalFormatting>
  <dataValidations count="3">
    <dataValidation type="list" allowBlank="1" showErrorMessage="1" errorTitle="قيمة غير صحيحة" error="اختر: حاضر أو متأخر أو غائب أو معتذر" sqref="F5:F644" xr:uid="{00000000-0002-0000-0300-000000000000}">
      <formula1>"حاضر,متأخر,غائب,معتذر"</formula1>
      <formula2>0</formula2>
    </dataValidation>
    <dataValidation type="decimal" allowBlank="1" showErrorMessage="1" errorTitle="تقييم غير صحيح" error="التقييم رقم من 0 إلى 100" sqref="G5:G644" xr:uid="{00000000-0002-0000-0300-000001000000}">
      <formula1>0</formula1>
      <formula2>100</formula2>
    </dataValidation>
    <dataValidation type="decimal" operator="greaterThanOrEqual" allowBlank="1" showErrorMessage="1" errorTitle="عدد غير صحيح" error="عدد الأوجه رقم موجب" sqref="H5:J644" xr:uid="{00000000-0002-0000-03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ورقة5">
    <pageSetUpPr fitToPage="1"/>
  </sheetPr>
  <dimension ref="A1:AC40"/>
  <sheetViews>
    <sheetView showGridLines="0" rightToLeft="1" zoomScale="125" zoomScaleNormal="110" workbookViewId="0">
      <pane xSplit="3" ySplit="5" topLeftCell="D27" activePane="bottomRight" state="frozen"/>
      <selection pane="bottomRight" activeCell="I25" sqref="I25"/>
      <selection pane="bottomLeft" activeCell="A6" sqref="A6"/>
      <selection pane="topRight" activeCell="D1" sqref="D1"/>
    </sheetView>
  </sheetViews>
  <sheetFormatPr defaultColWidth="8.7109375" defaultRowHeight="15"/>
  <cols>
    <col min="1" max="1" width="5" customWidth="1"/>
    <col min="2" max="2" width="24" customWidth="1"/>
    <col min="3" max="3" width="15" customWidth="1"/>
    <col min="4" max="12" width="8.42578125" customWidth="1"/>
    <col min="13" max="19" width="9" bestFit="1" customWidth="1"/>
    <col min="20" max="20" width="12" customWidth="1"/>
    <col min="21" max="21" width="13" customWidth="1"/>
    <col min="22" max="22" width="8" customWidth="1"/>
    <col min="23" max="23" width="9" customWidth="1"/>
    <col min="24" max="24" width="8" customWidth="1"/>
    <col min="25" max="25" width="9" customWidth="1"/>
    <col min="26" max="27" width="10" customWidth="1"/>
    <col min="28" max="28" width="11" customWidth="1"/>
    <col min="29" max="29" width="13" hidden="1" customWidth="1"/>
  </cols>
  <sheetData>
    <row r="1" spans="1:29" ht="30" customHeight="1">
      <c r="A1" s="4" t="str">
        <f>"تقرير "&amp;الإعدادات!$C$8&amp;" — نسبة إنجاز الطلاب أسبوعيًا"</f>
        <v>تقرير المقرأة الأولى — نسبة إنجاز الطلاب أسبوعيًا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6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95">
      <c r="A3" s="2"/>
      <c r="B3" s="62" t="s">
        <v>116</v>
      </c>
      <c r="C3" s="21" t="str">
        <f>الإعدادات!$C$8</f>
        <v>المقرأة الأولى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6" customHeight="1">
      <c r="A5" s="13" t="s">
        <v>117</v>
      </c>
      <c r="B5" s="141" t="s">
        <v>58</v>
      </c>
      <c r="C5" s="15" t="s">
        <v>12</v>
      </c>
      <c r="D5" s="63">
        <v>1</v>
      </c>
      <c r="E5" s="63">
        <v>2</v>
      </c>
      <c r="F5" s="63">
        <v>3</v>
      </c>
      <c r="G5" s="63">
        <v>4</v>
      </c>
      <c r="H5" s="63">
        <v>5</v>
      </c>
      <c r="I5" s="63">
        <v>6</v>
      </c>
      <c r="J5" s="63">
        <v>7</v>
      </c>
      <c r="K5" s="63">
        <v>8</v>
      </c>
      <c r="L5" s="63">
        <v>9</v>
      </c>
      <c r="M5" s="63">
        <v>10</v>
      </c>
      <c r="N5" s="63">
        <v>11</v>
      </c>
      <c r="O5" s="63">
        <v>12</v>
      </c>
      <c r="P5" s="63">
        <v>13</v>
      </c>
      <c r="Q5" s="63">
        <v>14</v>
      </c>
      <c r="R5" s="63">
        <v>15</v>
      </c>
      <c r="S5" s="63">
        <v>16</v>
      </c>
      <c r="T5" s="15" t="s">
        <v>118</v>
      </c>
      <c r="U5" s="15" t="s">
        <v>44</v>
      </c>
      <c r="V5" s="15" t="s">
        <v>119</v>
      </c>
      <c r="W5" s="15" t="s">
        <v>120</v>
      </c>
      <c r="X5" s="15" t="s">
        <v>121</v>
      </c>
      <c r="Y5" s="15" t="s">
        <v>122</v>
      </c>
      <c r="Z5" s="15" t="s">
        <v>61</v>
      </c>
      <c r="AA5" s="15" t="s">
        <v>62</v>
      </c>
      <c r="AB5" s="15" t="s">
        <v>63</v>
      </c>
      <c r="AC5" s="36"/>
    </row>
    <row r="6" spans="1:29">
      <c r="A6" s="33">
        <f>IF($AC6="","",INDEX(الطلاب!$A$5:$A$44,$AC6))</f>
        <v>1</v>
      </c>
      <c r="B6" s="68" t="str">
        <f>IF($AC6="","",INDEX(الطلاب!$B$5:$B$44,$AC6))</f>
        <v>غسان اليحيى</v>
      </c>
      <c r="C6" s="69" t="str">
        <f>IF($AC6="","",INDEX(الطلاب!$D$5:$D$44,$AC6))</f>
        <v xml:space="preserve">عبدالرحمن بن النعمان </v>
      </c>
      <c r="D6" s="70">
        <f>IF($A6="","",IF(COUNTIFS(الإدخال!$A$5:$A$644,D$5,الإدخال!$D$5:$D$644,$A6,الإدخال!$F$5:$F$644,"غائب",الإدخال!$G$5:$G$644,"")&gt;0,"غ",IF(COUNTIFS(الإدخال!$A$5:$A$644,D$5,الإدخال!$D$5:$D$644,$A6,الإدخال!$F$5:$F$644,"معتذر",الإدخال!$G$5:$G$644,"")&gt;0,"ع",IF(SUMIFS(الإدخال!$P$5:$P$644,الإدخال!$A$5:$A$644,D$5,الإدخال!$D$5:$D$644,$A6)&gt;0,SUMIFS(الإدخال!$O$5:$O$644,الإدخال!$A$5:$A$644,D$5,الإدخال!$D$5:$D$644,$A6)/100,""))))</f>
        <v>0.85</v>
      </c>
      <c r="E6" s="70">
        <f>IF($A6="","",IF(COUNTIFS(الإدخال!$A$5:$A$644,E$5,الإدخال!$D$5:$D$644,$A6,الإدخال!$F$5:$F$644,"غائب",الإدخال!$G$5:$G$644,"")&gt;0,"غ",IF(COUNTIFS(الإدخال!$A$5:$A$644,E$5,الإدخال!$D$5:$D$644,$A6,الإدخال!$F$5:$F$644,"معتذر",الإدخال!$G$5:$G$644,"")&gt;0,"ع",IF(SUMIFS(الإدخال!$P$5:$P$644,الإدخال!$A$5:$A$644,E$5,الإدخال!$D$5:$D$644,$A6)&gt;0,SUMIFS(الإدخال!$O$5:$O$644,الإدخال!$A$5:$A$644,E$5,الإدخال!$D$5:$D$644,$A6)/100,""))))</f>
        <v>0.93</v>
      </c>
      <c r="F6" s="70" t="str">
        <f>IF($A6="","",IF(COUNTIFS(الإدخال!$A$5:$A$644,F$5,الإدخال!$D$5:$D$644,$A6,الإدخال!$F$5:$F$644,"غائب",الإدخال!$G$5:$G$644,"")&gt;0,"غ",IF(COUNTIFS(الإدخال!$A$5:$A$644,F$5,الإدخال!$D$5:$D$644,$A6,الإدخال!$F$5:$F$644,"معتذر",الإدخال!$G$5:$G$644,"")&gt;0,"ع",IF(SUMIFS(الإدخال!$P$5:$P$644,الإدخال!$A$5:$A$644,F$5,الإدخال!$D$5:$D$644,$A6)&gt;0,SUMIFS(الإدخال!$O$5:$O$644,الإدخال!$A$5:$A$644,F$5,الإدخال!$D$5:$D$644,$A6)/100,""))))</f>
        <v/>
      </c>
      <c r="G6" s="70" t="str">
        <f>IF($A6="","",IF(COUNTIFS(الإدخال!$A$5:$A$644,G$5,الإدخال!$D$5:$D$644,$A6,الإدخال!$F$5:$F$644,"غائب",الإدخال!$G$5:$G$644,"")&gt;0,"غ",IF(COUNTIFS(الإدخال!$A$5:$A$644,G$5,الإدخال!$D$5:$D$644,$A6,الإدخال!$F$5:$F$644,"معتذر",الإدخال!$G$5:$G$644,"")&gt;0,"ع",IF(SUMIFS(الإدخال!$P$5:$P$644,الإدخال!$A$5:$A$644,G$5,الإدخال!$D$5:$D$644,$A6)&gt;0,SUMIFS(الإدخال!$O$5:$O$644,الإدخال!$A$5:$A$644,G$5,الإدخال!$D$5:$D$644,$A6)/100,""))))</f>
        <v/>
      </c>
      <c r="H6" s="70" t="str">
        <f>IF($A6="","",IF(COUNTIFS(الإدخال!$A$5:$A$644,H$5,الإدخال!$D$5:$D$644,$A6,الإدخال!$F$5:$F$644,"غائب",الإدخال!$G$5:$G$644,"")&gt;0,"غ",IF(COUNTIFS(الإدخال!$A$5:$A$644,H$5,الإدخال!$D$5:$D$644,$A6,الإدخال!$F$5:$F$644,"معتذر",الإدخال!$G$5:$G$644,"")&gt;0,"ع",IF(SUMIFS(الإدخال!$P$5:$P$644,الإدخال!$A$5:$A$644,H$5,الإدخال!$D$5:$D$644,$A6)&gt;0,SUMIFS(الإدخال!$O$5:$O$644,الإدخال!$A$5:$A$644,H$5,الإدخال!$D$5:$D$644,$A6)/100,""))))</f>
        <v/>
      </c>
      <c r="I6" s="70" t="str">
        <f>IF($A6="","",IF(COUNTIFS(الإدخال!$A$5:$A$644,I$5,الإدخال!$D$5:$D$644,$A6,الإدخال!$F$5:$F$644,"غائب",الإدخال!$G$5:$G$644,"")&gt;0,"غ",IF(COUNTIFS(الإدخال!$A$5:$A$644,I$5,الإدخال!$D$5:$D$644,$A6,الإدخال!$F$5:$F$644,"معتذر",الإدخال!$G$5:$G$644,"")&gt;0,"ع",IF(SUMIFS(الإدخال!$P$5:$P$644,الإدخال!$A$5:$A$644,I$5,الإدخال!$D$5:$D$644,$A6)&gt;0,SUMIFS(الإدخال!$O$5:$O$644,الإدخال!$A$5:$A$644,I$5,الإدخال!$D$5:$D$644,$A6)/100,""))))</f>
        <v/>
      </c>
      <c r="J6" s="70" t="str">
        <f>IF($A6="","",IF(COUNTIFS(الإدخال!$A$5:$A$644,J$5,الإدخال!$D$5:$D$644,$A6,الإدخال!$F$5:$F$644,"غائب",الإدخال!$G$5:$G$644,"")&gt;0,"غ",IF(COUNTIFS(الإدخال!$A$5:$A$644,J$5,الإدخال!$D$5:$D$644,$A6,الإدخال!$F$5:$F$644,"معتذر",الإدخال!$G$5:$G$644,"")&gt;0,"ع",IF(SUMIFS(الإدخال!$P$5:$P$644,الإدخال!$A$5:$A$644,J$5,الإدخال!$D$5:$D$644,$A6)&gt;0,SUMIFS(الإدخال!$O$5:$O$644,الإدخال!$A$5:$A$644,J$5,الإدخال!$D$5:$D$644,$A6)/100,""))))</f>
        <v/>
      </c>
      <c r="K6" s="70" t="str">
        <f>IF($A6="","",IF(COUNTIFS(الإدخال!$A$5:$A$644,K$5,الإدخال!$D$5:$D$644,$A6,الإدخال!$F$5:$F$644,"غائب",الإدخال!$G$5:$G$644,"")&gt;0,"غ",IF(COUNTIFS(الإدخال!$A$5:$A$644,K$5,الإدخال!$D$5:$D$644,$A6,الإدخال!$F$5:$F$644,"معتذر",الإدخال!$G$5:$G$644,"")&gt;0,"ع",IF(SUMIFS(الإدخال!$P$5:$P$644,الإدخال!$A$5:$A$644,K$5,الإدخال!$D$5:$D$644,$A6)&gt;0,SUMIFS(الإدخال!$O$5:$O$644,الإدخال!$A$5:$A$644,K$5,الإدخال!$D$5:$D$644,$A6)/100,""))))</f>
        <v/>
      </c>
      <c r="L6" s="70" t="str">
        <f>IF($A6="","",IF(COUNTIFS(الإدخال!$A$5:$A$644,L$5,الإدخال!$D$5:$D$644,$A6,الإدخال!$F$5:$F$644,"غائب",الإدخال!$G$5:$G$644,"")&gt;0,"غ",IF(COUNTIFS(الإدخال!$A$5:$A$644,L$5,الإدخال!$D$5:$D$644,$A6,الإدخال!$F$5:$F$644,"معتذر",الإدخال!$G$5:$G$644,"")&gt;0,"ع",IF(SUMIFS(الإدخال!$P$5:$P$644,الإدخال!$A$5:$A$644,L$5,الإدخال!$D$5:$D$644,$A6)&gt;0,SUMIFS(الإدخال!$O$5:$O$644,الإدخال!$A$5:$A$644,L$5,الإدخال!$D$5:$D$644,$A6)/100,""))))</f>
        <v/>
      </c>
      <c r="M6" s="70" t="str">
        <f>IF($A6="","",IF(COUNTIFS(الإدخال!$A$5:$A$644,M$5,الإدخال!$D$5:$D$644,$A6,الإدخال!$F$5:$F$644,"غائب",الإدخال!$G$5:$G$644,"")&gt;0,"غ",IF(COUNTIFS(الإدخال!$A$5:$A$644,M$5,الإدخال!$D$5:$D$644,$A6,الإدخال!$F$5:$F$644,"معتذر",الإدخال!$G$5:$G$644,"")&gt;0,"ع",IF(SUMIFS(الإدخال!$P$5:$P$644,الإدخال!$A$5:$A$644,M$5,الإدخال!$D$5:$D$644,$A6)&gt;0,SUMIFS(الإدخال!$O$5:$O$644,الإدخال!$A$5:$A$644,M$5,الإدخال!$D$5:$D$644,$A6)/100,""))))</f>
        <v/>
      </c>
      <c r="N6" s="70" t="str">
        <f>IF($A6="","",IF(COUNTIFS(الإدخال!$A$5:$A$644,N$5,الإدخال!$D$5:$D$644,$A6,الإدخال!$F$5:$F$644,"غائب",الإدخال!$G$5:$G$644,"")&gt;0,"غ",IF(COUNTIFS(الإدخال!$A$5:$A$644,N$5,الإدخال!$D$5:$D$644,$A6,الإدخال!$F$5:$F$644,"معتذر",الإدخال!$G$5:$G$644,"")&gt;0,"ع",IF(SUMIFS(الإدخال!$P$5:$P$644,الإدخال!$A$5:$A$644,N$5,الإدخال!$D$5:$D$644,$A6)&gt;0,SUMIFS(الإدخال!$O$5:$O$644,الإدخال!$A$5:$A$644,N$5,الإدخال!$D$5:$D$644,$A6)/100,""))))</f>
        <v/>
      </c>
      <c r="O6" s="70" t="str">
        <f>IF($A6="","",IF(COUNTIFS(الإدخال!$A$5:$A$644,O$5,الإدخال!$D$5:$D$644,$A6,الإدخال!$F$5:$F$644,"غائب",الإدخال!$G$5:$G$644,"")&gt;0,"غ",IF(COUNTIFS(الإدخال!$A$5:$A$644,O$5,الإدخال!$D$5:$D$644,$A6,الإدخال!$F$5:$F$644,"معتذر",الإدخال!$G$5:$G$644,"")&gt;0,"ع",IF(SUMIFS(الإدخال!$P$5:$P$644,الإدخال!$A$5:$A$644,O$5,الإدخال!$D$5:$D$644,$A6)&gt;0,SUMIFS(الإدخال!$O$5:$O$644,الإدخال!$A$5:$A$644,O$5,الإدخال!$D$5:$D$644,$A6)/100,""))))</f>
        <v/>
      </c>
      <c r="P6" s="70" t="str">
        <f>IF($A6="","",IF(COUNTIFS(الإدخال!$A$5:$A$644,P$5,الإدخال!$D$5:$D$644,$A6,الإدخال!$F$5:$F$644,"غائب",الإدخال!$G$5:$G$644,"")&gt;0,"غ",IF(COUNTIFS(الإدخال!$A$5:$A$644,P$5,الإدخال!$D$5:$D$644,$A6,الإدخال!$F$5:$F$644,"معتذر",الإدخال!$G$5:$G$644,"")&gt;0,"ع",IF(SUMIFS(الإدخال!$P$5:$P$644,الإدخال!$A$5:$A$644,P$5,الإدخال!$D$5:$D$644,$A6)&gt;0,SUMIFS(الإدخال!$O$5:$O$644,الإدخال!$A$5:$A$644,P$5,الإدخال!$D$5:$D$644,$A6)/100,""))))</f>
        <v/>
      </c>
      <c r="Q6" s="70" t="str">
        <f>IF($A6="","",IF(COUNTIFS(الإدخال!$A$5:$A$644,Q$5,الإدخال!$D$5:$D$644,$A6,الإدخال!$F$5:$F$644,"غائب",الإدخال!$G$5:$G$644,"")&gt;0,"غ",IF(COUNTIFS(الإدخال!$A$5:$A$644,Q$5,الإدخال!$D$5:$D$644,$A6,الإدخال!$F$5:$F$644,"معتذر",الإدخال!$G$5:$G$644,"")&gt;0,"ع",IF(SUMIFS(الإدخال!$P$5:$P$644,الإدخال!$A$5:$A$644,Q$5,الإدخال!$D$5:$D$644,$A6)&gt;0,SUMIFS(الإدخال!$O$5:$O$644,الإدخال!$A$5:$A$644,Q$5,الإدخال!$D$5:$D$644,$A6)/100,""))))</f>
        <v/>
      </c>
      <c r="R6" s="70" t="str">
        <f>IF($A6="","",IF(COUNTIFS(الإدخال!$A$5:$A$644,R$5,الإدخال!$D$5:$D$644,$A6,الإدخال!$F$5:$F$644,"غائب",الإدخال!$G$5:$G$644,"")&gt;0,"غ",IF(COUNTIFS(الإدخال!$A$5:$A$644,R$5,الإدخال!$D$5:$D$644,$A6,الإدخال!$F$5:$F$644,"معتذر",الإدخال!$G$5:$G$644,"")&gt;0,"ع",IF(SUMIFS(الإدخال!$P$5:$P$644,الإدخال!$A$5:$A$644,R$5,الإدخال!$D$5:$D$644,$A6)&gt;0,SUMIFS(الإدخال!$O$5:$O$644,الإدخال!$A$5:$A$644,R$5,الإدخال!$D$5:$D$644,$A6)/100,""))))</f>
        <v/>
      </c>
      <c r="S6" s="70" t="str">
        <f>IF($A6="","",IF(COUNTIFS(الإدخال!$A$5:$A$644,S$5,الإدخال!$D$5:$D$644,$A6,الإدخال!$F$5:$F$644,"غائب",الإدخال!$G$5:$G$644,"")&gt;0,"غ",IF(COUNTIFS(الإدخال!$A$5:$A$644,S$5,الإدخال!$D$5:$D$644,$A6,الإدخال!$F$5:$F$644,"معتذر",الإدخال!$G$5:$G$644,"")&gt;0,"ع",IF(SUMIFS(الإدخال!$P$5:$P$644,الإدخال!$A$5:$A$644,S$5,الإدخال!$D$5:$D$644,$A6)&gt;0,SUMIFS(الإدخال!$O$5:$O$644,الإدخال!$A$5:$A$644,S$5,الإدخال!$D$5:$D$644,$A6)/100,""))))</f>
        <v/>
      </c>
      <c r="T6" s="71">
        <f>IF($A6="","",IFERROR(SUMIFS(الإدخال!$O$5:$O$644,الإدخال!$D$5:$D$644,$A6)/SUMIFS(الإدخال!$P$5:$P$644,الإدخال!$D$5:$D$644,$A6)/100,""))</f>
        <v>0.89</v>
      </c>
      <c r="U6" s="72" t="str">
        <f t="shared" ref="U6:U30" si="0">IF(T6="","",IF(T6&gt;=0.9,"ممتاز",IF(T6&gt;=0.8,"جيد جدًا",IF(T6&gt;=0.7,"جيد",IF(T6&gt;=0.6,"مقبول","يحتاج متابعة")))))</f>
        <v>جيد جدًا</v>
      </c>
      <c r="V6" s="72">
        <f>IF($A6="","",SUMIFS(الإدخال!$N$5:$N$644,الإدخال!$D$5:$D$644,$A6))</f>
        <v>2</v>
      </c>
      <c r="W6" s="73">
        <f>IF($A6="","",COUNTIFS(الإدخال!$D$5:$D$644,$A6,الإدخال!$F$5:$F$644,"متأخر"))</f>
        <v>0</v>
      </c>
      <c r="X6" s="73">
        <f>IF($A6="","",COUNTIFS(الإدخال!$D$5:$D$644,$A6,الإدخال!$F$5:$F$644,"غائب"))</f>
        <v>0</v>
      </c>
      <c r="Y6" s="73">
        <f>IF($A6="","",COUNTIFS(الإدخال!$D$5:$D$644,$A6,الإدخال!$F$5:$F$644,"معتذر"))</f>
        <v>0</v>
      </c>
      <c r="Z6" s="73">
        <f>IF($A6="","",SUMIFS(الإدخال!$H$5:$H$644,الإدخال!$D$5:$D$644,$A6,الإدخال!$N$5:$N$644,1))</f>
        <v>7</v>
      </c>
      <c r="AA6" s="73">
        <f>IF($A6="","",SUMIFS(الإدخال!$I$5:$I$644,الإدخال!$D$5:$D$644,$A6,الإدخال!$N$5:$N$644,1))</f>
        <v>40</v>
      </c>
      <c r="AB6" s="73">
        <f>IF($A6="","",SUMIFS(الإدخال!$J$5:$J$644,الإدخال!$D$5:$D$644,$A6,الإدخال!$N$5:$N$644,1))</f>
        <v>0</v>
      </c>
      <c r="AC6" s="36">
        <f>IFERROR(MATCH($C$3&amp;"|1",الطلاب!$E$5:$E$44,0),"")</f>
        <v>1</v>
      </c>
    </row>
    <row r="7" spans="1:29">
      <c r="A7" s="18">
        <f>IF($AC7="","",INDEX(الطلاب!$A$5:$A$44,$AC7))</f>
        <v>2</v>
      </c>
      <c r="B7" s="68" t="str">
        <f>IF($AC7="","",INDEX(الطلاب!$B$5:$B$44,$AC7))</f>
        <v xml:space="preserve">صالح الشريف </v>
      </c>
      <c r="C7" s="69" t="str">
        <f>IF($AC7="","",INDEX(الطلاب!$D$5:$D$44,$AC7))</f>
        <v xml:space="preserve">عبدالرحمن بن النعمان </v>
      </c>
      <c r="D7" s="70">
        <f>IF($A7="","",IF(COUNTIFS(الإدخال!$A$5:$A$644,D$5,الإدخال!$D$5:$D$644,$A7,الإدخال!$F$5:$F$644,"غائب",الإدخال!$G$5:$G$644,"")&gt;0,"غ",IF(COUNTIFS(الإدخال!$A$5:$A$644,D$5,الإدخال!$D$5:$D$644,$A7,الإدخال!$F$5:$F$644,"معتذر",الإدخال!$G$5:$G$644,"")&gt;0,"ع",IF(SUMIFS(الإدخال!$P$5:$P$644,الإدخال!$A$5:$A$644,D$5,الإدخال!$D$5:$D$644,$A7)&gt;0,SUMIFS(الإدخال!$O$5:$O$644,الإدخال!$A$5:$A$644,D$5,الإدخال!$D$5:$D$644,$A7)/100,""))))</f>
        <v>0.5</v>
      </c>
      <c r="E7" s="70">
        <f>IF($A7="","",IF(COUNTIFS(الإدخال!$A$5:$A$644,E$5,الإدخال!$D$5:$D$644,$A7,الإدخال!$F$5:$F$644,"غائب",الإدخال!$G$5:$G$644,"")&gt;0,"غ",IF(COUNTIFS(الإدخال!$A$5:$A$644,E$5,الإدخال!$D$5:$D$644,$A7,الإدخال!$F$5:$F$644,"معتذر",الإدخال!$G$5:$G$644,"")&gt;0,"ع",IF(SUMIFS(الإدخال!$P$5:$P$644,الإدخال!$A$5:$A$644,E$5,الإدخال!$D$5:$D$644,$A7)&gt;0,SUMIFS(الإدخال!$O$5:$O$644,الإدخال!$A$5:$A$644,E$5,الإدخال!$D$5:$D$644,$A7)/100,""))))</f>
        <v>0.87</v>
      </c>
      <c r="F7" s="70" t="str">
        <f>IF($A7="","",IF(COUNTIFS(الإدخال!$A$5:$A$644,F$5,الإدخال!$D$5:$D$644,$A7,الإدخال!$F$5:$F$644,"غائب",الإدخال!$G$5:$G$644,"")&gt;0,"غ",IF(COUNTIFS(الإدخال!$A$5:$A$644,F$5,الإدخال!$D$5:$D$644,$A7,الإدخال!$F$5:$F$644,"معتذر",الإدخال!$G$5:$G$644,"")&gt;0,"ع",IF(SUMIFS(الإدخال!$P$5:$P$644,الإدخال!$A$5:$A$644,F$5,الإدخال!$D$5:$D$644,$A7)&gt;0,SUMIFS(الإدخال!$O$5:$O$644,الإدخال!$A$5:$A$644,F$5,الإدخال!$D$5:$D$644,$A7)/100,""))))</f>
        <v/>
      </c>
      <c r="G7" s="70" t="str">
        <f>IF($A7="","",IF(COUNTIFS(الإدخال!$A$5:$A$644,G$5,الإدخال!$D$5:$D$644,$A7,الإدخال!$F$5:$F$644,"غائب",الإدخال!$G$5:$G$644,"")&gt;0,"غ",IF(COUNTIFS(الإدخال!$A$5:$A$644,G$5,الإدخال!$D$5:$D$644,$A7,الإدخال!$F$5:$F$644,"معتذر",الإدخال!$G$5:$G$644,"")&gt;0,"ع",IF(SUMIFS(الإدخال!$P$5:$P$644,الإدخال!$A$5:$A$644,G$5,الإدخال!$D$5:$D$644,$A7)&gt;0,SUMIFS(الإدخال!$O$5:$O$644,الإدخال!$A$5:$A$644,G$5,الإدخال!$D$5:$D$644,$A7)/100,""))))</f>
        <v/>
      </c>
      <c r="H7" s="70" t="str">
        <f>IF($A7="","",IF(COUNTIFS(الإدخال!$A$5:$A$644,H$5,الإدخال!$D$5:$D$644,$A7,الإدخال!$F$5:$F$644,"غائب",الإدخال!$G$5:$G$644,"")&gt;0,"غ",IF(COUNTIFS(الإدخال!$A$5:$A$644,H$5,الإدخال!$D$5:$D$644,$A7,الإدخال!$F$5:$F$644,"معتذر",الإدخال!$G$5:$G$644,"")&gt;0,"ع",IF(SUMIFS(الإدخال!$P$5:$P$644,الإدخال!$A$5:$A$644,H$5,الإدخال!$D$5:$D$644,$A7)&gt;0,SUMIFS(الإدخال!$O$5:$O$644,الإدخال!$A$5:$A$644,H$5,الإدخال!$D$5:$D$644,$A7)/100,""))))</f>
        <v/>
      </c>
      <c r="I7" s="70" t="str">
        <f>IF($A7="","",IF(COUNTIFS(الإدخال!$A$5:$A$644,I$5,الإدخال!$D$5:$D$644,$A7,الإدخال!$F$5:$F$644,"غائب",الإدخال!$G$5:$G$644,"")&gt;0,"غ",IF(COUNTIFS(الإدخال!$A$5:$A$644,I$5,الإدخال!$D$5:$D$644,$A7,الإدخال!$F$5:$F$644,"معتذر",الإدخال!$G$5:$G$644,"")&gt;0,"ع",IF(SUMIFS(الإدخال!$P$5:$P$644,الإدخال!$A$5:$A$644,I$5,الإدخال!$D$5:$D$644,$A7)&gt;0,SUMIFS(الإدخال!$O$5:$O$644,الإدخال!$A$5:$A$644,I$5,الإدخال!$D$5:$D$644,$A7)/100,""))))</f>
        <v/>
      </c>
      <c r="J7" s="70" t="str">
        <f>IF($A7="","",IF(COUNTIFS(الإدخال!$A$5:$A$644,J$5,الإدخال!$D$5:$D$644,$A7,الإدخال!$F$5:$F$644,"غائب",الإدخال!$G$5:$G$644,"")&gt;0,"غ",IF(COUNTIFS(الإدخال!$A$5:$A$644,J$5,الإدخال!$D$5:$D$644,$A7,الإدخال!$F$5:$F$644,"معتذر",الإدخال!$G$5:$G$644,"")&gt;0,"ع",IF(SUMIFS(الإدخال!$P$5:$P$644,الإدخال!$A$5:$A$644,J$5,الإدخال!$D$5:$D$644,$A7)&gt;0,SUMIFS(الإدخال!$O$5:$O$644,الإدخال!$A$5:$A$644,J$5,الإدخال!$D$5:$D$644,$A7)/100,""))))</f>
        <v/>
      </c>
      <c r="K7" s="70" t="str">
        <f>IF($A7="","",IF(COUNTIFS(الإدخال!$A$5:$A$644,K$5,الإدخال!$D$5:$D$644,$A7,الإدخال!$F$5:$F$644,"غائب",الإدخال!$G$5:$G$644,"")&gt;0,"غ",IF(COUNTIFS(الإدخال!$A$5:$A$644,K$5,الإدخال!$D$5:$D$644,$A7,الإدخال!$F$5:$F$644,"معتذر",الإدخال!$G$5:$G$644,"")&gt;0,"ع",IF(SUMIFS(الإدخال!$P$5:$P$644,الإدخال!$A$5:$A$644,K$5,الإدخال!$D$5:$D$644,$A7)&gt;0,SUMIFS(الإدخال!$O$5:$O$644,الإدخال!$A$5:$A$644,K$5,الإدخال!$D$5:$D$644,$A7)/100,""))))</f>
        <v/>
      </c>
      <c r="L7" s="70" t="str">
        <f>IF($A7="","",IF(COUNTIFS(الإدخال!$A$5:$A$644,L$5,الإدخال!$D$5:$D$644,$A7,الإدخال!$F$5:$F$644,"غائب",الإدخال!$G$5:$G$644,"")&gt;0,"غ",IF(COUNTIFS(الإدخال!$A$5:$A$644,L$5,الإدخال!$D$5:$D$644,$A7,الإدخال!$F$5:$F$644,"معتذر",الإدخال!$G$5:$G$644,"")&gt;0,"ع",IF(SUMIFS(الإدخال!$P$5:$P$644,الإدخال!$A$5:$A$644,L$5,الإدخال!$D$5:$D$644,$A7)&gt;0,SUMIFS(الإدخال!$O$5:$O$644,الإدخال!$A$5:$A$644,L$5,الإدخال!$D$5:$D$644,$A7)/100,""))))</f>
        <v/>
      </c>
      <c r="M7" s="70" t="str">
        <f>IF($A7="","",IF(COUNTIFS(الإدخال!$A$5:$A$644,M$5,الإدخال!$D$5:$D$644,$A7,الإدخال!$F$5:$F$644,"غائب",الإدخال!$G$5:$G$644,"")&gt;0,"غ",IF(COUNTIFS(الإدخال!$A$5:$A$644,M$5,الإدخال!$D$5:$D$644,$A7,الإدخال!$F$5:$F$644,"معتذر",الإدخال!$G$5:$G$644,"")&gt;0,"ع",IF(SUMIFS(الإدخال!$P$5:$P$644,الإدخال!$A$5:$A$644,M$5,الإدخال!$D$5:$D$644,$A7)&gt;0,SUMIFS(الإدخال!$O$5:$O$644,الإدخال!$A$5:$A$644,M$5,الإدخال!$D$5:$D$644,$A7)/100,""))))</f>
        <v/>
      </c>
      <c r="N7" s="70" t="str">
        <f>IF($A7="","",IF(COUNTIFS(الإدخال!$A$5:$A$644,N$5,الإدخال!$D$5:$D$644,$A7,الإدخال!$F$5:$F$644,"غائب",الإدخال!$G$5:$G$644,"")&gt;0,"غ",IF(COUNTIFS(الإدخال!$A$5:$A$644,N$5,الإدخال!$D$5:$D$644,$A7,الإدخال!$F$5:$F$644,"معتذر",الإدخال!$G$5:$G$644,"")&gt;0,"ع",IF(SUMIFS(الإدخال!$P$5:$P$644,الإدخال!$A$5:$A$644,N$5,الإدخال!$D$5:$D$644,$A7)&gt;0,SUMIFS(الإدخال!$O$5:$O$644,الإدخال!$A$5:$A$644,N$5,الإدخال!$D$5:$D$644,$A7)/100,""))))</f>
        <v/>
      </c>
      <c r="O7" s="70" t="str">
        <f>IF($A7="","",IF(COUNTIFS(الإدخال!$A$5:$A$644,O$5,الإدخال!$D$5:$D$644,$A7,الإدخال!$F$5:$F$644,"غائب",الإدخال!$G$5:$G$644,"")&gt;0,"غ",IF(COUNTIFS(الإدخال!$A$5:$A$644,O$5,الإدخال!$D$5:$D$644,$A7,الإدخال!$F$5:$F$644,"معتذر",الإدخال!$G$5:$G$644,"")&gt;0,"ع",IF(SUMIFS(الإدخال!$P$5:$P$644,الإدخال!$A$5:$A$644,O$5,الإدخال!$D$5:$D$644,$A7)&gt;0,SUMIFS(الإدخال!$O$5:$O$644,الإدخال!$A$5:$A$644,O$5,الإدخال!$D$5:$D$644,$A7)/100,""))))</f>
        <v/>
      </c>
      <c r="P7" s="70" t="str">
        <f>IF($A7="","",IF(COUNTIFS(الإدخال!$A$5:$A$644,P$5,الإدخال!$D$5:$D$644,$A7,الإدخال!$F$5:$F$644,"غائب",الإدخال!$G$5:$G$644,"")&gt;0,"غ",IF(COUNTIFS(الإدخال!$A$5:$A$644,P$5,الإدخال!$D$5:$D$644,$A7,الإدخال!$F$5:$F$644,"معتذر",الإدخال!$G$5:$G$644,"")&gt;0,"ع",IF(SUMIFS(الإدخال!$P$5:$P$644,الإدخال!$A$5:$A$644,P$5,الإدخال!$D$5:$D$644,$A7)&gt;0,SUMIFS(الإدخال!$O$5:$O$644,الإدخال!$A$5:$A$644,P$5,الإدخال!$D$5:$D$644,$A7)/100,""))))</f>
        <v/>
      </c>
      <c r="Q7" s="70" t="str">
        <f>IF($A7="","",IF(COUNTIFS(الإدخال!$A$5:$A$644,Q$5,الإدخال!$D$5:$D$644,$A7,الإدخال!$F$5:$F$644,"غائب",الإدخال!$G$5:$G$644,"")&gt;0,"غ",IF(COUNTIFS(الإدخال!$A$5:$A$644,Q$5,الإدخال!$D$5:$D$644,$A7,الإدخال!$F$5:$F$644,"معتذر",الإدخال!$G$5:$G$644,"")&gt;0,"ع",IF(SUMIFS(الإدخال!$P$5:$P$644,الإدخال!$A$5:$A$644,Q$5,الإدخال!$D$5:$D$644,$A7)&gt;0,SUMIFS(الإدخال!$O$5:$O$644,الإدخال!$A$5:$A$644,Q$5,الإدخال!$D$5:$D$644,$A7)/100,""))))</f>
        <v/>
      </c>
      <c r="R7" s="70" t="str">
        <f>IF($A7="","",IF(COUNTIFS(الإدخال!$A$5:$A$644,R$5,الإدخال!$D$5:$D$644,$A7,الإدخال!$F$5:$F$644,"غائب",الإدخال!$G$5:$G$644,"")&gt;0,"غ",IF(COUNTIFS(الإدخال!$A$5:$A$644,R$5,الإدخال!$D$5:$D$644,$A7,الإدخال!$F$5:$F$644,"معتذر",الإدخال!$G$5:$G$644,"")&gt;0,"ع",IF(SUMIFS(الإدخال!$P$5:$P$644,الإدخال!$A$5:$A$644,R$5,الإدخال!$D$5:$D$644,$A7)&gt;0,SUMIFS(الإدخال!$O$5:$O$644,الإدخال!$A$5:$A$644,R$5,الإدخال!$D$5:$D$644,$A7)/100,""))))</f>
        <v/>
      </c>
      <c r="S7" s="70" t="str">
        <f>IF($A7="","",IF(COUNTIFS(الإدخال!$A$5:$A$644,S$5,الإدخال!$D$5:$D$644,$A7,الإدخال!$F$5:$F$644,"غائب",الإدخال!$G$5:$G$644,"")&gt;0,"غ",IF(COUNTIFS(الإدخال!$A$5:$A$644,S$5,الإدخال!$D$5:$D$644,$A7,الإدخال!$F$5:$F$644,"معتذر",الإدخال!$G$5:$G$644,"")&gt;0,"ع",IF(SUMIFS(الإدخال!$P$5:$P$644,الإدخال!$A$5:$A$644,S$5,الإدخال!$D$5:$D$644,$A7)&gt;0,SUMIFS(الإدخال!$O$5:$O$644,الإدخال!$A$5:$A$644,S$5,الإدخال!$D$5:$D$644,$A7)/100,""))))</f>
        <v/>
      </c>
      <c r="T7" s="71">
        <f>IF($A7="","",IFERROR(SUMIFS(الإدخال!$O$5:$O$644,الإدخال!$D$5:$D$644,$A7)/SUMIFS(الإدخال!$P$5:$P$644,الإدخال!$D$5:$D$644,$A7)/100,""))</f>
        <v>0.68500000000000005</v>
      </c>
      <c r="U7" s="72" t="str">
        <f t="shared" si="0"/>
        <v>مقبول</v>
      </c>
      <c r="V7" s="72">
        <f>IF($A7="","",SUMIFS(الإدخال!$N$5:$N$644,الإدخال!$D$5:$D$644,$A7))</f>
        <v>2</v>
      </c>
      <c r="W7" s="73">
        <f>IF($A7="","",COUNTIFS(الإدخال!$D$5:$D$644,$A7,الإدخال!$F$5:$F$644,"متأخر"))</f>
        <v>0</v>
      </c>
      <c r="X7" s="73">
        <f>IF($A7="","",COUNTIFS(الإدخال!$D$5:$D$644,$A7,الإدخال!$F$5:$F$644,"غائب"))</f>
        <v>0</v>
      </c>
      <c r="Y7" s="73">
        <f>IF($A7="","",COUNTIFS(الإدخال!$D$5:$D$644,$A7,الإدخال!$F$5:$F$644,"معتذر"))</f>
        <v>0</v>
      </c>
      <c r="Z7" s="73">
        <f>IF($A7="","",SUMIFS(الإدخال!$H$5:$H$644,الإدخال!$D$5:$D$644,$A7,الإدخال!$N$5:$N$644,1))</f>
        <v>1</v>
      </c>
      <c r="AA7" s="73">
        <f>IF($A7="","",SUMIFS(الإدخال!$I$5:$I$644,الإدخال!$D$5:$D$644,$A7,الإدخال!$N$5:$N$644,1))</f>
        <v>30</v>
      </c>
      <c r="AB7" s="73">
        <f>IF($A7="","",SUMIFS(الإدخال!$J$5:$J$644,الإدخال!$D$5:$D$644,$A7,الإدخال!$N$5:$N$644,1))</f>
        <v>0</v>
      </c>
      <c r="AC7" s="36">
        <f>IFERROR(MATCH($C$3&amp;"|2",الطلاب!$E$5:$E$44,0),"")</f>
        <v>2</v>
      </c>
    </row>
    <row r="8" spans="1:29">
      <c r="A8" s="18">
        <f>IF($AC8="","",INDEX(الطلاب!$A$5:$A$44,$AC8))</f>
        <v>3</v>
      </c>
      <c r="B8" s="68" t="str">
        <f>IF($AC8="","",INDEX(الطلاب!$B$5:$B$44,$AC8))</f>
        <v xml:space="preserve">فهد المشيقح </v>
      </c>
      <c r="C8" s="69" t="str">
        <f>IF($AC8="","",INDEX(الطلاب!$D$5:$D$44,$AC8))</f>
        <v xml:space="preserve">عبدالرحمن بن النعمان </v>
      </c>
      <c r="D8" s="70">
        <f>IF($A8="","",IF(COUNTIFS(الإدخال!$A$5:$A$644,D$5,الإدخال!$D$5:$D$644,$A8,الإدخال!$F$5:$F$644,"غائب",الإدخال!$G$5:$G$644,"")&gt;0,"غ",IF(COUNTIFS(الإدخال!$A$5:$A$644,D$5,الإدخال!$D$5:$D$644,$A8,الإدخال!$F$5:$F$644,"معتذر",الإدخال!$G$5:$G$644,"")&gt;0,"ع",IF(SUMIFS(الإدخال!$P$5:$P$644,الإدخال!$A$5:$A$644,D$5,الإدخال!$D$5:$D$644,$A8)&gt;0,SUMIFS(الإدخال!$O$5:$O$644,الإدخال!$A$5:$A$644,D$5,الإدخال!$D$5:$D$644,$A8)/100,""))))</f>
        <v>0.95</v>
      </c>
      <c r="E8" s="70">
        <f>IF($A8="","",IF(COUNTIFS(الإدخال!$A$5:$A$644,E$5,الإدخال!$D$5:$D$644,$A8,الإدخال!$F$5:$F$644,"غائب",الإدخال!$G$5:$G$644,"")&gt;0,"غ",IF(COUNTIFS(الإدخال!$A$5:$A$644,E$5,الإدخال!$D$5:$D$644,$A8,الإدخال!$F$5:$F$644,"معتذر",الإدخال!$G$5:$G$644,"")&gt;0,"ع",IF(SUMIFS(الإدخال!$P$5:$P$644,الإدخال!$A$5:$A$644,E$5,الإدخال!$D$5:$D$644,$A8)&gt;0,SUMIFS(الإدخال!$O$5:$O$644,الإدخال!$A$5:$A$644,E$5,الإدخال!$D$5:$D$644,$A8)/100,""))))</f>
        <v>0.99</v>
      </c>
      <c r="F8" s="70" t="str">
        <f>IF($A8="","",IF(COUNTIFS(الإدخال!$A$5:$A$644,F$5,الإدخال!$D$5:$D$644,$A8,الإدخال!$F$5:$F$644,"غائب",الإدخال!$G$5:$G$644,"")&gt;0,"غ",IF(COUNTIFS(الإدخال!$A$5:$A$644,F$5,الإدخال!$D$5:$D$644,$A8,الإدخال!$F$5:$F$644,"معتذر",الإدخال!$G$5:$G$644,"")&gt;0,"ع",IF(SUMIFS(الإدخال!$P$5:$P$644,الإدخال!$A$5:$A$644,F$5,الإدخال!$D$5:$D$644,$A8)&gt;0,SUMIFS(الإدخال!$O$5:$O$644,الإدخال!$A$5:$A$644,F$5,الإدخال!$D$5:$D$644,$A8)/100,""))))</f>
        <v/>
      </c>
      <c r="G8" s="70" t="str">
        <f>IF($A8="","",IF(COUNTIFS(الإدخال!$A$5:$A$644,G$5,الإدخال!$D$5:$D$644,$A8,الإدخال!$F$5:$F$644,"غائب",الإدخال!$G$5:$G$644,"")&gt;0,"غ",IF(COUNTIFS(الإدخال!$A$5:$A$644,G$5,الإدخال!$D$5:$D$644,$A8,الإدخال!$F$5:$F$644,"معتذر",الإدخال!$G$5:$G$644,"")&gt;0,"ع",IF(SUMIFS(الإدخال!$P$5:$P$644,الإدخال!$A$5:$A$644,G$5,الإدخال!$D$5:$D$644,$A8)&gt;0,SUMIFS(الإدخال!$O$5:$O$644,الإدخال!$A$5:$A$644,G$5,الإدخال!$D$5:$D$644,$A8)/100,""))))</f>
        <v/>
      </c>
      <c r="H8" s="70" t="str">
        <f>IF($A8="","",IF(COUNTIFS(الإدخال!$A$5:$A$644,H$5,الإدخال!$D$5:$D$644,$A8,الإدخال!$F$5:$F$644,"غائب",الإدخال!$G$5:$G$644,"")&gt;0,"غ",IF(COUNTIFS(الإدخال!$A$5:$A$644,H$5,الإدخال!$D$5:$D$644,$A8,الإدخال!$F$5:$F$644,"معتذر",الإدخال!$G$5:$G$644,"")&gt;0,"ع",IF(SUMIFS(الإدخال!$P$5:$P$644,الإدخال!$A$5:$A$644,H$5,الإدخال!$D$5:$D$644,$A8)&gt;0,SUMIFS(الإدخال!$O$5:$O$644,الإدخال!$A$5:$A$644,H$5,الإدخال!$D$5:$D$644,$A8)/100,""))))</f>
        <v/>
      </c>
      <c r="I8" s="70" t="str">
        <f>IF($A8="","",IF(COUNTIFS(الإدخال!$A$5:$A$644,I$5,الإدخال!$D$5:$D$644,$A8,الإدخال!$F$5:$F$644,"غائب",الإدخال!$G$5:$G$644,"")&gt;0,"غ",IF(COUNTIFS(الإدخال!$A$5:$A$644,I$5,الإدخال!$D$5:$D$644,$A8,الإدخال!$F$5:$F$644,"معتذر",الإدخال!$G$5:$G$644,"")&gt;0,"ع",IF(SUMIFS(الإدخال!$P$5:$P$644,الإدخال!$A$5:$A$644,I$5,الإدخال!$D$5:$D$644,$A8)&gt;0,SUMIFS(الإدخال!$O$5:$O$644,الإدخال!$A$5:$A$644,I$5,الإدخال!$D$5:$D$644,$A8)/100,""))))</f>
        <v/>
      </c>
      <c r="J8" s="70" t="str">
        <f>IF($A8="","",IF(COUNTIFS(الإدخال!$A$5:$A$644,J$5,الإدخال!$D$5:$D$644,$A8,الإدخال!$F$5:$F$644,"غائب",الإدخال!$G$5:$G$644,"")&gt;0,"غ",IF(COUNTIFS(الإدخال!$A$5:$A$644,J$5,الإدخال!$D$5:$D$644,$A8,الإدخال!$F$5:$F$644,"معتذر",الإدخال!$G$5:$G$644,"")&gt;0,"ع",IF(SUMIFS(الإدخال!$P$5:$P$644,الإدخال!$A$5:$A$644,J$5,الإدخال!$D$5:$D$644,$A8)&gt;0,SUMIFS(الإدخال!$O$5:$O$644,الإدخال!$A$5:$A$644,J$5,الإدخال!$D$5:$D$644,$A8)/100,""))))</f>
        <v/>
      </c>
      <c r="K8" s="70" t="str">
        <f>IF($A8="","",IF(COUNTIFS(الإدخال!$A$5:$A$644,K$5,الإدخال!$D$5:$D$644,$A8,الإدخال!$F$5:$F$644,"غائب",الإدخال!$G$5:$G$644,"")&gt;0,"غ",IF(COUNTIFS(الإدخال!$A$5:$A$644,K$5,الإدخال!$D$5:$D$644,$A8,الإدخال!$F$5:$F$644,"معتذر",الإدخال!$G$5:$G$644,"")&gt;0,"ع",IF(SUMIFS(الإدخال!$P$5:$P$644,الإدخال!$A$5:$A$644,K$5,الإدخال!$D$5:$D$644,$A8)&gt;0,SUMIFS(الإدخال!$O$5:$O$644,الإدخال!$A$5:$A$644,K$5,الإدخال!$D$5:$D$644,$A8)/100,""))))</f>
        <v/>
      </c>
      <c r="L8" s="70" t="str">
        <f>IF($A8="","",IF(COUNTIFS(الإدخال!$A$5:$A$644,L$5,الإدخال!$D$5:$D$644,$A8,الإدخال!$F$5:$F$644,"غائب",الإدخال!$G$5:$G$644,"")&gt;0,"غ",IF(COUNTIFS(الإدخال!$A$5:$A$644,L$5,الإدخال!$D$5:$D$644,$A8,الإدخال!$F$5:$F$644,"معتذر",الإدخال!$G$5:$G$644,"")&gt;0,"ع",IF(SUMIFS(الإدخال!$P$5:$P$644,الإدخال!$A$5:$A$644,L$5,الإدخال!$D$5:$D$644,$A8)&gt;0,SUMIFS(الإدخال!$O$5:$O$644,الإدخال!$A$5:$A$644,L$5,الإدخال!$D$5:$D$644,$A8)/100,""))))</f>
        <v/>
      </c>
      <c r="M8" s="70" t="str">
        <f>IF($A8="","",IF(COUNTIFS(الإدخال!$A$5:$A$644,M$5,الإدخال!$D$5:$D$644,$A8,الإدخال!$F$5:$F$644,"غائب",الإدخال!$G$5:$G$644,"")&gt;0,"غ",IF(COUNTIFS(الإدخال!$A$5:$A$644,M$5,الإدخال!$D$5:$D$644,$A8,الإدخال!$F$5:$F$644,"معتذر",الإدخال!$G$5:$G$644,"")&gt;0,"ع",IF(SUMIFS(الإدخال!$P$5:$P$644,الإدخال!$A$5:$A$644,M$5,الإدخال!$D$5:$D$644,$A8)&gt;0,SUMIFS(الإدخال!$O$5:$O$644,الإدخال!$A$5:$A$644,M$5,الإدخال!$D$5:$D$644,$A8)/100,""))))</f>
        <v/>
      </c>
      <c r="N8" s="70" t="str">
        <f>IF($A8="","",IF(COUNTIFS(الإدخال!$A$5:$A$644,N$5,الإدخال!$D$5:$D$644,$A8,الإدخال!$F$5:$F$644,"غائب",الإدخال!$G$5:$G$644,"")&gt;0,"غ",IF(COUNTIFS(الإدخال!$A$5:$A$644,N$5,الإدخال!$D$5:$D$644,$A8,الإدخال!$F$5:$F$644,"معتذر",الإدخال!$G$5:$G$644,"")&gt;0,"ع",IF(SUMIFS(الإدخال!$P$5:$P$644,الإدخال!$A$5:$A$644,N$5,الإدخال!$D$5:$D$644,$A8)&gt;0,SUMIFS(الإدخال!$O$5:$O$644,الإدخال!$A$5:$A$644,N$5,الإدخال!$D$5:$D$644,$A8)/100,""))))</f>
        <v/>
      </c>
      <c r="O8" s="70" t="str">
        <f>IF($A8="","",IF(COUNTIFS(الإدخال!$A$5:$A$644,O$5,الإدخال!$D$5:$D$644,$A8,الإدخال!$F$5:$F$644,"غائب",الإدخال!$G$5:$G$644,"")&gt;0,"غ",IF(COUNTIFS(الإدخال!$A$5:$A$644,O$5,الإدخال!$D$5:$D$644,$A8,الإدخال!$F$5:$F$644,"معتذر",الإدخال!$G$5:$G$644,"")&gt;0,"ع",IF(SUMIFS(الإدخال!$P$5:$P$644,الإدخال!$A$5:$A$644,O$5,الإدخال!$D$5:$D$644,$A8)&gt;0,SUMIFS(الإدخال!$O$5:$O$644,الإدخال!$A$5:$A$644,O$5,الإدخال!$D$5:$D$644,$A8)/100,""))))</f>
        <v/>
      </c>
      <c r="P8" s="70" t="str">
        <f>IF($A8="","",IF(COUNTIFS(الإدخال!$A$5:$A$644,P$5,الإدخال!$D$5:$D$644,$A8,الإدخال!$F$5:$F$644,"غائب",الإدخال!$G$5:$G$644,"")&gt;0,"غ",IF(COUNTIFS(الإدخال!$A$5:$A$644,P$5,الإدخال!$D$5:$D$644,$A8,الإدخال!$F$5:$F$644,"معتذر",الإدخال!$G$5:$G$644,"")&gt;0,"ع",IF(SUMIFS(الإدخال!$P$5:$P$644,الإدخال!$A$5:$A$644,P$5,الإدخال!$D$5:$D$644,$A8)&gt;0,SUMIFS(الإدخال!$O$5:$O$644,الإدخال!$A$5:$A$644,P$5,الإدخال!$D$5:$D$644,$A8)/100,""))))</f>
        <v/>
      </c>
      <c r="Q8" s="70" t="str">
        <f>IF($A8="","",IF(COUNTIFS(الإدخال!$A$5:$A$644,Q$5,الإدخال!$D$5:$D$644,$A8,الإدخال!$F$5:$F$644,"غائب",الإدخال!$G$5:$G$644,"")&gt;0,"غ",IF(COUNTIFS(الإدخال!$A$5:$A$644,Q$5,الإدخال!$D$5:$D$644,$A8,الإدخال!$F$5:$F$644,"معتذر",الإدخال!$G$5:$G$644,"")&gt;0,"ع",IF(SUMIFS(الإدخال!$P$5:$P$644,الإدخال!$A$5:$A$644,Q$5,الإدخال!$D$5:$D$644,$A8)&gt;0,SUMIFS(الإدخال!$O$5:$O$644,الإدخال!$A$5:$A$644,Q$5,الإدخال!$D$5:$D$644,$A8)/100,""))))</f>
        <v/>
      </c>
      <c r="R8" s="70" t="str">
        <f>IF($A8="","",IF(COUNTIFS(الإدخال!$A$5:$A$644,R$5,الإدخال!$D$5:$D$644,$A8,الإدخال!$F$5:$F$644,"غائب",الإدخال!$G$5:$G$644,"")&gt;0,"غ",IF(COUNTIFS(الإدخال!$A$5:$A$644,R$5,الإدخال!$D$5:$D$644,$A8,الإدخال!$F$5:$F$644,"معتذر",الإدخال!$G$5:$G$644,"")&gt;0,"ع",IF(SUMIFS(الإدخال!$P$5:$P$644,الإدخال!$A$5:$A$644,R$5,الإدخال!$D$5:$D$644,$A8)&gt;0,SUMIFS(الإدخال!$O$5:$O$644,الإدخال!$A$5:$A$644,R$5,الإدخال!$D$5:$D$644,$A8)/100,""))))</f>
        <v/>
      </c>
      <c r="S8" s="70" t="str">
        <f>IF($A8="","",IF(COUNTIFS(الإدخال!$A$5:$A$644,S$5,الإدخال!$D$5:$D$644,$A8,الإدخال!$F$5:$F$644,"غائب",الإدخال!$G$5:$G$644,"")&gt;0,"غ",IF(COUNTIFS(الإدخال!$A$5:$A$644,S$5,الإدخال!$D$5:$D$644,$A8,الإدخال!$F$5:$F$644,"معتذر",الإدخال!$G$5:$G$644,"")&gt;0,"ع",IF(SUMIFS(الإدخال!$P$5:$P$644,الإدخال!$A$5:$A$644,S$5,الإدخال!$D$5:$D$644,$A8)&gt;0,SUMIFS(الإدخال!$O$5:$O$644,الإدخال!$A$5:$A$644,S$5,الإدخال!$D$5:$D$644,$A8)/100,""))))</f>
        <v/>
      </c>
      <c r="T8" s="71">
        <f>IF($A8="","",IFERROR(SUMIFS(الإدخال!$O$5:$O$644,الإدخال!$D$5:$D$644,$A8)/SUMIFS(الإدخال!$P$5:$P$644,الإدخال!$D$5:$D$644,$A8)/100,""))</f>
        <v>0.97</v>
      </c>
      <c r="U8" s="72" t="str">
        <f t="shared" si="0"/>
        <v>ممتاز</v>
      </c>
      <c r="V8" s="72">
        <f>IF($A8="","",SUMIFS(الإدخال!$N$5:$N$644,الإدخال!$D$5:$D$644,$A8))</f>
        <v>2</v>
      </c>
      <c r="W8" s="73">
        <f>IF($A8="","",COUNTIFS(الإدخال!$D$5:$D$644,$A8,الإدخال!$F$5:$F$644,"متأخر"))</f>
        <v>0</v>
      </c>
      <c r="X8" s="73">
        <f>IF($A8="","",COUNTIFS(الإدخال!$D$5:$D$644,$A8,الإدخال!$F$5:$F$644,"غائب"))</f>
        <v>0</v>
      </c>
      <c r="Y8" s="73">
        <f>IF($A8="","",COUNTIFS(الإدخال!$D$5:$D$644,$A8,الإدخال!$F$5:$F$644,"معتذر"))</f>
        <v>0</v>
      </c>
      <c r="Z8" s="73">
        <f>IF($A8="","",SUMIFS(الإدخال!$H$5:$H$644,الإدخال!$D$5:$D$644,$A8,الإدخال!$N$5:$N$644,1))</f>
        <v>5</v>
      </c>
      <c r="AA8" s="73">
        <f>IF($A8="","",SUMIFS(الإدخال!$I$5:$I$644,الإدخال!$D$5:$D$644,$A8,الإدخال!$N$5:$N$644,1))</f>
        <v>52</v>
      </c>
      <c r="AB8" s="73">
        <f>IF($A8="","",SUMIFS(الإدخال!$J$5:$J$644,الإدخال!$D$5:$D$644,$A8,الإدخال!$N$5:$N$644,1))</f>
        <v>0</v>
      </c>
      <c r="AC8" s="36">
        <f>IFERROR(MATCH($C$3&amp;"|3",الطلاب!$E$5:$E$44,0),"")</f>
        <v>3</v>
      </c>
    </row>
    <row r="9" spans="1:29">
      <c r="A9" s="18">
        <f>IF($AC9="","",INDEX(الطلاب!$A$5:$A$44,$AC9))</f>
        <v>4</v>
      </c>
      <c r="B9" s="68" t="str">
        <f>IF($AC9="","",INDEX(الطلاب!$B$5:$B$44,$AC9))</f>
        <v>عبدالله الحفير</v>
      </c>
      <c r="C9" s="69" t="str">
        <f>IF($AC9="","",INDEX(الطلاب!$D$5:$D$44,$AC9))</f>
        <v xml:space="preserve">عبدالرحمن بن النعمان </v>
      </c>
      <c r="D9" s="70">
        <f>IF($A9="","",IF(COUNTIFS(الإدخال!$A$5:$A$644,D$5,الإدخال!$D$5:$D$644,$A9,الإدخال!$F$5:$F$644,"غائب",الإدخال!$G$5:$G$644,"")&gt;0,"غ",IF(COUNTIFS(الإدخال!$A$5:$A$644,D$5,الإدخال!$D$5:$D$644,$A9,الإدخال!$F$5:$F$644,"معتذر",الإدخال!$G$5:$G$644,"")&gt;0,"ع",IF(SUMIFS(الإدخال!$P$5:$P$644,الإدخال!$A$5:$A$644,D$5,الإدخال!$D$5:$D$644,$A9)&gt;0,SUMIFS(الإدخال!$O$5:$O$644,الإدخال!$A$5:$A$644,D$5,الإدخال!$D$5:$D$644,$A9)/100,""))))</f>
        <v>0.5</v>
      </c>
      <c r="E9" s="70">
        <f>IF($A9="","",IF(COUNTIFS(الإدخال!$A$5:$A$644,E$5,الإدخال!$D$5:$D$644,$A9,الإدخال!$F$5:$F$644,"غائب",الإدخال!$G$5:$G$644,"")&gt;0,"غ",IF(COUNTIFS(الإدخال!$A$5:$A$644,E$5,الإدخال!$D$5:$D$644,$A9,الإدخال!$F$5:$F$644,"معتذر",الإدخال!$G$5:$G$644,"")&gt;0,"ع",IF(SUMIFS(الإدخال!$P$5:$P$644,الإدخال!$A$5:$A$644,E$5,الإدخال!$D$5:$D$644,$A9)&gt;0,SUMIFS(الإدخال!$O$5:$O$644,الإدخال!$A$5:$A$644,E$5,الإدخال!$D$5:$D$644,$A9)/100,""))))</f>
        <v>1</v>
      </c>
      <c r="F9" s="70" t="str">
        <f>IF($A9="","",IF(COUNTIFS(الإدخال!$A$5:$A$644,F$5,الإدخال!$D$5:$D$644,$A9,الإدخال!$F$5:$F$644,"غائب",الإدخال!$G$5:$G$644,"")&gt;0,"غ",IF(COUNTIFS(الإدخال!$A$5:$A$644,F$5,الإدخال!$D$5:$D$644,$A9,الإدخال!$F$5:$F$644,"معتذر",الإدخال!$G$5:$G$644,"")&gt;0,"ع",IF(SUMIFS(الإدخال!$P$5:$P$644,الإدخال!$A$5:$A$644,F$5,الإدخال!$D$5:$D$644,$A9)&gt;0,SUMIFS(الإدخال!$O$5:$O$644,الإدخال!$A$5:$A$644,F$5,الإدخال!$D$5:$D$644,$A9)/100,""))))</f>
        <v/>
      </c>
      <c r="G9" s="70" t="str">
        <f>IF($A9="","",IF(COUNTIFS(الإدخال!$A$5:$A$644,G$5,الإدخال!$D$5:$D$644,$A9,الإدخال!$F$5:$F$644,"غائب",الإدخال!$G$5:$G$644,"")&gt;0,"غ",IF(COUNTIFS(الإدخال!$A$5:$A$644,G$5,الإدخال!$D$5:$D$644,$A9,الإدخال!$F$5:$F$644,"معتذر",الإدخال!$G$5:$G$644,"")&gt;0,"ع",IF(SUMIFS(الإدخال!$P$5:$P$644,الإدخال!$A$5:$A$644,G$5,الإدخال!$D$5:$D$644,$A9)&gt;0,SUMIFS(الإدخال!$O$5:$O$644,الإدخال!$A$5:$A$644,G$5,الإدخال!$D$5:$D$644,$A9)/100,""))))</f>
        <v/>
      </c>
      <c r="H9" s="70" t="str">
        <f>IF($A9="","",IF(COUNTIFS(الإدخال!$A$5:$A$644,H$5,الإدخال!$D$5:$D$644,$A9,الإدخال!$F$5:$F$644,"غائب",الإدخال!$G$5:$G$644,"")&gt;0,"غ",IF(COUNTIFS(الإدخال!$A$5:$A$644,H$5,الإدخال!$D$5:$D$644,$A9,الإدخال!$F$5:$F$644,"معتذر",الإدخال!$G$5:$G$644,"")&gt;0,"ع",IF(SUMIFS(الإدخال!$P$5:$P$644,الإدخال!$A$5:$A$644,H$5,الإدخال!$D$5:$D$644,$A9)&gt;0,SUMIFS(الإدخال!$O$5:$O$644,الإدخال!$A$5:$A$644,H$5,الإدخال!$D$5:$D$644,$A9)/100,""))))</f>
        <v/>
      </c>
      <c r="I9" s="70" t="str">
        <f>IF($A9="","",IF(COUNTIFS(الإدخال!$A$5:$A$644,I$5,الإدخال!$D$5:$D$644,$A9,الإدخال!$F$5:$F$644,"غائب",الإدخال!$G$5:$G$644,"")&gt;0,"غ",IF(COUNTIFS(الإدخال!$A$5:$A$644,I$5,الإدخال!$D$5:$D$644,$A9,الإدخال!$F$5:$F$644,"معتذر",الإدخال!$G$5:$G$644,"")&gt;0,"ع",IF(SUMIFS(الإدخال!$P$5:$P$644,الإدخال!$A$5:$A$644,I$5,الإدخال!$D$5:$D$644,$A9)&gt;0,SUMIFS(الإدخال!$O$5:$O$644,الإدخال!$A$5:$A$644,I$5,الإدخال!$D$5:$D$644,$A9)/100,""))))</f>
        <v/>
      </c>
      <c r="J9" s="70" t="str">
        <f>IF($A9="","",IF(COUNTIFS(الإدخال!$A$5:$A$644,J$5,الإدخال!$D$5:$D$644,$A9,الإدخال!$F$5:$F$644,"غائب",الإدخال!$G$5:$G$644,"")&gt;0,"غ",IF(COUNTIFS(الإدخال!$A$5:$A$644,J$5,الإدخال!$D$5:$D$644,$A9,الإدخال!$F$5:$F$644,"معتذر",الإدخال!$G$5:$G$644,"")&gt;0,"ع",IF(SUMIFS(الإدخال!$P$5:$P$644,الإدخال!$A$5:$A$644,J$5,الإدخال!$D$5:$D$644,$A9)&gt;0,SUMIFS(الإدخال!$O$5:$O$644,الإدخال!$A$5:$A$644,J$5,الإدخال!$D$5:$D$644,$A9)/100,""))))</f>
        <v/>
      </c>
      <c r="K9" s="70" t="str">
        <f>IF($A9="","",IF(COUNTIFS(الإدخال!$A$5:$A$644,K$5,الإدخال!$D$5:$D$644,$A9,الإدخال!$F$5:$F$644,"غائب",الإدخال!$G$5:$G$644,"")&gt;0,"غ",IF(COUNTIFS(الإدخال!$A$5:$A$644,K$5,الإدخال!$D$5:$D$644,$A9,الإدخال!$F$5:$F$644,"معتذر",الإدخال!$G$5:$G$644,"")&gt;0,"ع",IF(SUMIFS(الإدخال!$P$5:$P$644,الإدخال!$A$5:$A$644,K$5,الإدخال!$D$5:$D$644,$A9)&gt;0,SUMIFS(الإدخال!$O$5:$O$644,الإدخال!$A$5:$A$644,K$5,الإدخال!$D$5:$D$644,$A9)/100,""))))</f>
        <v/>
      </c>
      <c r="L9" s="70" t="str">
        <f>IF($A9="","",IF(COUNTIFS(الإدخال!$A$5:$A$644,L$5,الإدخال!$D$5:$D$644,$A9,الإدخال!$F$5:$F$644,"غائب",الإدخال!$G$5:$G$644,"")&gt;0,"غ",IF(COUNTIFS(الإدخال!$A$5:$A$644,L$5,الإدخال!$D$5:$D$644,$A9,الإدخال!$F$5:$F$644,"معتذر",الإدخال!$G$5:$G$644,"")&gt;0,"ع",IF(SUMIFS(الإدخال!$P$5:$P$644,الإدخال!$A$5:$A$644,L$5,الإدخال!$D$5:$D$644,$A9)&gt;0,SUMIFS(الإدخال!$O$5:$O$644,الإدخال!$A$5:$A$644,L$5,الإدخال!$D$5:$D$644,$A9)/100,""))))</f>
        <v/>
      </c>
      <c r="M9" s="70" t="str">
        <f>IF($A9="","",IF(COUNTIFS(الإدخال!$A$5:$A$644,M$5,الإدخال!$D$5:$D$644,$A9,الإدخال!$F$5:$F$644,"غائب",الإدخال!$G$5:$G$644,"")&gt;0,"غ",IF(COUNTIFS(الإدخال!$A$5:$A$644,M$5,الإدخال!$D$5:$D$644,$A9,الإدخال!$F$5:$F$644,"معتذر",الإدخال!$G$5:$G$644,"")&gt;0,"ع",IF(SUMIFS(الإدخال!$P$5:$P$644,الإدخال!$A$5:$A$644,M$5,الإدخال!$D$5:$D$644,$A9)&gt;0,SUMIFS(الإدخال!$O$5:$O$644,الإدخال!$A$5:$A$644,M$5,الإدخال!$D$5:$D$644,$A9)/100,""))))</f>
        <v/>
      </c>
      <c r="N9" s="70" t="str">
        <f>IF($A9="","",IF(COUNTIFS(الإدخال!$A$5:$A$644,N$5,الإدخال!$D$5:$D$644,$A9,الإدخال!$F$5:$F$644,"غائب",الإدخال!$G$5:$G$644,"")&gt;0,"غ",IF(COUNTIFS(الإدخال!$A$5:$A$644,N$5,الإدخال!$D$5:$D$644,$A9,الإدخال!$F$5:$F$644,"معتذر",الإدخال!$G$5:$G$644,"")&gt;0,"ع",IF(SUMIFS(الإدخال!$P$5:$P$644,الإدخال!$A$5:$A$644,N$5,الإدخال!$D$5:$D$644,$A9)&gt;0,SUMIFS(الإدخال!$O$5:$O$644,الإدخال!$A$5:$A$644,N$5,الإدخال!$D$5:$D$644,$A9)/100,""))))</f>
        <v/>
      </c>
      <c r="O9" s="70" t="str">
        <f>IF($A9="","",IF(COUNTIFS(الإدخال!$A$5:$A$644,O$5,الإدخال!$D$5:$D$644,$A9,الإدخال!$F$5:$F$644,"غائب",الإدخال!$G$5:$G$644,"")&gt;0,"غ",IF(COUNTIFS(الإدخال!$A$5:$A$644,O$5,الإدخال!$D$5:$D$644,$A9,الإدخال!$F$5:$F$644,"معتذر",الإدخال!$G$5:$G$644,"")&gt;0,"ع",IF(SUMIFS(الإدخال!$P$5:$P$644,الإدخال!$A$5:$A$644,O$5,الإدخال!$D$5:$D$644,$A9)&gt;0,SUMIFS(الإدخال!$O$5:$O$644,الإدخال!$A$5:$A$644,O$5,الإدخال!$D$5:$D$644,$A9)/100,""))))</f>
        <v/>
      </c>
      <c r="P9" s="70" t="str">
        <f>IF($A9="","",IF(COUNTIFS(الإدخال!$A$5:$A$644,P$5,الإدخال!$D$5:$D$644,$A9,الإدخال!$F$5:$F$644,"غائب",الإدخال!$G$5:$G$644,"")&gt;0,"غ",IF(COUNTIFS(الإدخال!$A$5:$A$644,P$5,الإدخال!$D$5:$D$644,$A9,الإدخال!$F$5:$F$644,"معتذر",الإدخال!$G$5:$G$644,"")&gt;0,"ع",IF(SUMIFS(الإدخال!$P$5:$P$644,الإدخال!$A$5:$A$644,P$5,الإدخال!$D$5:$D$644,$A9)&gt;0,SUMIFS(الإدخال!$O$5:$O$644,الإدخال!$A$5:$A$644,P$5,الإدخال!$D$5:$D$644,$A9)/100,""))))</f>
        <v/>
      </c>
      <c r="Q9" s="70" t="str">
        <f>IF($A9="","",IF(COUNTIFS(الإدخال!$A$5:$A$644,Q$5,الإدخال!$D$5:$D$644,$A9,الإدخال!$F$5:$F$644,"غائب",الإدخال!$G$5:$G$644,"")&gt;0,"غ",IF(COUNTIFS(الإدخال!$A$5:$A$644,Q$5,الإدخال!$D$5:$D$644,$A9,الإدخال!$F$5:$F$644,"معتذر",الإدخال!$G$5:$G$644,"")&gt;0,"ع",IF(SUMIFS(الإدخال!$P$5:$P$644,الإدخال!$A$5:$A$644,Q$5,الإدخال!$D$5:$D$644,$A9)&gt;0,SUMIFS(الإدخال!$O$5:$O$644,الإدخال!$A$5:$A$644,Q$5,الإدخال!$D$5:$D$644,$A9)/100,""))))</f>
        <v/>
      </c>
      <c r="R9" s="70" t="str">
        <f>IF($A9="","",IF(COUNTIFS(الإدخال!$A$5:$A$644,R$5,الإدخال!$D$5:$D$644,$A9,الإدخال!$F$5:$F$644,"غائب",الإدخال!$G$5:$G$644,"")&gt;0,"غ",IF(COUNTIFS(الإدخال!$A$5:$A$644,R$5,الإدخال!$D$5:$D$644,$A9,الإدخال!$F$5:$F$644,"معتذر",الإدخال!$G$5:$G$644,"")&gt;0,"ع",IF(SUMIFS(الإدخال!$P$5:$P$644,الإدخال!$A$5:$A$644,R$5,الإدخال!$D$5:$D$644,$A9)&gt;0,SUMIFS(الإدخال!$O$5:$O$644,الإدخال!$A$5:$A$644,R$5,الإدخال!$D$5:$D$644,$A9)/100,""))))</f>
        <v/>
      </c>
      <c r="S9" s="70" t="str">
        <f>IF($A9="","",IF(COUNTIFS(الإدخال!$A$5:$A$644,S$5,الإدخال!$D$5:$D$644,$A9,الإدخال!$F$5:$F$644,"غائب",الإدخال!$G$5:$G$644,"")&gt;0,"غ",IF(COUNTIFS(الإدخال!$A$5:$A$644,S$5,الإدخال!$D$5:$D$644,$A9,الإدخال!$F$5:$F$644,"معتذر",الإدخال!$G$5:$G$644,"")&gt;0,"ع",IF(SUMIFS(الإدخال!$P$5:$P$644,الإدخال!$A$5:$A$644,S$5,الإدخال!$D$5:$D$644,$A9)&gt;0,SUMIFS(الإدخال!$O$5:$O$644,الإدخال!$A$5:$A$644,S$5,الإدخال!$D$5:$D$644,$A9)/100,""))))</f>
        <v/>
      </c>
      <c r="T9" s="71">
        <f>IF($A9="","",IFERROR(SUMIFS(الإدخال!$O$5:$O$644,الإدخال!$D$5:$D$644,$A9)/SUMIFS(الإدخال!$P$5:$P$644,الإدخال!$D$5:$D$644,$A9)/100,""))</f>
        <v>0.75</v>
      </c>
      <c r="U9" s="72" t="str">
        <f t="shared" si="0"/>
        <v>جيد</v>
      </c>
      <c r="V9" s="72">
        <f>IF($A9="","",SUMIFS(الإدخال!$N$5:$N$644,الإدخال!$D$5:$D$644,$A9))</f>
        <v>2</v>
      </c>
      <c r="W9" s="73">
        <f>IF($A9="","",COUNTIFS(الإدخال!$D$5:$D$644,$A9,الإدخال!$F$5:$F$644,"متأخر"))</f>
        <v>0</v>
      </c>
      <c r="X9" s="73">
        <f>IF($A9="","",COUNTIFS(الإدخال!$D$5:$D$644,$A9,الإدخال!$F$5:$F$644,"غائب"))</f>
        <v>0</v>
      </c>
      <c r="Y9" s="73">
        <f>IF($A9="","",COUNTIFS(الإدخال!$D$5:$D$644,$A9,الإدخال!$F$5:$F$644,"معتذر"))</f>
        <v>0</v>
      </c>
      <c r="Z9" s="73">
        <f>IF($A9="","",SUMIFS(الإدخال!$H$5:$H$644,الإدخال!$D$5:$D$644,$A9,الإدخال!$N$5:$N$644,1))</f>
        <v>4</v>
      </c>
      <c r="AA9" s="73">
        <f>IF($A9="","",SUMIFS(الإدخال!$I$5:$I$644,الإدخال!$D$5:$D$644,$A9,الإدخال!$N$5:$N$644,1))</f>
        <v>28</v>
      </c>
      <c r="AB9" s="73">
        <f>IF($A9="","",SUMIFS(الإدخال!$J$5:$J$644,الإدخال!$D$5:$D$644,$A9,الإدخال!$N$5:$N$644,1))</f>
        <v>0</v>
      </c>
      <c r="AC9" s="36">
        <f>IFERROR(MATCH($C$3&amp;"|4",الطلاب!$E$5:$E$44,0),"")</f>
        <v>4</v>
      </c>
    </row>
    <row r="10" spans="1:29">
      <c r="A10" s="18">
        <f>IF($AC10="","",INDEX(الطلاب!$A$5:$A$44,$AC10))</f>
        <v>5</v>
      </c>
      <c r="B10" s="68" t="str">
        <f>IF($AC10="","",INDEX(الطلاب!$B$5:$B$44,$AC10))</f>
        <v>زياد الدخيل الله</v>
      </c>
      <c r="C10" s="69" t="str">
        <f>IF($AC10="","",INDEX(الطلاب!$D$5:$D$44,$AC10))</f>
        <v xml:space="preserve">عبدالرحمن بن النعمان </v>
      </c>
      <c r="D10" s="70">
        <f>IF($A10="","",IF(COUNTIFS(الإدخال!$A$5:$A$644,D$5,الإدخال!$D$5:$D$644,$A10,الإدخال!$F$5:$F$644,"غائب",الإدخال!$G$5:$G$644,"")&gt;0,"غ",IF(COUNTIFS(الإدخال!$A$5:$A$644,D$5,الإدخال!$D$5:$D$644,$A10,الإدخال!$F$5:$F$644,"معتذر",الإدخال!$G$5:$G$644,"")&gt;0,"ع",IF(SUMIFS(الإدخال!$P$5:$P$644,الإدخال!$A$5:$A$644,D$5,الإدخال!$D$5:$D$644,$A10)&gt;0,SUMIFS(الإدخال!$O$5:$O$644,الإدخال!$A$5:$A$644,D$5,الإدخال!$D$5:$D$644,$A10)/100,""))))</f>
        <v>0.5</v>
      </c>
      <c r="E10" s="70">
        <f>IF($A10="","",IF(COUNTIFS(الإدخال!$A$5:$A$644,E$5,الإدخال!$D$5:$D$644,$A10,الإدخال!$F$5:$F$644,"غائب",الإدخال!$G$5:$G$644,"")&gt;0,"غ",IF(COUNTIFS(الإدخال!$A$5:$A$644,E$5,الإدخال!$D$5:$D$644,$A10,الإدخال!$F$5:$F$644,"معتذر",الإدخال!$G$5:$G$644,"")&gt;0,"ع",IF(SUMIFS(الإدخال!$P$5:$P$644,الإدخال!$A$5:$A$644,E$5,الإدخال!$D$5:$D$644,$A10)&gt;0,SUMIFS(الإدخال!$O$5:$O$644,الإدخال!$A$5:$A$644,E$5,الإدخال!$D$5:$D$644,$A10)/100,""))))</f>
        <v>0.87</v>
      </c>
      <c r="F10" s="70" t="str">
        <f>IF($A10="","",IF(COUNTIFS(الإدخال!$A$5:$A$644,F$5,الإدخال!$D$5:$D$644,$A10,الإدخال!$F$5:$F$644,"غائب",الإدخال!$G$5:$G$644,"")&gt;0,"غ",IF(COUNTIFS(الإدخال!$A$5:$A$644,F$5,الإدخال!$D$5:$D$644,$A10,الإدخال!$F$5:$F$644,"معتذر",الإدخال!$G$5:$G$644,"")&gt;0,"ع",IF(SUMIFS(الإدخال!$P$5:$P$644,الإدخال!$A$5:$A$644,F$5,الإدخال!$D$5:$D$644,$A10)&gt;0,SUMIFS(الإدخال!$O$5:$O$644,الإدخال!$A$5:$A$644,F$5,الإدخال!$D$5:$D$644,$A10)/100,""))))</f>
        <v/>
      </c>
      <c r="G10" s="70" t="str">
        <f>IF($A10="","",IF(COUNTIFS(الإدخال!$A$5:$A$644,G$5,الإدخال!$D$5:$D$644,$A10,الإدخال!$F$5:$F$644,"غائب",الإدخال!$G$5:$G$644,"")&gt;0,"غ",IF(COUNTIFS(الإدخال!$A$5:$A$644,G$5,الإدخال!$D$5:$D$644,$A10,الإدخال!$F$5:$F$644,"معتذر",الإدخال!$G$5:$G$644,"")&gt;0,"ع",IF(SUMIFS(الإدخال!$P$5:$P$644,الإدخال!$A$5:$A$644,G$5,الإدخال!$D$5:$D$644,$A10)&gt;0,SUMIFS(الإدخال!$O$5:$O$644,الإدخال!$A$5:$A$644,G$5,الإدخال!$D$5:$D$644,$A10)/100,""))))</f>
        <v/>
      </c>
      <c r="H10" s="70" t="str">
        <f>IF($A10="","",IF(COUNTIFS(الإدخال!$A$5:$A$644,H$5,الإدخال!$D$5:$D$644,$A10,الإدخال!$F$5:$F$644,"غائب",الإدخال!$G$5:$G$644,"")&gt;0,"غ",IF(COUNTIFS(الإدخال!$A$5:$A$644,H$5,الإدخال!$D$5:$D$644,$A10,الإدخال!$F$5:$F$644,"معتذر",الإدخال!$G$5:$G$644,"")&gt;0,"ع",IF(SUMIFS(الإدخال!$P$5:$P$644,الإدخال!$A$5:$A$644,H$5,الإدخال!$D$5:$D$644,$A10)&gt;0,SUMIFS(الإدخال!$O$5:$O$644,الإدخال!$A$5:$A$644,H$5,الإدخال!$D$5:$D$644,$A10)/100,""))))</f>
        <v/>
      </c>
      <c r="I10" s="70" t="str">
        <f>IF($A10="","",IF(COUNTIFS(الإدخال!$A$5:$A$644,I$5,الإدخال!$D$5:$D$644,$A10,الإدخال!$F$5:$F$644,"غائب",الإدخال!$G$5:$G$644,"")&gt;0,"غ",IF(COUNTIFS(الإدخال!$A$5:$A$644,I$5,الإدخال!$D$5:$D$644,$A10,الإدخال!$F$5:$F$644,"معتذر",الإدخال!$G$5:$G$644,"")&gt;0,"ع",IF(SUMIFS(الإدخال!$P$5:$P$644,الإدخال!$A$5:$A$644,I$5,الإدخال!$D$5:$D$644,$A10)&gt;0,SUMIFS(الإدخال!$O$5:$O$644,الإدخال!$A$5:$A$644,I$5,الإدخال!$D$5:$D$644,$A10)/100,""))))</f>
        <v/>
      </c>
      <c r="J10" s="70" t="str">
        <f>IF($A10="","",IF(COUNTIFS(الإدخال!$A$5:$A$644,J$5,الإدخال!$D$5:$D$644,$A10,الإدخال!$F$5:$F$644,"غائب",الإدخال!$G$5:$G$644,"")&gt;0,"غ",IF(COUNTIFS(الإدخال!$A$5:$A$644,J$5,الإدخال!$D$5:$D$644,$A10,الإدخال!$F$5:$F$644,"معتذر",الإدخال!$G$5:$G$644,"")&gt;0,"ع",IF(SUMIFS(الإدخال!$P$5:$P$644,الإدخال!$A$5:$A$644,J$5,الإدخال!$D$5:$D$644,$A10)&gt;0,SUMIFS(الإدخال!$O$5:$O$644,الإدخال!$A$5:$A$644,J$5,الإدخال!$D$5:$D$644,$A10)/100,""))))</f>
        <v/>
      </c>
      <c r="K10" s="70" t="str">
        <f>IF($A10="","",IF(COUNTIFS(الإدخال!$A$5:$A$644,K$5,الإدخال!$D$5:$D$644,$A10,الإدخال!$F$5:$F$644,"غائب",الإدخال!$G$5:$G$644,"")&gt;0,"غ",IF(COUNTIFS(الإدخال!$A$5:$A$644,K$5,الإدخال!$D$5:$D$644,$A10,الإدخال!$F$5:$F$644,"معتذر",الإدخال!$G$5:$G$644,"")&gt;0,"ع",IF(SUMIFS(الإدخال!$P$5:$P$644,الإدخال!$A$5:$A$644,K$5,الإدخال!$D$5:$D$644,$A10)&gt;0,SUMIFS(الإدخال!$O$5:$O$644,الإدخال!$A$5:$A$644,K$5,الإدخال!$D$5:$D$644,$A10)/100,""))))</f>
        <v/>
      </c>
      <c r="L10" s="70" t="str">
        <f>IF($A10="","",IF(COUNTIFS(الإدخال!$A$5:$A$644,L$5,الإدخال!$D$5:$D$644,$A10,الإدخال!$F$5:$F$644,"غائب",الإدخال!$G$5:$G$644,"")&gt;0,"غ",IF(COUNTIFS(الإدخال!$A$5:$A$644,L$5,الإدخال!$D$5:$D$644,$A10,الإدخال!$F$5:$F$644,"معتذر",الإدخال!$G$5:$G$644,"")&gt;0,"ع",IF(SUMIFS(الإدخال!$P$5:$P$644,الإدخال!$A$5:$A$644,L$5,الإدخال!$D$5:$D$644,$A10)&gt;0,SUMIFS(الإدخال!$O$5:$O$644,الإدخال!$A$5:$A$644,L$5,الإدخال!$D$5:$D$644,$A10)/100,""))))</f>
        <v/>
      </c>
      <c r="M10" s="70" t="str">
        <f>IF($A10="","",IF(COUNTIFS(الإدخال!$A$5:$A$644,M$5,الإدخال!$D$5:$D$644,$A10,الإدخال!$F$5:$F$644,"غائب",الإدخال!$G$5:$G$644,"")&gt;0,"غ",IF(COUNTIFS(الإدخال!$A$5:$A$644,M$5,الإدخال!$D$5:$D$644,$A10,الإدخال!$F$5:$F$644,"معتذر",الإدخال!$G$5:$G$644,"")&gt;0,"ع",IF(SUMIFS(الإدخال!$P$5:$P$644,الإدخال!$A$5:$A$644,M$5,الإدخال!$D$5:$D$644,$A10)&gt;0,SUMIFS(الإدخال!$O$5:$O$644,الإدخال!$A$5:$A$644,M$5,الإدخال!$D$5:$D$644,$A10)/100,""))))</f>
        <v/>
      </c>
      <c r="N10" s="70" t="str">
        <f>IF($A10="","",IF(COUNTIFS(الإدخال!$A$5:$A$644,N$5,الإدخال!$D$5:$D$644,$A10,الإدخال!$F$5:$F$644,"غائب",الإدخال!$G$5:$G$644,"")&gt;0,"غ",IF(COUNTIFS(الإدخال!$A$5:$A$644,N$5,الإدخال!$D$5:$D$644,$A10,الإدخال!$F$5:$F$644,"معتذر",الإدخال!$G$5:$G$644,"")&gt;0,"ع",IF(SUMIFS(الإدخال!$P$5:$P$644,الإدخال!$A$5:$A$644,N$5,الإدخال!$D$5:$D$644,$A10)&gt;0,SUMIFS(الإدخال!$O$5:$O$644,الإدخال!$A$5:$A$644,N$5,الإدخال!$D$5:$D$644,$A10)/100,""))))</f>
        <v/>
      </c>
      <c r="O10" s="70" t="str">
        <f>IF($A10="","",IF(COUNTIFS(الإدخال!$A$5:$A$644,O$5,الإدخال!$D$5:$D$644,$A10,الإدخال!$F$5:$F$644,"غائب",الإدخال!$G$5:$G$644,"")&gt;0,"غ",IF(COUNTIFS(الإدخال!$A$5:$A$644,O$5,الإدخال!$D$5:$D$644,$A10,الإدخال!$F$5:$F$644,"معتذر",الإدخال!$G$5:$G$644,"")&gt;0,"ع",IF(SUMIFS(الإدخال!$P$5:$P$644,الإدخال!$A$5:$A$644,O$5,الإدخال!$D$5:$D$644,$A10)&gt;0,SUMIFS(الإدخال!$O$5:$O$644,الإدخال!$A$5:$A$644,O$5,الإدخال!$D$5:$D$644,$A10)/100,""))))</f>
        <v/>
      </c>
      <c r="P10" s="70" t="str">
        <f>IF($A10="","",IF(COUNTIFS(الإدخال!$A$5:$A$644,P$5,الإدخال!$D$5:$D$644,$A10,الإدخال!$F$5:$F$644,"غائب",الإدخال!$G$5:$G$644,"")&gt;0,"غ",IF(COUNTIFS(الإدخال!$A$5:$A$644,P$5,الإدخال!$D$5:$D$644,$A10,الإدخال!$F$5:$F$644,"معتذر",الإدخال!$G$5:$G$644,"")&gt;0,"ع",IF(SUMIFS(الإدخال!$P$5:$P$644,الإدخال!$A$5:$A$644,P$5,الإدخال!$D$5:$D$644,$A10)&gt;0,SUMIFS(الإدخال!$O$5:$O$644,الإدخال!$A$5:$A$644,P$5,الإدخال!$D$5:$D$644,$A10)/100,""))))</f>
        <v/>
      </c>
      <c r="Q10" s="70" t="str">
        <f>IF($A10="","",IF(COUNTIFS(الإدخال!$A$5:$A$644,Q$5,الإدخال!$D$5:$D$644,$A10,الإدخال!$F$5:$F$644,"غائب",الإدخال!$G$5:$G$644,"")&gt;0,"غ",IF(COUNTIFS(الإدخال!$A$5:$A$644,Q$5,الإدخال!$D$5:$D$644,$A10,الإدخال!$F$5:$F$644,"معتذر",الإدخال!$G$5:$G$644,"")&gt;0,"ع",IF(SUMIFS(الإدخال!$P$5:$P$644,الإدخال!$A$5:$A$644,Q$5,الإدخال!$D$5:$D$644,$A10)&gt;0,SUMIFS(الإدخال!$O$5:$O$644,الإدخال!$A$5:$A$644,Q$5,الإدخال!$D$5:$D$644,$A10)/100,""))))</f>
        <v/>
      </c>
      <c r="R10" s="70" t="str">
        <f>IF($A10="","",IF(COUNTIFS(الإدخال!$A$5:$A$644,R$5,الإدخال!$D$5:$D$644,$A10,الإدخال!$F$5:$F$644,"غائب",الإدخال!$G$5:$G$644,"")&gt;0,"غ",IF(COUNTIFS(الإدخال!$A$5:$A$644,R$5,الإدخال!$D$5:$D$644,$A10,الإدخال!$F$5:$F$644,"معتذر",الإدخال!$G$5:$G$644,"")&gt;0,"ع",IF(SUMIFS(الإدخال!$P$5:$P$644,الإدخال!$A$5:$A$644,R$5,الإدخال!$D$5:$D$644,$A10)&gt;0,SUMIFS(الإدخال!$O$5:$O$644,الإدخال!$A$5:$A$644,R$5,الإدخال!$D$5:$D$644,$A10)/100,""))))</f>
        <v/>
      </c>
      <c r="S10" s="70" t="str">
        <f>IF($A10="","",IF(COUNTIFS(الإدخال!$A$5:$A$644,S$5,الإدخال!$D$5:$D$644,$A10,الإدخال!$F$5:$F$644,"غائب",الإدخال!$G$5:$G$644,"")&gt;0,"غ",IF(COUNTIFS(الإدخال!$A$5:$A$644,S$5,الإدخال!$D$5:$D$644,$A10,الإدخال!$F$5:$F$644,"معتذر",الإدخال!$G$5:$G$644,"")&gt;0,"ع",IF(SUMIFS(الإدخال!$P$5:$P$644,الإدخال!$A$5:$A$644,S$5,الإدخال!$D$5:$D$644,$A10)&gt;0,SUMIFS(الإدخال!$O$5:$O$644,الإدخال!$A$5:$A$644,S$5,الإدخال!$D$5:$D$644,$A10)/100,""))))</f>
        <v/>
      </c>
      <c r="T10" s="71">
        <f>IF($A10="","",IFERROR(SUMIFS(الإدخال!$O$5:$O$644,الإدخال!$D$5:$D$644,$A10)/SUMIFS(الإدخال!$P$5:$P$644,الإدخال!$D$5:$D$644,$A10)/100,""))</f>
        <v>0.68500000000000005</v>
      </c>
      <c r="U10" s="72" t="str">
        <f t="shared" si="0"/>
        <v>مقبول</v>
      </c>
      <c r="V10" s="72">
        <f>IF($A10="","",SUMIFS(الإدخال!$N$5:$N$644,الإدخال!$D$5:$D$644,$A10))</f>
        <v>2</v>
      </c>
      <c r="W10" s="73">
        <f>IF($A10="","",COUNTIFS(الإدخال!$D$5:$D$644,$A10,الإدخال!$F$5:$F$644,"متأخر"))</f>
        <v>0</v>
      </c>
      <c r="X10" s="73">
        <f>IF($A10="","",COUNTIFS(الإدخال!$D$5:$D$644,$A10,الإدخال!$F$5:$F$644,"غائب"))</f>
        <v>0</v>
      </c>
      <c r="Y10" s="73">
        <f>IF($A10="","",COUNTIFS(الإدخال!$D$5:$D$644,$A10,الإدخال!$F$5:$F$644,"معتذر"))</f>
        <v>0</v>
      </c>
      <c r="Z10" s="73">
        <f>IF($A10="","",SUMIFS(الإدخال!$H$5:$H$644,الإدخال!$D$5:$D$644,$A10,الإدخال!$N$5:$N$644,1))</f>
        <v>3</v>
      </c>
      <c r="AA10" s="73">
        <f>IF($A10="","",SUMIFS(الإدخال!$I$5:$I$644,الإدخال!$D$5:$D$644,$A10,الإدخال!$N$5:$N$644,1))</f>
        <v>40</v>
      </c>
      <c r="AB10" s="73">
        <f>IF($A10="","",SUMIFS(الإدخال!$J$5:$J$644,الإدخال!$D$5:$D$644,$A10,الإدخال!$N$5:$N$644,1))</f>
        <v>0</v>
      </c>
      <c r="AC10" s="36">
        <f>IFERROR(MATCH($C$3&amp;"|5",الطلاب!$E$5:$E$44,0),"")</f>
        <v>5</v>
      </c>
    </row>
    <row r="11" spans="1:29">
      <c r="A11" s="18">
        <f>IF($AC11="","",INDEX(الطلاب!$A$5:$A$44,$AC11))</f>
        <v>6</v>
      </c>
      <c r="B11" s="68" t="str">
        <f>IF($AC11="","",INDEX(الطلاب!$B$5:$B$44,$AC11))</f>
        <v xml:space="preserve">عاصم الضبيعي </v>
      </c>
      <c r="C11" s="69" t="str">
        <f>IF($AC11="","",INDEX(الطلاب!$D$5:$D$44,$AC11))</f>
        <v xml:space="preserve">ابن رجب </v>
      </c>
      <c r="D11" s="70">
        <f>IF($A11="","",IF(COUNTIFS(الإدخال!$A$5:$A$644,D$5,الإدخال!$D$5:$D$644,$A11,الإدخال!$F$5:$F$644,"غائب",الإدخال!$G$5:$G$644,"")&gt;0,"غ",IF(COUNTIFS(الإدخال!$A$5:$A$644,D$5,الإدخال!$D$5:$D$644,$A11,الإدخال!$F$5:$F$644,"معتذر",الإدخال!$G$5:$G$644,"")&gt;0,"ع",IF(SUMIFS(الإدخال!$P$5:$P$644,الإدخال!$A$5:$A$644,D$5,الإدخال!$D$5:$D$644,$A11)&gt;0,SUMIFS(الإدخال!$O$5:$O$644,الإدخال!$A$5:$A$644,D$5,الإدخال!$D$5:$D$644,$A11)/100,""))))</f>
        <v>0.96</v>
      </c>
      <c r="E11" s="70">
        <f>IF($A11="","",IF(COUNTIFS(الإدخال!$A$5:$A$644,E$5,الإدخال!$D$5:$D$644,$A11,الإدخال!$F$5:$F$644,"غائب",الإدخال!$G$5:$G$644,"")&gt;0,"غ",IF(COUNTIFS(الإدخال!$A$5:$A$644,E$5,الإدخال!$D$5:$D$644,$A11,الإدخال!$F$5:$F$644,"معتذر",الإدخال!$G$5:$G$644,"")&gt;0,"ع",IF(SUMIFS(الإدخال!$P$5:$P$644,الإدخال!$A$5:$A$644,E$5,الإدخال!$D$5:$D$644,$A11)&gt;0,SUMIFS(الإدخال!$O$5:$O$644,الإدخال!$A$5:$A$644,E$5,الإدخال!$D$5:$D$644,$A11)/100,""))))</f>
        <v>0.91</v>
      </c>
      <c r="F11" s="70" t="str">
        <f>IF($A11="","",IF(COUNTIFS(الإدخال!$A$5:$A$644,F$5,الإدخال!$D$5:$D$644,$A11,الإدخال!$F$5:$F$644,"غائب",الإدخال!$G$5:$G$644,"")&gt;0,"غ",IF(COUNTIFS(الإدخال!$A$5:$A$644,F$5,الإدخال!$D$5:$D$644,$A11,الإدخال!$F$5:$F$644,"معتذر",الإدخال!$G$5:$G$644,"")&gt;0,"ع",IF(SUMIFS(الإدخال!$P$5:$P$644,الإدخال!$A$5:$A$644,F$5,الإدخال!$D$5:$D$644,$A11)&gt;0,SUMIFS(الإدخال!$O$5:$O$644,الإدخال!$A$5:$A$644,F$5,الإدخال!$D$5:$D$644,$A11)/100,""))))</f>
        <v/>
      </c>
      <c r="G11" s="70" t="str">
        <f>IF($A11="","",IF(COUNTIFS(الإدخال!$A$5:$A$644,G$5,الإدخال!$D$5:$D$644,$A11,الإدخال!$F$5:$F$644,"غائب",الإدخال!$G$5:$G$644,"")&gt;0,"غ",IF(COUNTIFS(الإدخال!$A$5:$A$644,G$5,الإدخال!$D$5:$D$644,$A11,الإدخال!$F$5:$F$644,"معتذر",الإدخال!$G$5:$G$644,"")&gt;0,"ع",IF(SUMIFS(الإدخال!$P$5:$P$644,الإدخال!$A$5:$A$644,G$5,الإدخال!$D$5:$D$644,$A11)&gt;0,SUMIFS(الإدخال!$O$5:$O$644,الإدخال!$A$5:$A$644,G$5,الإدخال!$D$5:$D$644,$A11)/100,""))))</f>
        <v/>
      </c>
      <c r="H11" s="70" t="str">
        <f>IF($A11="","",IF(COUNTIFS(الإدخال!$A$5:$A$644,H$5,الإدخال!$D$5:$D$644,$A11,الإدخال!$F$5:$F$644,"غائب",الإدخال!$G$5:$G$644,"")&gt;0,"غ",IF(COUNTIFS(الإدخال!$A$5:$A$644,H$5,الإدخال!$D$5:$D$644,$A11,الإدخال!$F$5:$F$644,"معتذر",الإدخال!$G$5:$G$644,"")&gt;0,"ع",IF(SUMIFS(الإدخال!$P$5:$P$644,الإدخال!$A$5:$A$644,H$5,الإدخال!$D$5:$D$644,$A11)&gt;0,SUMIFS(الإدخال!$O$5:$O$644,الإدخال!$A$5:$A$644,H$5,الإدخال!$D$5:$D$644,$A11)/100,""))))</f>
        <v/>
      </c>
      <c r="I11" s="70" t="str">
        <f>IF($A11="","",IF(COUNTIFS(الإدخال!$A$5:$A$644,I$5,الإدخال!$D$5:$D$644,$A11,الإدخال!$F$5:$F$644,"غائب",الإدخال!$G$5:$G$644,"")&gt;0,"غ",IF(COUNTIFS(الإدخال!$A$5:$A$644,I$5,الإدخال!$D$5:$D$644,$A11,الإدخال!$F$5:$F$644,"معتذر",الإدخال!$G$5:$G$644,"")&gt;0,"ع",IF(SUMIFS(الإدخال!$P$5:$P$644,الإدخال!$A$5:$A$644,I$5,الإدخال!$D$5:$D$644,$A11)&gt;0,SUMIFS(الإدخال!$O$5:$O$644,الإدخال!$A$5:$A$644,I$5,الإدخال!$D$5:$D$644,$A11)/100,""))))</f>
        <v/>
      </c>
      <c r="J11" s="70" t="str">
        <f>IF($A11="","",IF(COUNTIFS(الإدخال!$A$5:$A$644,J$5,الإدخال!$D$5:$D$644,$A11,الإدخال!$F$5:$F$644,"غائب",الإدخال!$G$5:$G$644,"")&gt;0,"غ",IF(COUNTIFS(الإدخال!$A$5:$A$644,J$5,الإدخال!$D$5:$D$644,$A11,الإدخال!$F$5:$F$644,"معتذر",الإدخال!$G$5:$G$644,"")&gt;0,"ع",IF(SUMIFS(الإدخال!$P$5:$P$644,الإدخال!$A$5:$A$644,J$5,الإدخال!$D$5:$D$644,$A11)&gt;0,SUMIFS(الإدخال!$O$5:$O$644,الإدخال!$A$5:$A$644,J$5,الإدخال!$D$5:$D$644,$A11)/100,""))))</f>
        <v/>
      </c>
      <c r="K11" s="70" t="str">
        <f>IF($A11="","",IF(COUNTIFS(الإدخال!$A$5:$A$644,K$5,الإدخال!$D$5:$D$644,$A11,الإدخال!$F$5:$F$644,"غائب",الإدخال!$G$5:$G$644,"")&gt;0,"غ",IF(COUNTIFS(الإدخال!$A$5:$A$644,K$5,الإدخال!$D$5:$D$644,$A11,الإدخال!$F$5:$F$644,"معتذر",الإدخال!$G$5:$G$644,"")&gt;0,"ع",IF(SUMIFS(الإدخال!$P$5:$P$644,الإدخال!$A$5:$A$644,K$5,الإدخال!$D$5:$D$644,$A11)&gt;0,SUMIFS(الإدخال!$O$5:$O$644,الإدخال!$A$5:$A$644,K$5,الإدخال!$D$5:$D$644,$A11)/100,""))))</f>
        <v/>
      </c>
      <c r="L11" s="70" t="str">
        <f>IF($A11="","",IF(COUNTIFS(الإدخال!$A$5:$A$644,L$5,الإدخال!$D$5:$D$644,$A11,الإدخال!$F$5:$F$644,"غائب",الإدخال!$G$5:$G$644,"")&gt;0,"غ",IF(COUNTIFS(الإدخال!$A$5:$A$644,L$5,الإدخال!$D$5:$D$644,$A11,الإدخال!$F$5:$F$644,"معتذر",الإدخال!$G$5:$G$644,"")&gt;0,"ع",IF(SUMIFS(الإدخال!$P$5:$P$644,الإدخال!$A$5:$A$644,L$5,الإدخال!$D$5:$D$644,$A11)&gt;0,SUMIFS(الإدخال!$O$5:$O$644,الإدخال!$A$5:$A$644,L$5,الإدخال!$D$5:$D$644,$A11)/100,""))))</f>
        <v/>
      </c>
      <c r="M11" s="70" t="str">
        <f>IF($A11="","",IF(COUNTIFS(الإدخال!$A$5:$A$644,M$5,الإدخال!$D$5:$D$644,$A11,الإدخال!$F$5:$F$644,"غائب",الإدخال!$G$5:$G$644,"")&gt;0,"غ",IF(COUNTIFS(الإدخال!$A$5:$A$644,M$5,الإدخال!$D$5:$D$644,$A11,الإدخال!$F$5:$F$644,"معتذر",الإدخال!$G$5:$G$644,"")&gt;0,"ع",IF(SUMIFS(الإدخال!$P$5:$P$644,الإدخال!$A$5:$A$644,M$5,الإدخال!$D$5:$D$644,$A11)&gt;0,SUMIFS(الإدخال!$O$5:$O$644,الإدخال!$A$5:$A$644,M$5,الإدخال!$D$5:$D$644,$A11)/100,""))))</f>
        <v/>
      </c>
      <c r="N11" s="70" t="str">
        <f>IF($A11="","",IF(COUNTIFS(الإدخال!$A$5:$A$644,N$5,الإدخال!$D$5:$D$644,$A11,الإدخال!$F$5:$F$644,"غائب",الإدخال!$G$5:$G$644,"")&gt;0,"غ",IF(COUNTIFS(الإدخال!$A$5:$A$644,N$5,الإدخال!$D$5:$D$644,$A11,الإدخال!$F$5:$F$644,"معتذر",الإدخال!$G$5:$G$644,"")&gt;0,"ع",IF(SUMIFS(الإدخال!$P$5:$P$644,الإدخال!$A$5:$A$644,N$5,الإدخال!$D$5:$D$644,$A11)&gt;0,SUMIFS(الإدخال!$O$5:$O$644,الإدخال!$A$5:$A$644,N$5,الإدخال!$D$5:$D$644,$A11)/100,""))))</f>
        <v/>
      </c>
      <c r="O11" s="70" t="str">
        <f>IF($A11="","",IF(COUNTIFS(الإدخال!$A$5:$A$644,O$5,الإدخال!$D$5:$D$644,$A11,الإدخال!$F$5:$F$644,"غائب",الإدخال!$G$5:$G$644,"")&gt;0,"غ",IF(COUNTIFS(الإدخال!$A$5:$A$644,O$5,الإدخال!$D$5:$D$644,$A11,الإدخال!$F$5:$F$644,"معتذر",الإدخال!$G$5:$G$644,"")&gt;0,"ع",IF(SUMIFS(الإدخال!$P$5:$P$644,الإدخال!$A$5:$A$644,O$5,الإدخال!$D$5:$D$644,$A11)&gt;0,SUMIFS(الإدخال!$O$5:$O$644,الإدخال!$A$5:$A$644,O$5,الإدخال!$D$5:$D$644,$A11)/100,""))))</f>
        <v/>
      </c>
      <c r="P11" s="70" t="str">
        <f>IF($A11="","",IF(COUNTIFS(الإدخال!$A$5:$A$644,P$5,الإدخال!$D$5:$D$644,$A11,الإدخال!$F$5:$F$644,"غائب",الإدخال!$G$5:$G$644,"")&gt;0,"غ",IF(COUNTIFS(الإدخال!$A$5:$A$644,P$5,الإدخال!$D$5:$D$644,$A11,الإدخال!$F$5:$F$644,"معتذر",الإدخال!$G$5:$G$644,"")&gt;0,"ع",IF(SUMIFS(الإدخال!$P$5:$P$644,الإدخال!$A$5:$A$644,P$5,الإدخال!$D$5:$D$644,$A11)&gt;0,SUMIFS(الإدخال!$O$5:$O$644,الإدخال!$A$5:$A$644,P$5,الإدخال!$D$5:$D$644,$A11)/100,""))))</f>
        <v/>
      </c>
      <c r="Q11" s="70" t="str">
        <f>IF($A11="","",IF(COUNTIFS(الإدخال!$A$5:$A$644,Q$5,الإدخال!$D$5:$D$644,$A11,الإدخال!$F$5:$F$644,"غائب",الإدخال!$G$5:$G$644,"")&gt;0,"غ",IF(COUNTIFS(الإدخال!$A$5:$A$644,Q$5,الإدخال!$D$5:$D$644,$A11,الإدخال!$F$5:$F$644,"معتذر",الإدخال!$G$5:$G$644,"")&gt;0,"ع",IF(SUMIFS(الإدخال!$P$5:$P$644,الإدخال!$A$5:$A$644,Q$5,الإدخال!$D$5:$D$644,$A11)&gt;0,SUMIFS(الإدخال!$O$5:$O$644,الإدخال!$A$5:$A$644,Q$5,الإدخال!$D$5:$D$644,$A11)/100,""))))</f>
        <v/>
      </c>
      <c r="R11" s="70" t="str">
        <f>IF($A11="","",IF(COUNTIFS(الإدخال!$A$5:$A$644,R$5,الإدخال!$D$5:$D$644,$A11,الإدخال!$F$5:$F$644,"غائب",الإدخال!$G$5:$G$644,"")&gt;0,"غ",IF(COUNTIFS(الإدخال!$A$5:$A$644,R$5,الإدخال!$D$5:$D$644,$A11,الإدخال!$F$5:$F$644,"معتذر",الإدخال!$G$5:$G$644,"")&gt;0,"ع",IF(SUMIFS(الإدخال!$P$5:$P$644,الإدخال!$A$5:$A$644,R$5,الإدخال!$D$5:$D$644,$A11)&gt;0,SUMIFS(الإدخال!$O$5:$O$644,الإدخال!$A$5:$A$644,R$5,الإدخال!$D$5:$D$644,$A11)/100,""))))</f>
        <v/>
      </c>
      <c r="S11" s="70" t="str">
        <f>IF($A11="","",IF(COUNTIFS(الإدخال!$A$5:$A$644,S$5,الإدخال!$D$5:$D$644,$A11,الإدخال!$F$5:$F$644,"غائب",الإدخال!$G$5:$G$644,"")&gt;0,"غ",IF(COUNTIFS(الإدخال!$A$5:$A$644,S$5,الإدخال!$D$5:$D$644,$A11,الإدخال!$F$5:$F$644,"معتذر",الإدخال!$G$5:$G$644,"")&gt;0,"ع",IF(SUMIFS(الإدخال!$P$5:$P$644,الإدخال!$A$5:$A$644,S$5,الإدخال!$D$5:$D$644,$A11)&gt;0,SUMIFS(الإدخال!$O$5:$O$644,الإدخال!$A$5:$A$644,S$5,الإدخال!$D$5:$D$644,$A11)/100,""))))</f>
        <v/>
      </c>
      <c r="T11" s="71">
        <f>IF($A11="","",IFERROR(SUMIFS(الإدخال!$O$5:$O$644,الإدخال!$D$5:$D$644,$A11)/SUMIFS(الإدخال!$P$5:$P$644,الإدخال!$D$5:$D$644,$A11)/100,""))</f>
        <v>0.93500000000000005</v>
      </c>
      <c r="U11" s="72" t="str">
        <f t="shared" si="0"/>
        <v>ممتاز</v>
      </c>
      <c r="V11" s="72">
        <f>IF($A11="","",SUMIFS(الإدخال!$N$5:$N$644,الإدخال!$D$5:$D$644,$A11))</f>
        <v>2</v>
      </c>
      <c r="W11" s="73">
        <f>IF($A11="","",COUNTIFS(الإدخال!$D$5:$D$644,$A11,الإدخال!$F$5:$F$644,"متأخر"))</f>
        <v>0</v>
      </c>
      <c r="X11" s="73">
        <f>IF($A11="","",COUNTIFS(الإدخال!$D$5:$D$644,$A11,الإدخال!$F$5:$F$644,"غائب"))</f>
        <v>0</v>
      </c>
      <c r="Y11" s="73">
        <f>IF($A11="","",COUNTIFS(الإدخال!$D$5:$D$644,$A11,الإدخال!$F$5:$F$644,"معتذر"))</f>
        <v>0</v>
      </c>
      <c r="Z11" s="73">
        <f>IF($A11="","",SUMIFS(الإدخال!$H$5:$H$644,الإدخال!$D$5:$D$644,$A11,الإدخال!$N$5:$N$644,1))</f>
        <v>3</v>
      </c>
      <c r="AA11" s="73">
        <f>IF($A11="","",SUMIFS(الإدخال!$I$5:$I$644,الإدخال!$D$5:$D$644,$A11,الإدخال!$N$5:$N$644,1))</f>
        <v>60</v>
      </c>
      <c r="AB11" s="73">
        <f>IF($A11="","",SUMIFS(الإدخال!$J$5:$J$644,الإدخال!$D$5:$D$644,$A11,الإدخال!$N$5:$N$644,1))</f>
        <v>0</v>
      </c>
      <c r="AC11" s="36">
        <f>IFERROR(MATCH($C$3&amp;"|6",الطلاب!$E$5:$E$44,0),"")</f>
        <v>6</v>
      </c>
    </row>
    <row r="12" spans="1:29">
      <c r="A12" s="18">
        <f>IF($AC12="","",INDEX(الطلاب!$A$5:$A$44,$AC12))</f>
        <v>7</v>
      </c>
      <c r="B12" s="68" t="str">
        <f>IF($AC12="","",INDEX(الطلاب!$B$5:$B$44,$AC12))</f>
        <v>محمد السعوي</v>
      </c>
      <c r="C12" s="69" t="str">
        <f>IF($AC12="","",INDEX(الطلاب!$D$5:$D$44,$AC12))</f>
        <v xml:space="preserve">ابن رجب </v>
      </c>
      <c r="D12" s="70">
        <f>IF($A12="","",IF(COUNTIFS(الإدخال!$A$5:$A$644,D$5,الإدخال!$D$5:$D$644,$A12,الإدخال!$F$5:$F$644,"غائب",الإدخال!$G$5:$G$644,"")&gt;0,"غ",IF(COUNTIFS(الإدخال!$A$5:$A$644,D$5,الإدخال!$D$5:$D$644,$A12,الإدخال!$F$5:$F$644,"معتذر",الإدخال!$G$5:$G$644,"")&gt;0,"ع",IF(SUMIFS(الإدخال!$P$5:$P$644,الإدخال!$A$5:$A$644,D$5,الإدخال!$D$5:$D$644,$A12)&gt;0,SUMIFS(الإدخال!$O$5:$O$644,الإدخال!$A$5:$A$644,D$5,الإدخال!$D$5:$D$644,$A12)/100,""))))</f>
        <v>0.97</v>
      </c>
      <c r="E12" s="70">
        <f>IF($A12="","",IF(COUNTIFS(الإدخال!$A$5:$A$644,E$5,الإدخال!$D$5:$D$644,$A12,الإدخال!$F$5:$F$644,"غائب",الإدخال!$G$5:$G$644,"")&gt;0,"غ",IF(COUNTIFS(الإدخال!$A$5:$A$644,E$5,الإدخال!$D$5:$D$644,$A12,الإدخال!$F$5:$F$644,"معتذر",الإدخال!$G$5:$G$644,"")&gt;0,"ع",IF(SUMIFS(الإدخال!$P$5:$P$644,الإدخال!$A$5:$A$644,E$5,الإدخال!$D$5:$D$644,$A12)&gt;0,SUMIFS(الإدخال!$O$5:$O$644,الإدخال!$A$5:$A$644,E$5,الإدخال!$D$5:$D$644,$A12)/100,""))))</f>
        <v>0.71</v>
      </c>
      <c r="F12" s="70" t="str">
        <f>IF($A12="","",IF(COUNTIFS(الإدخال!$A$5:$A$644,F$5,الإدخال!$D$5:$D$644,$A12,الإدخال!$F$5:$F$644,"غائب",الإدخال!$G$5:$G$644,"")&gt;0,"غ",IF(COUNTIFS(الإدخال!$A$5:$A$644,F$5,الإدخال!$D$5:$D$644,$A12,الإدخال!$F$5:$F$644,"معتذر",الإدخال!$G$5:$G$644,"")&gt;0,"ع",IF(SUMIFS(الإدخال!$P$5:$P$644,الإدخال!$A$5:$A$644,F$5,الإدخال!$D$5:$D$644,$A12)&gt;0,SUMIFS(الإدخال!$O$5:$O$644,الإدخال!$A$5:$A$644,F$5,الإدخال!$D$5:$D$644,$A12)/100,""))))</f>
        <v/>
      </c>
      <c r="G12" s="70" t="str">
        <f>IF($A12="","",IF(COUNTIFS(الإدخال!$A$5:$A$644,G$5,الإدخال!$D$5:$D$644,$A12,الإدخال!$F$5:$F$644,"غائب",الإدخال!$G$5:$G$644,"")&gt;0,"غ",IF(COUNTIFS(الإدخال!$A$5:$A$644,G$5,الإدخال!$D$5:$D$644,$A12,الإدخال!$F$5:$F$644,"معتذر",الإدخال!$G$5:$G$644,"")&gt;0,"ع",IF(SUMIFS(الإدخال!$P$5:$P$644,الإدخال!$A$5:$A$644,G$5,الإدخال!$D$5:$D$644,$A12)&gt;0,SUMIFS(الإدخال!$O$5:$O$644,الإدخال!$A$5:$A$644,G$5,الإدخال!$D$5:$D$644,$A12)/100,""))))</f>
        <v/>
      </c>
      <c r="H12" s="70" t="str">
        <f>IF($A12="","",IF(COUNTIFS(الإدخال!$A$5:$A$644,H$5,الإدخال!$D$5:$D$644,$A12,الإدخال!$F$5:$F$644,"غائب",الإدخال!$G$5:$G$644,"")&gt;0,"غ",IF(COUNTIFS(الإدخال!$A$5:$A$644,H$5,الإدخال!$D$5:$D$644,$A12,الإدخال!$F$5:$F$644,"معتذر",الإدخال!$G$5:$G$644,"")&gt;0,"ع",IF(SUMIFS(الإدخال!$P$5:$P$644,الإدخال!$A$5:$A$644,H$5,الإدخال!$D$5:$D$644,$A12)&gt;0,SUMIFS(الإدخال!$O$5:$O$644,الإدخال!$A$5:$A$644,H$5,الإدخال!$D$5:$D$644,$A12)/100,""))))</f>
        <v/>
      </c>
      <c r="I12" s="70" t="str">
        <f>IF($A12="","",IF(COUNTIFS(الإدخال!$A$5:$A$644,I$5,الإدخال!$D$5:$D$644,$A12,الإدخال!$F$5:$F$644,"غائب",الإدخال!$G$5:$G$644,"")&gt;0,"غ",IF(COUNTIFS(الإدخال!$A$5:$A$644,I$5,الإدخال!$D$5:$D$644,$A12,الإدخال!$F$5:$F$644,"معتذر",الإدخال!$G$5:$G$644,"")&gt;0,"ع",IF(SUMIFS(الإدخال!$P$5:$P$644,الإدخال!$A$5:$A$644,I$5,الإدخال!$D$5:$D$644,$A12)&gt;0,SUMIFS(الإدخال!$O$5:$O$644,الإدخال!$A$5:$A$644,I$5,الإدخال!$D$5:$D$644,$A12)/100,""))))</f>
        <v/>
      </c>
      <c r="J12" s="70" t="str">
        <f>IF($A12="","",IF(COUNTIFS(الإدخال!$A$5:$A$644,J$5,الإدخال!$D$5:$D$644,$A12,الإدخال!$F$5:$F$644,"غائب",الإدخال!$G$5:$G$644,"")&gt;0,"غ",IF(COUNTIFS(الإدخال!$A$5:$A$644,J$5,الإدخال!$D$5:$D$644,$A12,الإدخال!$F$5:$F$644,"معتذر",الإدخال!$G$5:$G$644,"")&gt;0,"ع",IF(SUMIFS(الإدخال!$P$5:$P$644,الإدخال!$A$5:$A$644,J$5,الإدخال!$D$5:$D$644,$A12)&gt;0,SUMIFS(الإدخال!$O$5:$O$644,الإدخال!$A$5:$A$644,J$5,الإدخال!$D$5:$D$644,$A12)/100,""))))</f>
        <v/>
      </c>
      <c r="K12" s="70" t="str">
        <f>IF($A12="","",IF(COUNTIFS(الإدخال!$A$5:$A$644,K$5,الإدخال!$D$5:$D$644,$A12,الإدخال!$F$5:$F$644,"غائب",الإدخال!$G$5:$G$644,"")&gt;0,"غ",IF(COUNTIFS(الإدخال!$A$5:$A$644,K$5,الإدخال!$D$5:$D$644,$A12,الإدخال!$F$5:$F$644,"معتذر",الإدخال!$G$5:$G$644,"")&gt;0,"ع",IF(SUMIFS(الإدخال!$P$5:$P$644,الإدخال!$A$5:$A$644,K$5,الإدخال!$D$5:$D$644,$A12)&gt;0,SUMIFS(الإدخال!$O$5:$O$644,الإدخال!$A$5:$A$644,K$5,الإدخال!$D$5:$D$644,$A12)/100,""))))</f>
        <v/>
      </c>
      <c r="L12" s="70" t="str">
        <f>IF($A12="","",IF(COUNTIFS(الإدخال!$A$5:$A$644,L$5,الإدخال!$D$5:$D$644,$A12,الإدخال!$F$5:$F$644,"غائب",الإدخال!$G$5:$G$644,"")&gt;0,"غ",IF(COUNTIFS(الإدخال!$A$5:$A$644,L$5,الإدخال!$D$5:$D$644,$A12,الإدخال!$F$5:$F$644,"معتذر",الإدخال!$G$5:$G$644,"")&gt;0,"ع",IF(SUMIFS(الإدخال!$P$5:$P$644,الإدخال!$A$5:$A$644,L$5,الإدخال!$D$5:$D$644,$A12)&gt;0,SUMIFS(الإدخال!$O$5:$O$644,الإدخال!$A$5:$A$644,L$5,الإدخال!$D$5:$D$644,$A12)/100,""))))</f>
        <v/>
      </c>
      <c r="M12" s="70" t="str">
        <f>IF($A12="","",IF(COUNTIFS(الإدخال!$A$5:$A$644,M$5,الإدخال!$D$5:$D$644,$A12,الإدخال!$F$5:$F$644,"غائب",الإدخال!$G$5:$G$644,"")&gt;0,"غ",IF(COUNTIFS(الإدخال!$A$5:$A$644,M$5,الإدخال!$D$5:$D$644,$A12,الإدخال!$F$5:$F$644,"معتذر",الإدخال!$G$5:$G$644,"")&gt;0,"ع",IF(SUMIFS(الإدخال!$P$5:$P$644,الإدخال!$A$5:$A$644,M$5,الإدخال!$D$5:$D$644,$A12)&gt;0,SUMIFS(الإدخال!$O$5:$O$644,الإدخال!$A$5:$A$644,M$5,الإدخال!$D$5:$D$644,$A12)/100,""))))</f>
        <v/>
      </c>
      <c r="N12" s="70" t="str">
        <f>IF($A12="","",IF(COUNTIFS(الإدخال!$A$5:$A$644,N$5,الإدخال!$D$5:$D$644,$A12,الإدخال!$F$5:$F$644,"غائب",الإدخال!$G$5:$G$644,"")&gt;0,"غ",IF(COUNTIFS(الإدخال!$A$5:$A$644,N$5,الإدخال!$D$5:$D$644,$A12,الإدخال!$F$5:$F$644,"معتذر",الإدخال!$G$5:$G$644,"")&gt;0,"ع",IF(SUMIFS(الإدخال!$P$5:$P$644,الإدخال!$A$5:$A$644,N$5,الإدخال!$D$5:$D$644,$A12)&gt;0,SUMIFS(الإدخال!$O$5:$O$644,الإدخال!$A$5:$A$644,N$5,الإدخال!$D$5:$D$644,$A12)/100,""))))</f>
        <v/>
      </c>
      <c r="O12" s="70" t="str">
        <f>IF($A12="","",IF(COUNTIFS(الإدخال!$A$5:$A$644,O$5,الإدخال!$D$5:$D$644,$A12,الإدخال!$F$5:$F$644,"غائب",الإدخال!$G$5:$G$644,"")&gt;0,"غ",IF(COUNTIFS(الإدخال!$A$5:$A$644,O$5,الإدخال!$D$5:$D$644,$A12,الإدخال!$F$5:$F$644,"معتذر",الإدخال!$G$5:$G$644,"")&gt;0,"ع",IF(SUMIFS(الإدخال!$P$5:$P$644,الإدخال!$A$5:$A$644,O$5,الإدخال!$D$5:$D$644,$A12)&gt;0,SUMIFS(الإدخال!$O$5:$O$644,الإدخال!$A$5:$A$644,O$5,الإدخال!$D$5:$D$644,$A12)/100,""))))</f>
        <v/>
      </c>
      <c r="P12" s="70" t="str">
        <f>IF($A12="","",IF(COUNTIFS(الإدخال!$A$5:$A$644,P$5,الإدخال!$D$5:$D$644,$A12,الإدخال!$F$5:$F$644,"غائب",الإدخال!$G$5:$G$644,"")&gt;0,"غ",IF(COUNTIFS(الإدخال!$A$5:$A$644,P$5,الإدخال!$D$5:$D$644,$A12,الإدخال!$F$5:$F$644,"معتذر",الإدخال!$G$5:$G$644,"")&gt;0,"ع",IF(SUMIFS(الإدخال!$P$5:$P$644,الإدخال!$A$5:$A$644,P$5,الإدخال!$D$5:$D$644,$A12)&gt;0,SUMIFS(الإدخال!$O$5:$O$644,الإدخال!$A$5:$A$644,P$5,الإدخال!$D$5:$D$644,$A12)/100,""))))</f>
        <v/>
      </c>
      <c r="Q12" s="70" t="str">
        <f>IF($A12="","",IF(COUNTIFS(الإدخال!$A$5:$A$644,Q$5,الإدخال!$D$5:$D$644,$A12,الإدخال!$F$5:$F$644,"غائب",الإدخال!$G$5:$G$644,"")&gt;0,"غ",IF(COUNTIFS(الإدخال!$A$5:$A$644,Q$5,الإدخال!$D$5:$D$644,$A12,الإدخال!$F$5:$F$644,"معتذر",الإدخال!$G$5:$G$644,"")&gt;0,"ع",IF(SUMIFS(الإدخال!$P$5:$P$644,الإدخال!$A$5:$A$644,Q$5,الإدخال!$D$5:$D$644,$A12)&gt;0,SUMIFS(الإدخال!$O$5:$O$644,الإدخال!$A$5:$A$644,Q$5,الإدخال!$D$5:$D$644,$A12)/100,""))))</f>
        <v/>
      </c>
      <c r="R12" s="70" t="str">
        <f>IF($A12="","",IF(COUNTIFS(الإدخال!$A$5:$A$644,R$5,الإدخال!$D$5:$D$644,$A12,الإدخال!$F$5:$F$644,"غائب",الإدخال!$G$5:$G$644,"")&gt;0,"غ",IF(COUNTIFS(الإدخال!$A$5:$A$644,R$5,الإدخال!$D$5:$D$644,$A12,الإدخال!$F$5:$F$644,"معتذر",الإدخال!$G$5:$G$644,"")&gt;0,"ع",IF(SUMIFS(الإدخال!$P$5:$P$644,الإدخال!$A$5:$A$644,R$5,الإدخال!$D$5:$D$644,$A12)&gt;0,SUMIFS(الإدخال!$O$5:$O$644,الإدخال!$A$5:$A$644,R$5,الإدخال!$D$5:$D$644,$A12)/100,""))))</f>
        <v/>
      </c>
      <c r="S12" s="70" t="str">
        <f>IF($A12="","",IF(COUNTIFS(الإدخال!$A$5:$A$644,S$5,الإدخال!$D$5:$D$644,$A12,الإدخال!$F$5:$F$644,"غائب",الإدخال!$G$5:$G$644,"")&gt;0,"غ",IF(COUNTIFS(الإدخال!$A$5:$A$644,S$5,الإدخال!$D$5:$D$644,$A12,الإدخال!$F$5:$F$644,"معتذر",الإدخال!$G$5:$G$644,"")&gt;0,"ع",IF(SUMIFS(الإدخال!$P$5:$P$644,الإدخال!$A$5:$A$644,S$5,الإدخال!$D$5:$D$644,$A12)&gt;0,SUMIFS(الإدخال!$O$5:$O$644,الإدخال!$A$5:$A$644,S$5,الإدخال!$D$5:$D$644,$A12)/100,""))))</f>
        <v/>
      </c>
      <c r="T12" s="71">
        <f>IF($A12="","",IFERROR(SUMIFS(الإدخال!$O$5:$O$644,الإدخال!$D$5:$D$644,$A12)/SUMIFS(الإدخال!$P$5:$P$644,الإدخال!$D$5:$D$644,$A12)/100,""))</f>
        <v>0.84</v>
      </c>
      <c r="U12" s="72" t="str">
        <f t="shared" si="0"/>
        <v>جيد جدًا</v>
      </c>
      <c r="V12" s="72">
        <f>IF($A12="","",SUMIFS(الإدخال!$N$5:$N$644,الإدخال!$D$5:$D$644,$A12))</f>
        <v>2</v>
      </c>
      <c r="W12" s="73">
        <f>IF($A12="","",COUNTIFS(الإدخال!$D$5:$D$644,$A12,الإدخال!$F$5:$F$644,"متأخر"))</f>
        <v>0</v>
      </c>
      <c r="X12" s="73">
        <f>IF($A12="","",COUNTIFS(الإدخال!$D$5:$D$644,$A12,الإدخال!$F$5:$F$644,"غائب"))</f>
        <v>0</v>
      </c>
      <c r="Y12" s="73">
        <f>IF($A12="","",COUNTIFS(الإدخال!$D$5:$D$644,$A12,الإدخال!$F$5:$F$644,"معتذر"))</f>
        <v>0</v>
      </c>
      <c r="Z12" s="73">
        <f>IF($A12="","",SUMIFS(الإدخال!$H$5:$H$644,الإدخال!$D$5:$D$644,$A12,الإدخال!$N$5:$N$644,1))</f>
        <v>1</v>
      </c>
      <c r="AA12" s="73">
        <f>IF($A12="","",SUMIFS(الإدخال!$I$5:$I$644,الإدخال!$D$5:$D$644,$A12,الإدخال!$N$5:$N$644,1))</f>
        <v>80</v>
      </c>
      <c r="AB12" s="73">
        <f>IF($A12="","",SUMIFS(الإدخال!$J$5:$J$644,الإدخال!$D$5:$D$644,$A12,الإدخال!$N$5:$N$644,1))</f>
        <v>0</v>
      </c>
      <c r="AC12" s="36">
        <f>IFERROR(MATCH($C$3&amp;"|7",الطلاب!$E$5:$E$44,0),"")</f>
        <v>7</v>
      </c>
    </row>
    <row r="13" spans="1:29">
      <c r="A13" s="18">
        <f>IF($AC13="","",INDEX(الطلاب!$A$5:$A$44,$AC13))</f>
        <v>8</v>
      </c>
      <c r="B13" s="68" t="str">
        <f>IF($AC13="","",INDEX(الطلاب!$B$5:$B$44,$AC13))</f>
        <v>هشام المخلف</v>
      </c>
      <c r="C13" s="69" t="str">
        <f>IF($AC13="","",INDEX(الطلاب!$D$5:$D$44,$AC13))</f>
        <v xml:space="preserve">ابن رجب </v>
      </c>
      <c r="D13" s="70">
        <f>IF($A13="","",IF(COUNTIFS(الإدخال!$A$5:$A$644,D$5,الإدخال!$D$5:$D$644,$A13,الإدخال!$F$5:$F$644,"غائب",الإدخال!$G$5:$G$644,"")&gt;0,"غ",IF(COUNTIFS(الإدخال!$A$5:$A$644,D$5,الإدخال!$D$5:$D$644,$A13,الإدخال!$F$5:$F$644,"معتذر",الإدخال!$G$5:$G$644,"")&gt;0,"ع",IF(SUMIFS(الإدخال!$P$5:$P$644,الإدخال!$A$5:$A$644,D$5,الإدخال!$D$5:$D$644,$A13)&gt;0,SUMIFS(الإدخال!$O$5:$O$644,الإدخال!$A$5:$A$644,D$5,الإدخال!$D$5:$D$644,$A13)/100,""))))</f>
        <v>0.93</v>
      </c>
      <c r="E13" s="70">
        <f>IF($A13="","",IF(COUNTIFS(الإدخال!$A$5:$A$644,E$5,الإدخال!$D$5:$D$644,$A13,الإدخال!$F$5:$F$644,"غائب",الإدخال!$G$5:$G$644,"")&gt;0,"غ",IF(COUNTIFS(الإدخال!$A$5:$A$644,E$5,الإدخال!$D$5:$D$644,$A13,الإدخال!$F$5:$F$644,"معتذر",الإدخال!$G$5:$G$644,"")&gt;0,"ع",IF(SUMIFS(الإدخال!$P$5:$P$644,الإدخال!$A$5:$A$644,E$5,الإدخال!$D$5:$D$644,$A13)&gt;0,SUMIFS(الإدخال!$O$5:$O$644,الإدخال!$A$5:$A$644,E$5,الإدخال!$D$5:$D$644,$A13)/100,""))))</f>
        <v>0.93</v>
      </c>
      <c r="F13" s="70" t="str">
        <f>IF($A13="","",IF(COUNTIFS(الإدخال!$A$5:$A$644,F$5,الإدخال!$D$5:$D$644,$A13,الإدخال!$F$5:$F$644,"غائب",الإدخال!$G$5:$G$644,"")&gt;0,"غ",IF(COUNTIFS(الإدخال!$A$5:$A$644,F$5,الإدخال!$D$5:$D$644,$A13,الإدخال!$F$5:$F$644,"معتذر",الإدخال!$G$5:$G$644,"")&gt;0,"ع",IF(SUMIFS(الإدخال!$P$5:$P$644,الإدخال!$A$5:$A$644,F$5,الإدخال!$D$5:$D$644,$A13)&gt;0,SUMIFS(الإدخال!$O$5:$O$644,الإدخال!$A$5:$A$644,F$5,الإدخال!$D$5:$D$644,$A13)/100,""))))</f>
        <v/>
      </c>
      <c r="G13" s="70" t="str">
        <f>IF($A13="","",IF(COUNTIFS(الإدخال!$A$5:$A$644,G$5,الإدخال!$D$5:$D$644,$A13,الإدخال!$F$5:$F$644,"غائب",الإدخال!$G$5:$G$644,"")&gt;0,"غ",IF(COUNTIFS(الإدخال!$A$5:$A$644,G$5,الإدخال!$D$5:$D$644,$A13,الإدخال!$F$5:$F$644,"معتذر",الإدخال!$G$5:$G$644,"")&gt;0,"ع",IF(SUMIFS(الإدخال!$P$5:$P$644,الإدخال!$A$5:$A$644,G$5,الإدخال!$D$5:$D$644,$A13)&gt;0,SUMIFS(الإدخال!$O$5:$O$644,الإدخال!$A$5:$A$644,G$5,الإدخال!$D$5:$D$644,$A13)/100,""))))</f>
        <v/>
      </c>
      <c r="H13" s="70" t="str">
        <f>IF($A13="","",IF(COUNTIFS(الإدخال!$A$5:$A$644,H$5,الإدخال!$D$5:$D$644,$A13,الإدخال!$F$5:$F$644,"غائب",الإدخال!$G$5:$G$644,"")&gt;0,"غ",IF(COUNTIFS(الإدخال!$A$5:$A$644,H$5,الإدخال!$D$5:$D$644,$A13,الإدخال!$F$5:$F$644,"معتذر",الإدخال!$G$5:$G$644,"")&gt;0,"ع",IF(SUMIFS(الإدخال!$P$5:$P$644,الإدخال!$A$5:$A$644,H$5,الإدخال!$D$5:$D$644,$A13)&gt;0,SUMIFS(الإدخال!$O$5:$O$644,الإدخال!$A$5:$A$644,H$5,الإدخال!$D$5:$D$644,$A13)/100,""))))</f>
        <v/>
      </c>
      <c r="I13" s="70" t="str">
        <f>IF($A13="","",IF(COUNTIFS(الإدخال!$A$5:$A$644,I$5,الإدخال!$D$5:$D$644,$A13,الإدخال!$F$5:$F$644,"غائب",الإدخال!$G$5:$G$644,"")&gt;0,"غ",IF(COUNTIFS(الإدخال!$A$5:$A$644,I$5,الإدخال!$D$5:$D$644,$A13,الإدخال!$F$5:$F$644,"معتذر",الإدخال!$G$5:$G$644,"")&gt;0,"ع",IF(SUMIFS(الإدخال!$P$5:$P$644,الإدخال!$A$5:$A$644,I$5,الإدخال!$D$5:$D$644,$A13)&gt;0,SUMIFS(الإدخال!$O$5:$O$644,الإدخال!$A$5:$A$644,I$5,الإدخال!$D$5:$D$644,$A13)/100,""))))</f>
        <v/>
      </c>
      <c r="J13" s="70" t="str">
        <f>IF($A13="","",IF(COUNTIFS(الإدخال!$A$5:$A$644,J$5,الإدخال!$D$5:$D$644,$A13,الإدخال!$F$5:$F$644,"غائب",الإدخال!$G$5:$G$644,"")&gt;0,"غ",IF(COUNTIFS(الإدخال!$A$5:$A$644,J$5,الإدخال!$D$5:$D$644,$A13,الإدخال!$F$5:$F$644,"معتذر",الإدخال!$G$5:$G$644,"")&gt;0,"ع",IF(SUMIFS(الإدخال!$P$5:$P$644,الإدخال!$A$5:$A$644,J$5,الإدخال!$D$5:$D$644,$A13)&gt;0,SUMIFS(الإدخال!$O$5:$O$644,الإدخال!$A$5:$A$644,J$5,الإدخال!$D$5:$D$644,$A13)/100,""))))</f>
        <v/>
      </c>
      <c r="K13" s="70" t="str">
        <f>IF($A13="","",IF(COUNTIFS(الإدخال!$A$5:$A$644,K$5,الإدخال!$D$5:$D$644,$A13,الإدخال!$F$5:$F$644,"غائب",الإدخال!$G$5:$G$644,"")&gt;0,"غ",IF(COUNTIFS(الإدخال!$A$5:$A$644,K$5,الإدخال!$D$5:$D$644,$A13,الإدخال!$F$5:$F$644,"معتذر",الإدخال!$G$5:$G$644,"")&gt;0,"ع",IF(SUMIFS(الإدخال!$P$5:$P$644,الإدخال!$A$5:$A$644,K$5,الإدخال!$D$5:$D$644,$A13)&gt;0,SUMIFS(الإدخال!$O$5:$O$644,الإدخال!$A$5:$A$644,K$5,الإدخال!$D$5:$D$644,$A13)/100,""))))</f>
        <v/>
      </c>
      <c r="L13" s="70" t="str">
        <f>IF($A13="","",IF(COUNTIFS(الإدخال!$A$5:$A$644,L$5,الإدخال!$D$5:$D$644,$A13,الإدخال!$F$5:$F$644,"غائب",الإدخال!$G$5:$G$644,"")&gt;0,"غ",IF(COUNTIFS(الإدخال!$A$5:$A$644,L$5,الإدخال!$D$5:$D$644,$A13,الإدخال!$F$5:$F$644,"معتذر",الإدخال!$G$5:$G$644,"")&gt;0,"ع",IF(SUMIFS(الإدخال!$P$5:$P$644,الإدخال!$A$5:$A$644,L$5,الإدخال!$D$5:$D$644,$A13)&gt;0,SUMIFS(الإدخال!$O$5:$O$644,الإدخال!$A$5:$A$644,L$5,الإدخال!$D$5:$D$644,$A13)/100,""))))</f>
        <v/>
      </c>
      <c r="M13" s="70" t="str">
        <f>IF($A13="","",IF(COUNTIFS(الإدخال!$A$5:$A$644,M$5,الإدخال!$D$5:$D$644,$A13,الإدخال!$F$5:$F$644,"غائب",الإدخال!$G$5:$G$644,"")&gt;0,"غ",IF(COUNTIFS(الإدخال!$A$5:$A$644,M$5,الإدخال!$D$5:$D$644,$A13,الإدخال!$F$5:$F$644,"معتذر",الإدخال!$G$5:$G$644,"")&gt;0,"ع",IF(SUMIFS(الإدخال!$P$5:$P$644,الإدخال!$A$5:$A$644,M$5,الإدخال!$D$5:$D$644,$A13)&gt;0,SUMIFS(الإدخال!$O$5:$O$644,الإدخال!$A$5:$A$644,M$5,الإدخال!$D$5:$D$644,$A13)/100,""))))</f>
        <v/>
      </c>
      <c r="N13" s="70" t="str">
        <f>IF($A13="","",IF(COUNTIFS(الإدخال!$A$5:$A$644,N$5,الإدخال!$D$5:$D$644,$A13,الإدخال!$F$5:$F$644,"غائب",الإدخال!$G$5:$G$644,"")&gt;0,"غ",IF(COUNTIFS(الإدخال!$A$5:$A$644,N$5,الإدخال!$D$5:$D$644,$A13,الإدخال!$F$5:$F$644,"معتذر",الإدخال!$G$5:$G$644,"")&gt;0,"ع",IF(SUMIFS(الإدخال!$P$5:$P$644,الإدخال!$A$5:$A$644,N$5,الإدخال!$D$5:$D$644,$A13)&gt;0,SUMIFS(الإدخال!$O$5:$O$644,الإدخال!$A$5:$A$644,N$5,الإدخال!$D$5:$D$644,$A13)/100,""))))</f>
        <v/>
      </c>
      <c r="O13" s="70" t="str">
        <f>IF($A13="","",IF(COUNTIFS(الإدخال!$A$5:$A$644,O$5,الإدخال!$D$5:$D$644,$A13,الإدخال!$F$5:$F$644,"غائب",الإدخال!$G$5:$G$644,"")&gt;0,"غ",IF(COUNTIFS(الإدخال!$A$5:$A$644,O$5,الإدخال!$D$5:$D$644,$A13,الإدخال!$F$5:$F$644,"معتذر",الإدخال!$G$5:$G$644,"")&gt;0,"ع",IF(SUMIFS(الإدخال!$P$5:$P$644,الإدخال!$A$5:$A$644,O$5,الإدخال!$D$5:$D$644,$A13)&gt;0,SUMIFS(الإدخال!$O$5:$O$644,الإدخال!$A$5:$A$644,O$5,الإدخال!$D$5:$D$644,$A13)/100,""))))</f>
        <v/>
      </c>
      <c r="P13" s="70" t="str">
        <f>IF($A13="","",IF(COUNTIFS(الإدخال!$A$5:$A$644,P$5,الإدخال!$D$5:$D$644,$A13,الإدخال!$F$5:$F$644,"غائب",الإدخال!$G$5:$G$644,"")&gt;0,"غ",IF(COUNTIFS(الإدخال!$A$5:$A$644,P$5,الإدخال!$D$5:$D$644,$A13,الإدخال!$F$5:$F$644,"معتذر",الإدخال!$G$5:$G$644,"")&gt;0,"ع",IF(SUMIFS(الإدخال!$P$5:$P$644,الإدخال!$A$5:$A$644,P$5,الإدخال!$D$5:$D$644,$A13)&gt;0,SUMIFS(الإدخال!$O$5:$O$644,الإدخال!$A$5:$A$644,P$5,الإدخال!$D$5:$D$644,$A13)/100,""))))</f>
        <v/>
      </c>
      <c r="Q13" s="70" t="str">
        <f>IF($A13="","",IF(COUNTIFS(الإدخال!$A$5:$A$644,Q$5,الإدخال!$D$5:$D$644,$A13,الإدخال!$F$5:$F$644,"غائب",الإدخال!$G$5:$G$644,"")&gt;0,"غ",IF(COUNTIFS(الإدخال!$A$5:$A$644,Q$5,الإدخال!$D$5:$D$644,$A13,الإدخال!$F$5:$F$644,"معتذر",الإدخال!$G$5:$G$644,"")&gt;0,"ع",IF(SUMIFS(الإدخال!$P$5:$P$644,الإدخال!$A$5:$A$644,Q$5,الإدخال!$D$5:$D$644,$A13)&gt;0,SUMIFS(الإدخال!$O$5:$O$644,الإدخال!$A$5:$A$644,Q$5,الإدخال!$D$5:$D$644,$A13)/100,""))))</f>
        <v/>
      </c>
      <c r="R13" s="70" t="str">
        <f>IF($A13="","",IF(COUNTIFS(الإدخال!$A$5:$A$644,R$5,الإدخال!$D$5:$D$644,$A13,الإدخال!$F$5:$F$644,"غائب",الإدخال!$G$5:$G$644,"")&gt;0,"غ",IF(COUNTIFS(الإدخال!$A$5:$A$644,R$5,الإدخال!$D$5:$D$644,$A13,الإدخال!$F$5:$F$644,"معتذر",الإدخال!$G$5:$G$644,"")&gt;0,"ع",IF(SUMIFS(الإدخال!$P$5:$P$644,الإدخال!$A$5:$A$644,R$5,الإدخال!$D$5:$D$644,$A13)&gt;0,SUMIFS(الإدخال!$O$5:$O$644,الإدخال!$A$5:$A$644,R$5,الإدخال!$D$5:$D$644,$A13)/100,""))))</f>
        <v/>
      </c>
      <c r="S13" s="70" t="str">
        <f>IF($A13="","",IF(COUNTIFS(الإدخال!$A$5:$A$644,S$5,الإدخال!$D$5:$D$644,$A13,الإدخال!$F$5:$F$644,"غائب",الإدخال!$G$5:$G$644,"")&gt;0,"غ",IF(COUNTIFS(الإدخال!$A$5:$A$644,S$5,الإدخال!$D$5:$D$644,$A13,الإدخال!$F$5:$F$644,"معتذر",الإدخال!$G$5:$G$644,"")&gt;0,"ع",IF(SUMIFS(الإدخال!$P$5:$P$644,الإدخال!$A$5:$A$644,S$5,الإدخال!$D$5:$D$644,$A13)&gt;0,SUMIFS(الإدخال!$O$5:$O$644,الإدخال!$A$5:$A$644,S$5,الإدخال!$D$5:$D$644,$A13)/100,""))))</f>
        <v/>
      </c>
      <c r="T13" s="71">
        <f>IF($A13="","",IFERROR(SUMIFS(الإدخال!$O$5:$O$644,الإدخال!$D$5:$D$644,$A13)/SUMIFS(الإدخال!$P$5:$P$644,الإدخال!$D$5:$D$644,$A13)/100,""))</f>
        <v>0.93</v>
      </c>
      <c r="U13" s="72" t="str">
        <f t="shared" si="0"/>
        <v>ممتاز</v>
      </c>
      <c r="V13" s="72">
        <f>IF($A13="","",SUMIFS(الإدخال!$N$5:$N$644,الإدخال!$D$5:$D$644,$A13))</f>
        <v>2</v>
      </c>
      <c r="W13" s="73">
        <f>IF($A13="","",COUNTIFS(الإدخال!$D$5:$D$644,$A13,الإدخال!$F$5:$F$644,"متأخر"))</f>
        <v>0</v>
      </c>
      <c r="X13" s="73">
        <f>IF($A13="","",COUNTIFS(الإدخال!$D$5:$D$644,$A13,الإدخال!$F$5:$F$644,"غائب"))</f>
        <v>0</v>
      </c>
      <c r="Y13" s="73">
        <f>IF($A13="","",COUNTIFS(الإدخال!$D$5:$D$644,$A13,الإدخال!$F$5:$F$644,"معتذر"))</f>
        <v>0</v>
      </c>
      <c r="Z13" s="73">
        <f>IF($A13="","",SUMIFS(الإدخال!$H$5:$H$644,الإدخال!$D$5:$D$644,$A13,الإدخال!$N$5:$N$644,1))</f>
        <v>3</v>
      </c>
      <c r="AA13" s="73">
        <f>IF($A13="","",SUMIFS(الإدخال!$I$5:$I$644,الإدخال!$D$5:$D$644,$A13,الإدخال!$N$5:$N$644,1))</f>
        <v>35</v>
      </c>
      <c r="AB13" s="73">
        <f>IF($A13="","",SUMIFS(الإدخال!$J$5:$J$644,الإدخال!$D$5:$D$644,$A13,الإدخال!$N$5:$N$644,1))</f>
        <v>0</v>
      </c>
      <c r="AC13" s="36">
        <f>IFERROR(MATCH($C$3&amp;"|8",الطلاب!$E$5:$E$44,0),"")</f>
        <v>8</v>
      </c>
    </row>
    <row r="14" spans="1:29">
      <c r="A14" s="18">
        <f>IF($AC14="","",INDEX(الطلاب!$A$5:$A$44,$AC14))</f>
        <v>9</v>
      </c>
      <c r="B14" s="68" t="str">
        <f>IF($AC14="","",INDEX(الطلاب!$B$5:$B$44,$AC14))</f>
        <v xml:space="preserve">اسامة السعدون </v>
      </c>
      <c r="C14" s="69" t="str">
        <f>IF($AC14="","",INDEX(الطلاب!$D$5:$D$44,$AC14))</f>
        <v xml:space="preserve">ابن رجب </v>
      </c>
      <c r="D14" s="70">
        <f>IF($A14="","",IF(COUNTIFS(الإدخال!$A$5:$A$644,D$5,الإدخال!$D$5:$D$644,$A14,الإدخال!$F$5:$F$644,"غائب",الإدخال!$G$5:$G$644,"")&gt;0,"غ",IF(COUNTIFS(الإدخال!$A$5:$A$644,D$5,الإدخال!$D$5:$D$644,$A14,الإدخال!$F$5:$F$644,"معتذر",الإدخال!$G$5:$G$644,"")&gt;0,"ع",IF(SUMIFS(الإدخال!$P$5:$P$644,الإدخال!$A$5:$A$644,D$5,الإدخال!$D$5:$D$644,$A14)&gt;0,SUMIFS(الإدخال!$O$5:$O$644,الإدخال!$A$5:$A$644,D$5,الإدخال!$D$5:$D$644,$A14)/100,""))))</f>
        <v>0</v>
      </c>
      <c r="E14" s="70">
        <f>IF($A14="","",IF(COUNTIFS(الإدخال!$A$5:$A$644,E$5,الإدخال!$D$5:$D$644,$A14,الإدخال!$F$5:$F$644,"غائب",الإدخال!$G$5:$G$644,"")&gt;0,"غ",IF(COUNTIFS(الإدخال!$A$5:$A$644,E$5,الإدخال!$D$5:$D$644,$A14,الإدخال!$F$5:$F$644,"معتذر",الإدخال!$G$5:$G$644,"")&gt;0,"ع",IF(SUMIFS(الإدخال!$P$5:$P$644,الإدخال!$A$5:$A$644,E$5,الإدخال!$D$5:$D$644,$A14)&gt;0,SUMIFS(الإدخال!$O$5:$O$644,الإدخال!$A$5:$A$644,E$5,الإدخال!$D$5:$D$644,$A14)/100,""))))</f>
        <v>0.15</v>
      </c>
      <c r="F14" s="70" t="str">
        <f>IF($A14="","",IF(COUNTIFS(الإدخال!$A$5:$A$644,F$5,الإدخال!$D$5:$D$644,$A14,الإدخال!$F$5:$F$644,"غائب",الإدخال!$G$5:$G$644,"")&gt;0,"غ",IF(COUNTIFS(الإدخال!$A$5:$A$644,F$5,الإدخال!$D$5:$D$644,$A14,الإدخال!$F$5:$F$644,"معتذر",الإدخال!$G$5:$G$644,"")&gt;0,"ع",IF(SUMIFS(الإدخال!$P$5:$P$644,الإدخال!$A$5:$A$644,F$5,الإدخال!$D$5:$D$644,$A14)&gt;0,SUMIFS(الإدخال!$O$5:$O$644,الإدخال!$A$5:$A$644,F$5,الإدخال!$D$5:$D$644,$A14)/100,""))))</f>
        <v/>
      </c>
      <c r="G14" s="70" t="str">
        <f>IF($A14="","",IF(COUNTIFS(الإدخال!$A$5:$A$644,G$5,الإدخال!$D$5:$D$644,$A14,الإدخال!$F$5:$F$644,"غائب",الإدخال!$G$5:$G$644,"")&gt;0,"غ",IF(COUNTIFS(الإدخال!$A$5:$A$644,G$5,الإدخال!$D$5:$D$644,$A14,الإدخال!$F$5:$F$644,"معتذر",الإدخال!$G$5:$G$644,"")&gt;0,"ع",IF(SUMIFS(الإدخال!$P$5:$P$644,الإدخال!$A$5:$A$644,G$5,الإدخال!$D$5:$D$644,$A14)&gt;0,SUMIFS(الإدخال!$O$5:$O$644,الإدخال!$A$5:$A$644,G$5,الإدخال!$D$5:$D$644,$A14)/100,""))))</f>
        <v/>
      </c>
      <c r="H14" s="70" t="str">
        <f>IF($A14="","",IF(COUNTIFS(الإدخال!$A$5:$A$644,H$5,الإدخال!$D$5:$D$644,$A14,الإدخال!$F$5:$F$644,"غائب",الإدخال!$G$5:$G$644,"")&gt;0,"غ",IF(COUNTIFS(الإدخال!$A$5:$A$644,H$5,الإدخال!$D$5:$D$644,$A14,الإدخال!$F$5:$F$644,"معتذر",الإدخال!$G$5:$G$644,"")&gt;0,"ع",IF(SUMIFS(الإدخال!$P$5:$P$644,الإدخال!$A$5:$A$644,H$5,الإدخال!$D$5:$D$644,$A14)&gt;0,SUMIFS(الإدخال!$O$5:$O$644,الإدخال!$A$5:$A$644,H$5,الإدخال!$D$5:$D$644,$A14)/100,""))))</f>
        <v/>
      </c>
      <c r="I14" s="70" t="str">
        <f>IF($A14="","",IF(COUNTIFS(الإدخال!$A$5:$A$644,I$5,الإدخال!$D$5:$D$644,$A14,الإدخال!$F$5:$F$644,"غائب",الإدخال!$G$5:$G$644,"")&gt;0,"غ",IF(COUNTIFS(الإدخال!$A$5:$A$644,I$5,الإدخال!$D$5:$D$644,$A14,الإدخال!$F$5:$F$644,"معتذر",الإدخال!$G$5:$G$644,"")&gt;0,"ع",IF(SUMIFS(الإدخال!$P$5:$P$644,الإدخال!$A$5:$A$644,I$5,الإدخال!$D$5:$D$644,$A14)&gt;0,SUMIFS(الإدخال!$O$5:$O$644,الإدخال!$A$5:$A$644,I$5,الإدخال!$D$5:$D$644,$A14)/100,""))))</f>
        <v/>
      </c>
      <c r="J14" s="70" t="str">
        <f>IF($A14="","",IF(COUNTIFS(الإدخال!$A$5:$A$644,J$5,الإدخال!$D$5:$D$644,$A14,الإدخال!$F$5:$F$644,"غائب",الإدخال!$G$5:$G$644,"")&gt;0,"غ",IF(COUNTIFS(الإدخال!$A$5:$A$644,J$5,الإدخال!$D$5:$D$644,$A14,الإدخال!$F$5:$F$644,"معتذر",الإدخال!$G$5:$G$644,"")&gt;0,"ع",IF(SUMIFS(الإدخال!$P$5:$P$644,الإدخال!$A$5:$A$644,J$5,الإدخال!$D$5:$D$644,$A14)&gt;0,SUMIFS(الإدخال!$O$5:$O$644,الإدخال!$A$5:$A$644,J$5,الإدخال!$D$5:$D$644,$A14)/100,""))))</f>
        <v/>
      </c>
      <c r="K14" s="70" t="str">
        <f>IF($A14="","",IF(COUNTIFS(الإدخال!$A$5:$A$644,K$5,الإدخال!$D$5:$D$644,$A14,الإدخال!$F$5:$F$644,"غائب",الإدخال!$G$5:$G$644,"")&gt;0,"غ",IF(COUNTIFS(الإدخال!$A$5:$A$644,K$5,الإدخال!$D$5:$D$644,$A14,الإدخال!$F$5:$F$644,"معتذر",الإدخال!$G$5:$G$644,"")&gt;0,"ع",IF(SUMIFS(الإدخال!$P$5:$P$644,الإدخال!$A$5:$A$644,K$5,الإدخال!$D$5:$D$644,$A14)&gt;0,SUMIFS(الإدخال!$O$5:$O$644,الإدخال!$A$5:$A$644,K$5,الإدخال!$D$5:$D$644,$A14)/100,""))))</f>
        <v/>
      </c>
      <c r="L14" s="70" t="str">
        <f>IF($A14="","",IF(COUNTIFS(الإدخال!$A$5:$A$644,L$5,الإدخال!$D$5:$D$644,$A14,الإدخال!$F$5:$F$644,"غائب",الإدخال!$G$5:$G$644,"")&gt;0,"غ",IF(COUNTIFS(الإدخال!$A$5:$A$644,L$5,الإدخال!$D$5:$D$644,$A14,الإدخال!$F$5:$F$644,"معتذر",الإدخال!$G$5:$G$644,"")&gt;0,"ع",IF(SUMIFS(الإدخال!$P$5:$P$644,الإدخال!$A$5:$A$644,L$5,الإدخال!$D$5:$D$644,$A14)&gt;0,SUMIFS(الإدخال!$O$5:$O$644,الإدخال!$A$5:$A$644,L$5,الإدخال!$D$5:$D$644,$A14)/100,""))))</f>
        <v/>
      </c>
      <c r="M14" s="70" t="str">
        <f>IF($A14="","",IF(COUNTIFS(الإدخال!$A$5:$A$644,M$5,الإدخال!$D$5:$D$644,$A14,الإدخال!$F$5:$F$644,"غائب",الإدخال!$G$5:$G$644,"")&gt;0,"غ",IF(COUNTIFS(الإدخال!$A$5:$A$644,M$5,الإدخال!$D$5:$D$644,$A14,الإدخال!$F$5:$F$644,"معتذر",الإدخال!$G$5:$G$644,"")&gt;0,"ع",IF(SUMIFS(الإدخال!$P$5:$P$644,الإدخال!$A$5:$A$644,M$5,الإدخال!$D$5:$D$644,$A14)&gt;0,SUMIFS(الإدخال!$O$5:$O$644,الإدخال!$A$5:$A$644,M$5,الإدخال!$D$5:$D$644,$A14)/100,""))))</f>
        <v/>
      </c>
      <c r="N14" s="70" t="str">
        <f>IF($A14="","",IF(COUNTIFS(الإدخال!$A$5:$A$644,N$5,الإدخال!$D$5:$D$644,$A14,الإدخال!$F$5:$F$644,"غائب",الإدخال!$G$5:$G$644,"")&gt;0,"غ",IF(COUNTIFS(الإدخال!$A$5:$A$644,N$5,الإدخال!$D$5:$D$644,$A14,الإدخال!$F$5:$F$644,"معتذر",الإدخال!$G$5:$G$644,"")&gt;0,"ع",IF(SUMIFS(الإدخال!$P$5:$P$644,الإدخال!$A$5:$A$644,N$5,الإدخال!$D$5:$D$644,$A14)&gt;0,SUMIFS(الإدخال!$O$5:$O$644,الإدخال!$A$5:$A$644,N$5,الإدخال!$D$5:$D$644,$A14)/100,""))))</f>
        <v/>
      </c>
      <c r="O14" s="70" t="str">
        <f>IF($A14="","",IF(COUNTIFS(الإدخال!$A$5:$A$644,O$5,الإدخال!$D$5:$D$644,$A14,الإدخال!$F$5:$F$644,"غائب",الإدخال!$G$5:$G$644,"")&gt;0,"غ",IF(COUNTIFS(الإدخال!$A$5:$A$644,O$5,الإدخال!$D$5:$D$644,$A14,الإدخال!$F$5:$F$644,"معتذر",الإدخال!$G$5:$G$644,"")&gt;0,"ع",IF(SUMIFS(الإدخال!$P$5:$P$644,الإدخال!$A$5:$A$644,O$5,الإدخال!$D$5:$D$644,$A14)&gt;0,SUMIFS(الإدخال!$O$5:$O$644,الإدخال!$A$5:$A$644,O$5,الإدخال!$D$5:$D$644,$A14)/100,""))))</f>
        <v/>
      </c>
      <c r="P14" s="70" t="str">
        <f>IF($A14="","",IF(COUNTIFS(الإدخال!$A$5:$A$644,P$5,الإدخال!$D$5:$D$644,$A14,الإدخال!$F$5:$F$644,"غائب",الإدخال!$G$5:$G$644,"")&gt;0,"غ",IF(COUNTIFS(الإدخال!$A$5:$A$644,P$5,الإدخال!$D$5:$D$644,$A14,الإدخال!$F$5:$F$644,"معتذر",الإدخال!$G$5:$G$644,"")&gt;0,"ع",IF(SUMIFS(الإدخال!$P$5:$P$644,الإدخال!$A$5:$A$644,P$5,الإدخال!$D$5:$D$644,$A14)&gt;0,SUMIFS(الإدخال!$O$5:$O$644,الإدخال!$A$5:$A$644,P$5,الإدخال!$D$5:$D$644,$A14)/100,""))))</f>
        <v/>
      </c>
      <c r="Q14" s="70" t="str">
        <f>IF($A14="","",IF(COUNTIFS(الإدخال!$A$5:$A$644,Q$5,الإدخال!$D$5:$D$644,$A14,الإدخال!$F$5:$F$644,"غائب",الإدخال!$G$5:$G$644,"")&gt;0,"غ",IF(COUNTIFS(الإدخال!$A$5:$A$644,Q$5,الإدخال!$D$5:$D$644,$A14,الإدخال!$F$5:$F$644,"معتذر",الإدخال!$G$5:$G$644,"")&gt;0,"ع",IF(SUMIFS(الإدخال!$P$5:$P$644,الإدخال!$A$5:$A$644,Q$5,الإدخال!$D$5:$D$644,$A14)&gt;0,SUMIFS(الإدخال!$O$5:$O$644,الإدخال!$A$5:$A$644,Q$5,الإدخال!$D$5:$D$644,$A14)/100,""))))</f>
        <v/>
      </c>
      <c r="R14" s="70" t="str">
        <f>IF($A14="","",IF(COUNTIFS(الإدخال!$A$5:$A$644,R$5,الإدخال!$D$5:$D$644,$A14,الإدخال!$F$5:$F$644,"غائب",الإدخال!$G$5:$G$644,"")&gt;0,"غ",IF(COUNTIFS(الإدخال!$A$5:$A$644,R$5,الإدخال!$D$5:$D$644,$A14,الإدخال!$F$5:$F$644,"معتذر",الإدخال!$G$5:$G$644,"")&gt;0,"ع",IF(SUMIFS(الإدخال!$P$5:$P$644,الإدخال!$A$5:$A$644,R$5,الإدخال!$D$5:$D$644,$A14)&gt;0,SUMIFS(الإدخال!$O$5:$O$644,الإدخال!$A$5:$A$644,R$5,الإدخال!$D$5:$D$644,$A14)/100,""))))</f>
        <v/>
      </c>
      <c r="S14" s="70" t="str">
        <f>IF($A14="","",IF(COUNTIFS(الإدخال!$A$5:$A$644,S$5,الإدخال!$D$5:$D$644,$A14,الإدخال!$F$5:$F$644,"غائب",الإدخال!$G$5:$G$644,"")&gt;0,"غ",IF(COUNTIFS(الإدخال!$A$5:$A$644,S$5,الإدخال!$D$5:$D$644,$A14,الإدخال!$F$5:$F$644,"معتذر",الإدخال!$G$5:$G$644,"")&gt;0,"ع",IF(SUMIFS(الإدخال!$P$5:$P$644,الإدخال!$A$5:$A$644,S$5,الإدخال!$D$5:$D$644,$A14)&gt;0,SUMIFS(الإدخال!$O$5:$O$644,الإدخال!$A$5:$A$644,S$5,الإدخال!$D$5:$D$644,$A14)/100,""))))</f>
        <v/>
      </c>
      <c r="T14" s="71">
        <f>IF($A14="","",IFERROR(SUMIFS(الإدخال!$O$5:$O$644,الإدخال!$D$5:$D$644,$A14)/SUMIFS(الإدخال!$P$5:$P$644,الإدخال!$D$5:$D$644,$A14)/100,""))</f>
        <v>7.4999999999999997E-2</v>
      </c>
      <c r="U14" s="72" t="str">
        <f t="shared" si="0"/>
        <v>يحتاج متابعة</v>
      </c>
      <c r="V14" s="72">
        <f>IF($A14="","",SUMIFS(الإدخال!$N$5:$N$644,الإدخال!$D$5:$D$644,$A14))</f>
        <v>0</v>
      </c>
      <c r="W14" s="73">
        <f>IF($A14="","",COUNTIFS(الإدخال!$D$5:$D$644,$A14,الإدخال!$F$5:$F$644,"متأخر"))</f>
        <v>0</v>
      </c>
      <c r="X14" s="73">
        <f>IF($A14="","",COUNTIFS(الإدخال!$D$5:$D$644,$A14,الإدخال!$F$5:$F$644,"غائب"))</f>
        <v>0</v>
      </c>
      <c r="Y14" s="73">
        <f>IF($A14="","",COUNTIFS(الإدخال!$D$5:$D$644,$A14,الإدخال!$F$5:$F$644,"معتذر"))</f>
        <v>2</v>
      </c>
      <c r="Z14" s="73">
        <f>IF($A14="","",SUMIFS(الإدخال!$H$5:$H$644,الإدخال!$D$5:$D$644,$A14,الإدخال!$N$5:$N$644,1))</f>
        <v>0</v>
      </c>
      <c r="AA14" s="73">
        <f>IF($A14="","",SUMIFS(الإدخال!$I$5:$I$644,الإدخال!$D$5:$D$644,$A14,الإدخال!$N$5:$N$644,1))</f>
        <v>0</v>
      </c>
      <c r="AB14" s="73">
        <f>IF($A14="","",SUMIFS(الإدخال!$J$5:$J$644,الإدخال!$D$5:$D$644,$A14,الإدخال!$N$5:$N$644,1))</f>
        <v>0</v>
      </c>
      <c r="AC14" s="36">
        <f>IFERROR(MATCH($C$3&amp;"|9",الطلاب!$E$5:$E$44,0),"")</f>
        <v>9</v>
      </c>
    </row>
    <row r="15" spans="1:29">
      <c r="A15" s="18">
        <f>IF($AC15="","",INDEX(الطلاب!$A$5:$A$44,$AC15))</f>
        <v>10</v>
      </c>
      <c r="B15" s="68" t="str">
        <f>IF($AC15="","",INDEX(الطلاب!$B$5:$B$44,$AC15))</f>
        <v xml:space="preserve">محمد الثنيان </v>
      </c>
      <c r="C15" s="69" t="str">
        <f>IF($AC15="","",INDEX(الطلاب!$D$5:$D$44,$AC15))</f>
        <v xml:space="preserve">حسان بن ثابت </v>
      </c>
      <c r="D15" s="70">
        <f>IF($A15="","",IF(COUNTIFS(الإدخال!$A$5:$A$644,D$5,الإدخال!$D$5:$D$644,$A15,الإدخال!$F$5:$F$644,"غائب",الإدخال!$G$5:$G$644,"")&gt;0,"غ",IF(COUNTIFS(الإدخال!$A$5:$A$644,D$5,الإدخال!$D$5:$D$644,$A15,الإدخال!$F$5:$F$644,"معتذر",الإدخال!$G$5:$G$644,"")&gt;0,"ع",IF(SUMIFS(الإدخال!$P$5:$P$644,الإدخال!$A$5:$A$644,D$5,الإدخال!$D$5:$D$644,$A15)&gt;0,SUMIFS(الإدخال!$O$5:$O$644,الإدخال!$A$5:$A$644,D$5,الإدخال!$D$5:$D$644,$A15)/100,""))))</f>
        <v>0.94</v>
      </c>
      <c r="E15" s="70">
        <f>IF($A15="","",IF(COUNTIFS(الإدخال!$A$5:$A$644,E$5,الإدخال!$D$5:$D$644,$A15,الإدخال!$F$5:$F$644,"غائب",الإدخال!$G$5:$G$644,"")&gt;0,"غ",IF(COUNTIFS(الإدخال!$A$5:$A$644,E$5,الإدخال!$D$5:$D$644,$A15,الإدخال!$F$5:$F$644,"معتذر",الإدخال!$G$5:$G$644,"")&gt;0,"ع",IF(SUMIFS(الإدخال!$P$5:$P$644,الإدخال!$A$5:$A$644,E$5,الإدخال!$D$5:$D$644,$A15)&gt;0,SUMIFS(الإدخال!$O$5:$O$644,الإدخال!$A$5:$A$644,E$5,الإدخال!$D$5:$D$644,$A15)/100,""))))</f>
        <v>0.99</v>
      </c>
      <c r="F15" s="70" t="str">
        <f>IF($A15="","",IF(COUNTIFS(الإدخال!$A$5:$A$644,F$5,الإدخال!$D$5:$D$644,$A15,الإدخال!$F$5:$F$644,"غائب",الإدخال!$G$5:$G$644,"")&gt;0,"غ",IF(COUNTIFS(الإدخال!$A$5:$A$644,F$5,الإدخال!$D$5:$D$644,$A15,الإدخال!$F$5:$F$644,"معتذر",الإدخال!$G$5:$G$644,"")&gt;0,"ع",IF(SUMIFS(الإدخال!$P$5:$P$644,الإدخال!$A$5:$A$644,F$5,الإدخال!$D$5:$D$644,$A15)&gt;0,SUMIFS(الإدخال!$O$5:$O$644,الإدخال!$A$5:$A$644,F$5,الإدخال!$D$5:$D$644,$A15)/100,""))))</f>
        <v/>
      </c>
      <c r="G15" s="70" t="str">
        <f>IF($A15="","",IF(COUNTIFS(الإدخال!$A$5:$A$644,G$5,الإدخال!$D$5:$D$644,$A15,الإدخال!$F$5:$F$644,"غائب",الإدخال!$G$5:$G$644,"")&gt;0,"غ",IF(COUNTIFS(الإدخال!$A$5:$A$644,G$5,الإدخال!$D$5:$D$644,$A15,الإدخال!$F$5:$F$644,"معتذر",الإدخال!$G$5:$G$644,"")&gt;0,"ع",IF(SUMIFS(الإدخال!$P$5:$P$644,الإدخال!$A$5:$A$644,G$5,الإدخال!$D$5:$D$644,$A15)&gt;0,SUMIFS(الإدخال!$O$5:$O$644,الإدخال!$A$5:$A$644,G$5,الإدخال!$D$5:$D$644,$A15)/100,""))))</f>
        <v/>
      </c>
      <c r="H15" s="70" t="str">
        <f>IF($A15="","",IF(COUNTIFS(الإدخال!$A$5:$A$644,H$5,الإدخال!$D$5:$D$644,$A15,الإدخال!$F$5:$F$644,"غائب",الإدخال!$G$5:$G$644,"")&gt;0,"غ",IF(COUNTIFS(الإدخال!$A$5:$A$644,H$5,الإدخال!$D$5:$D$644,$A15,الإدخال!$F$5:$F$644,"معتذر",الإدخال!$G$5:$G$644,"")&gt;0,"ع",IF(SUMIFS(الإدخال!$P$5:$P$644,الإدخال!$A$5:$A$644,H$5,الإدخال!$D$5:$D$644,$A15)&gt;0,SUMIFS(الإدخال!$O$5:$O$644,الإدخال!$A$5:$A$644,H$5,الإدخال!$D$5:$D$644,$A15)/100,""))))</f>
        <v/>
      </c>
      <c r="I15" s="70" t="str">
        <f>IF($A15="","",IF(COUNTIFS(الإدخال!$A$5:$A$644,I$5,الإدخال!$D$5:$D$644,$A15,الإدخال!$F$5:$F$644,"غائب",الإدخال!$G$5:$G$644,"")&gt;0,"غ",IF(COUNTIFS(الإدخال!$A$5:$A$644,I$5,الإدخال!$D$5:$D$644,$A15,الإدخال!$F$5:$F$644,"معتذر",الإدخال!$G$5:$G$644,"")&gt;0,"ع",IF(SUMIFS(الإدخال!$P$5:$P$644,الإدخال!$A$5:$A$644,I$5,الإدخال!$D$5:$D$644,$A15)&gt;0,SUMIFS(الإدخال!$O$5:$O$644,الإدخال!$A$5:$A$644,I$5,الإدخال!$D$5:$D$644,$A15)/100,""))))</f>
        <v/>
      </c>
      <c r="J15" s="70" t="str">
        <f>IF($A15="","",IF(COUNTIFS(الإدخال!$A$5:$A$644,J$5,الإدخال!$D$5:$D$644,$A15,الإدخال!$F$5:$F$644,"غائب",الإدخال!$G$5:$G$644,"")&gt;0,"غ",IF(COUNTIFS(الإدخال!$A$5:$A$644,J$5,الإدخال!$D$5:$D$644,$A15,الإدخال!$F$5:$F$644,"معتذر",الإدخال!$G$5:$G$644,"")&gt;0,"ع",IF(SUMIFS(الإدخال!$P$5:$P$644,الإدخال!$A$5:$A$644,J$5,الإدخال!$D$5:$D$644,$A15)&gt;0,SUMIFS(الإدخال!$O$5:$O$644,الإدخال!$A$5:$A$644,J$5,الإدخال!$D$5:$D$644,$A15)/100,""))))</f>
        <v/>
      </c>
      <c r="K15" s="70" t="str">
        <f>IF($A15="","",IF(COUNTIFS(الإدخال!$A$5:$A$644,K$5,الإدخال!$D$5:$D$644,$A15,الإدخال!$F$5:$F$644,"غائب",الإدخال!$G$5:$G$644,"")&gt;0,"غ",IF(COUNTIFS(الإدخال!$A$5:$A$644,K$5,الإدخال!$D$5:$D$644,$A15,الإدخال!$F$5:$F$644,"معتذر",الإدخال!$G$5:$G$644,"")&gt;0,"ع",IF(SUMIFS(الإدخال!$P$5:$P$644,الإدخال!$A$5:$A$644,K$5,الإدخال!$D$5:$D$644,$A15)&gt;0,SUMIFS(الإدخال!$O$5:$O$644,الإدخال!$A$5:$A$644,K$5,الإدخال!$D$5:$D$644,$A15)/100,""))))</f>
        <v/>
      </c>
      <c r="L15" s="70" t="str">
        <f>IF($A15="","",IF(COUNTIFS(الإدخال!$A$5:$A$644,L$5,الإدخال!$D$5:$D$644,$A15,الإدخال!$F$5:$F$644,"غائب",الإدخال!$G$5:$G$644,"")&gt;0,"غ",IF(COUNTIFS(الإدخال!$A$5:$A$644,L$5,الإدخال!$D$5:$D$644,$A15,الإدخال!$F$5:$F$644,"معتذر",الإدخال!$G$5:$G$644,"")&gt;0,"ع",IF(SUMIFS(الإدخال!$P$5:$P$644,الإدخال!$A$5:$A$644,L$5,الإدخال!$D$5:$D$644,$A15)&gt;0,SUMIFS(الإدخال!$O$5:$O$644,الإدخال!$A$5:$A$644,L$5,الإدخال!$D$5:$D$644,$A15)/100,""))))</f>
        <v/>
      </c>
      <c r="M15" s="70" t="str">
        <f>IF($A15="","",IF(COUNTIFS(الإدخال!$A$5:$A$644,M$5,الإدخال!$D$5:$D$644,$A15,الإدخال!$F$5:$F$644,"غائب",الإدخال!$G$5:$G$644,"")&gt;0,"غ",IF(COUNTIFS(الإدخال!$A$5:$A$644,M$5,الإدخال!$D$5:$D$644,$A15,الإدخال!$F$5:$F$644,"معتذر",الإدخال!$G$5:$G$644,"")&gt;0,"ع",IF(SUMIFS(الإدخال!$P$5:$P$644,الإدخال!$A$5:$A$644,M$5,الإدخال!$D$5:$D$644,$A15)&gt;0,SUMIFS(الإدخال!$O$5:$O$644,الإدخال!$A$5:$A$644,M$5,الإدخال!$D$5:$D$644,$A15)/100,""))))</f>
        <v/>
      </c>
      <c r="N15" s="70" t="str">
        <f>IF($A15="","",IF(COUNTIFS(الإدخال!$A$5:$A$644,N$5,الإدخال!$D$5:$D$644,$A15,الإدخال!$F$5:$F$644,"غائب",الإدخال!$G$5:$G$644,"")&gt;0,"غ",IF(COUNTIFS(الإدخال!$A$5:$A$644,N$5,الإدخال!$D$5:$D$644,$A15,الإدخال!$F$5:$F$644,"معتذر",الإدخال!$G$5:$G$644,"")&gt;0,"ع",IF(SUMIFS(الإدخال!$P$5:$P$644,الإدخال!$A$5:$A$644,N$5,الإدخال!$D$5:$D$644,$A15)&gt;0,SUMIFS(الإدخال!$O$5:$O$644,الإدخال!$A$5:$A$644,N$5,الإدخال!$D$5:$D$644,$A15)/100,""))))</f>
        <v/>
      </c>
      <c r="O15" s="70" t="str">
        <f>IF($A15="","",IF(COUNTIFS(الإدخال!$A$5:$A$644,O$5,الإدخال!$D$5:$D$644,$A15,الإدخال!$F$5:$F$644,"غائب",الإدخال!$G$5:$G$644,"")&gt;0,"غ",IF(COUNTIFS(الإدخال!$A$5:$A$644,O$5,الإدخال!$D$5:$D$644,$A15,الإدخال!$F$5:$F$644,"معتذر",الإدخال!$G$5:$G$644,"")&gt;0,"ع",IF(SUMIFS(الإدخال!$P$5:$P$644,الإدخال!$A$5:$A$644,O$5,الإدخال!$D$5:$D$644,$A15)&gt;0,SUMIFS(الإدخال!$O$5:$O$644,الإدخال!$A$5:$A$644,O$5,الإدخال!$D$5:$D$644,$A15)/100,""))))</f>
        <v/>
      </c>
      <c r="P15" s="70" t="str">
        <f>IF($A15="","",IF(COUNTIFS(الإدخال!$A$5:$A$644,P$5,الإدخال!$D$5:$D$644,$A15,الإدخال!$F$5:$F$644,"غائب",الإدخال!$G$5:$G$644,"")&gt;0,"غ",IF(COUNTIFS(الإدخال!$A$5:$A$644,P$5,الإدخال!$D$5:$D$644,$A15,الإدخال!$F$5:$F$644,"معتذر",الإدخال!$G$5:$G$644,"")&gt;0,"ع",IF(SUMIFS(الإدخال!$P$5:$P$644,الإدخال!$A$5:$A$644,P$5,الإدخال!$D$5:$D$644,$A15)&gt;0,SUMIFS(الإدخال!$O$5:$O$644,الإدخال!$A$5:$A$644,P$5,الإدخال!$D$5:$D$644,$A15)/100,""))))</f>
        <v/>
      </c>
      <c r="Q15" s="70" t="str">
        <f>IF($A15="","",IF(COUNTIFS(الإدخال!$A$5:$A$644,Q$5,الإدخال!$D$5:$D$644,$A15,الإدخال!$F$5:$F$644,"غائب",الإدخال!$G$5:$G$644,"")&gt;0,"غ",IF(COUNTIFS(الإدخال!$A$5:$A$644,Q$5,الإدخال!$D$5:$D$644,$A15,الإدخال!$F$5:$F$644,"معتذر",الإدخال!$G$5:$G$644,"")&gt;0,"ع",IF(SUMIFS(الإدخال!$P$5:$P$644,الإدخال!$A$5:$A$644,Q$5,الإدخال!$D$5:$D$644,$A15)&gt;0,SUMIFS(الإدخال!$O$5:$O$644,الإدخال!$A$5:$A$644,Q$5,الإدخال!$D$5:$D$644,$A15)/100,""))))</f>
        <v/>
      </c>
      <c r="R15" s="70" t="str">
        <f>IF($A15="","",IF(COUNTIFS(الإدخال!$A$5:$A$644,R$5,الإدخال!$D$5:$D$644,$A15,الإدخال!$F$5:$F$644,"غائب",الإدخال!$G$5:$G$644,"")&gt;0,"غ",IF(COUNTIFS(الإدخال!$A$5:$A$644,R$5,الإدخال!$D$5:$D$644,$A15,الإدخال!$F$5:$F$644,"معتذر",الإدخال!$G$5:$G$644,"")&gt;0,"ع",IF(SUMIFS(الإدخال!$P$5:$P$644,الإدخال!$A$5:$A$644,R$5,الإدخال!$D$5:$D$644,$A15)&gt;0,SUMIFS(الإدخال!$O$5:$O$644,الإدخال!$A$5:$A$644,R$5,الإدخال!$D$5:$D$644,$A15)/100,""))))</f>
        <v/>
      </c>
      <c r="S15" s="70" t="str">
        <f>IF($A15="","",IF(COUNTIFS(الإدخال!$A$5:$A$644,S$5,الإدخال!$D$5:$D$644,$A15,الإدخال!$F$5:$F$644,"غائب",الإدخال!$G$5:$G$644,"")&gt;0,"غ",IF(COUNTIFS(الإدخال!$A$5:$A$644,S$5,الإدخال!$D$5:$D$644,$A15,الإدخال!$F$5:$F$644,"معتذر",الإدخال!$G$5:$G$644,"")&gt;0,"ع",IF(SUMIFS(الإدخال!$P$5:$P$644,الإدخال!$A$5:$A$644,S$5,الإدخال!$D$5:$D$644,$A15)&gt;0,SUMIFS(الإدخال!$O$5:$O$644,الإدخال!$A$5:$A$644,S$5,الإدخال!$D$5:$D$644,$A15)/100,""))))</f>
        <v/>
      </c>
      <c r="T15" s="71">
        <f>IF($A15="","",IFERROR(SUMIFS(الإدخال!$O$5:$O$644,الإدخال!$D$5:$D$644,$A15)/SUMIFS(الإدخال!$P$5:$P$644,الإدخال!$D$5:$D$644,$A15)/100,""))</f>
        <v>0.96499999999999997</v>
      </c>
      <c r="U15" s="72" t="str">
        <f t="shared" si="0"/>
        <v>ممتاز</v>
      </c>
      <c r="V15" s="72">
        <f>IF($A15="","",SUMIFS(الإدخال!$N$5:$N$644,الإدخال!$D$5:$D$644,$A15))</f>
        <v>2</v>
      </c>
      <c r="W15" s="73">
        <f>IF($A15="","",COUNTIFS(الإدخال!$D$5:$D$644,$A15,الإدخال!$F$5:$F$644,"متأخر"))</f>
        <v>0</v>
      </c>
      <c r="X15" s="73">
        <f>IF($A15="","",COUNTIFS(الإدخال!$D$5:$D$644,$A15,الإدخال!$F$5:$F$644,"غائب"))</f>
        <v>0</v>
      </c>
      <c r="Y15" s="73">
        <f>IF($A15="","",COUNTIFS(الإدخال!$D$5:$D$644,$A15,الإدخال!$F$5:$F$644,"معتذر"))</f>
        <v>0</v>
      </c>
      <c r="Z15" s="73">
        <f>IF($A15="","",SUMIFS(الإدخال!$H$5:$H$644,الإدخال!$D$5:$D$644,$A15,الإدخال!$N$5:$N$644,1))</f>
        <v>8</v>
      </c>
      <c r="AA15" s="73">
        <f>IF($A15="","",SUMIFS(الإدخال!$I$5:$I$644,الإدخال!$D$5:$D$644,$A15,الإدخال!$N$5:$N$644,1))</f>
        <v>38</v>
      </c>
      <c r="AB15" s="73">
        <f>IF($A15="","",SUMIFS(الإدخال!$J$5:$J$644,الإدخال!$D$5:$D$644,$A15,الإدخال!$N$5:$N$644,1))</f>
        <v>0</v>
      </c>
      <c r="AC15" s="36">
        <f>IFERROR(MATCH($C$3&amp;"|10",الطلاب!$E$5:$E$44,0),"")</f>
        <v>10</v>
      </c>
    </row>
    <row r="16" spans="1:29">
      <c r="A16" s="18">
        <f>IF($AC16="","",INDEX(الطلاب!$A$5:$A$44,$AC16))</f>
        <v>11</v>
      </c>
      <c r="B16" s="68" t="str">
        <f>IF($AC16="","",INDEX(الطلاب!$B$5:$B$44,$AC16))</f>
        <v xml:space="preserve">كنان الجريفاني </v>
      </c>
      <c r="C16" s="69" t="str">
        <f>IF($AC16="","",INDEX(الطلاب!$D$5:$D$44,$AC16))</f>
        <v xml:space="preserve">حسان بن ثابت </v>
      </c>
      <c r="D16" s="70">
        <f>IF($A16="","",IF(COUNTIFS(الإدخال!$A$5:$A$644,D$5,الإدخال!$D$5:$D$644,$A16,الإدخال!$F$5:$F$644,"غائب",الإدخال!$G$5:$G$644,"")&gt;0,"غ",IF(COUNTIFS(الإدخال!$A$5:$A$644,D$5,الإدخال!$D$5:$D$644,$A16,الإدخال!$F$5:$F$644,"معتذر",الإدخال!$G$5:$G$644,"")&gt;0,"ع",IF(SUMIFS(الإدخال!$P$5:$P$644,الإدخال!$A$5:$A$644,D$5,الإدخال!$D$5:$D$644,$A16)&gt;0,SUMIFS(الإدخال!$O$5:$O$644,الإدخال!$A$5:$A$644,D$5,الإدخال!$D$5:$D$644,$A16)/100,""))))</f>
        <v>0.85</v>
      </c>
      <c r="E16" s="70">
        <f>IF($A16="","",IF(COUNTIFS(الإدخال!$A$5:$A$644,E$5,الإدخال!$D$5:$D$644,$A16,الإدخال!$F$5:$F$644,"غائب",الإدخال!$G$5:$G$644,"")&gt;0,"غ",IF(COUNTIFS(الإدخال!$A$5:$A$644,E$5,الإدخال!$D$5:$D$644,$A16,الإدخال!$F$5:$F$644,"معتذر",الإدخال!$G$5:$G$644,"")&gt;0,"ع",IF(SUMIFS(الإدخال!$P$5:$P$644,الإدخال!$A$5:$A$644,E$5,الإدخال!$D$5:$D$644,$A16)&gt;0,SUMIFS(الإدخال!$O$5:$O$644,الإدخال!$A$5:$A$644,E$5,الإدخال!$D$5:$D$644,$A16)/100,""))))</f>
        <v>0.99</v>
      </c>
      <c r="F16" s="70" t="str">
        <f>IF($A16="","",IF(COUNTIFS(الإدخال!$A$5:$A$644,F$5,الإدخال!$D$5:$D$644,$A16,الإدخال!$F$5:$F$644,"غائب",الإدخال!$G$5:$G$644,"")&gt;0,"غ",IF(COUNTIFS(الإدخال!$A$5:$A$644,F$5,الإدخال!$D$5:$D$644,$A16,الإدخال!$F$5:$F$644,"معتذر",الإدخال!$G$5:$G$644,"")&gt;0,"ع",IF(SUMIFS(الإدخال!$P$5:$P$644,الإدخال!$A$5:$A$644,F$5,الإدخال!$D$5:$D$644,$A16)&gt;0,SUMIFS(الإدخال!$O$5:$O$644,الإدخال!$A$5:$A$644,F$5,الإدخال!$D$5:$D$644,$A16)/100,""))))</f>
        <v/>
      </c>
      <c r="G16" s="70" t="str">
        <f>IF($A16="","",IF(COUNTIFS(الإدخال!$A$5:$A$644,G$5,الإدخال!$D$5:$D$644,$A16,الإدخال!$F$5:$F$644,"غائب",الإدخال!$G$5:$G$644,"")&gt;0,"غ",IF(COUNTIFS(الإدخال!$A$5:$A$644,G$5,الإدخال!$D$5:$D$644,$A16,الإدخال!$F$5:$F$644,"معتذر",الإدخال!$G$5:$G$644,"")&gt;0,"ع",IF(SUMIFS(الإدخال!$P$5:$P$644,الإدخال!$A$5:$A$644,G$5,الإدخال!$D$5:$D$644,$A16)&gt;0,SUMIFS(الإدخال!$O$5:$O$644,الإدخال!$A$5:$A$644,G$5,الإدخال!$D$5:$D$644,$A16)/100,""))))</f>
        <v/>
      </c>
      <c r="H16" s="70" t="str">
        <f>IF($A16="","",IF(COUNTIFS(الإدخال!$A$5:$A$644,H$5,الإدخال!$D$5:$D$644,$A16,الإدخال!$F$5:$F$644,"غائب",الإدخال!$G$5:$G$644,"")&gt;0,"غ",IF(COUNTIFS(الإدخال!$A$5:$A$644,H$5,الإدخال!$D$5:$D$644,$A16,الإدخال!$F$5:$F$644,"معتذر",الإدخال!$G$5:$G$644,"")&gt;0,"ع",IF(SUMIFS(الإدخال!$P$5:$P$644,الإدخال!$A$5:$A$644,H$5,الإدخال!$D$5:$D$644,$A16)&gt;0,SUMIFS(الإدخال!$O$5:$O$644,الإدخال!$A$5:$A$644,H$5,الإدخال!$D$5:$D$644,$A16)/100,""))))</f>
        <v/>
      </c>
      <c r="I16" s="70" t="str">
        <f>IF($A16="","",IF(COUNTIFS(الإدخال!$A$5:$A$644,I$5,الإدخال!$D$5:$D$644,$A16,الإدخال!$F$5:$F$644,"غائب",الإدخال!$G$5:$G$644,"")&gt;0,"غ",IF(COUNTIFS(الإدخال!$A$5:$A$644,I$5,الإدخال!$D$5:$D$644,$A16,الإدخال!$F$5:$F$644,"معتذر",الإدخال!$G$5:$G$644,"")&gt;0,"ع",IF(SUMIFS(الإدخال!$P$5:$P$644,الإدخال!$A$5:$A$644,I$5,الإدخال!$D$5:$D$644,$A16)&gt;0,SUMIFS(الإدخال!$O$5:$O$644,الإدخال!$A$5:$A$644,I$5,الإدخال!$D$5:$D$644,$A16)/100,""))))</f>
        <v/>
      </c>
      <c r="J16" s="70" t="str">
        <f>IF($A16="","",IF(COUNTIFS(الإدخال!$A$5:$A$644,J$5,الإدخال!$D$5:$D$644,$A16,الإدخال!$F$5:$F$644,"غائب",الإدخال!$G$5:$G$644,"")&gt;0,"غ",IF(COUNTIFS(الإدخال!$A$5:$A$644,J$5,الإدخال!$D$5:$D$644,$A16,الإدخال!$F$5:$F$644,"معتذر",الإدخال!$G$5:$G$644,"")&gt;0,"ع",IF(SUMIFS(الإدخال!$P$5:$P$644,الإدخال!$A$5:$A$644,J$5,الإدخال!$D$5:$D$644,$A16)&gt;0,SUMIFS(الإدخال!$O$5:$O$644,الإدخال!$A$5:$A$644,J$5,الإدخال!$D$5:$D$644,$A16)/100,""))))</f>
        <v/>
      </c>
      <c r="K16" s="70" t="str">
        <f>IF($A16="","",IF(COUNTIFS(الإدخال!$A$5:$A$644,K$5,الإدخال!$D$5:$D$644,$A16,الإدخال!$F$5:$F$644,"غائب",الإدخال!$G$5:$G$644,"")&gt;0,"غ",IF(COUNTIFS(الإدخال!$A$5:$A$644,K$5,الإدخال!$D$5:$D$644,$A16,الإدخال!$F$5:$F$644,"معتذر",الإدخال!$G$5:$G$644,"")&gt;0,"ع",IF(SUMIFS(الإدخال!$P$5:$P$644,الإدخال!$A$5:$A$644,K$5,الإدخال!$D$5:$D$644,$A16)&gt;0,SUMIFS(الإدخال!$O$5:$O$644,الإدخال!$A$5:$A$644,K$5,الإدخال!$D$5:$D$644,$A16)/100,""))))</f>
        <v/>
      </c>
      <c r="L16" s="70" t="str">
        <f>IF($A16="","",IF(COUNTIFS(الإدخال!$A$5:$A$644,L$5,الإدخال!$D$5:$D$644,$A16,الإدخال!$F$5:$F$644,"غائب",الإدخال!$G$5:$G$644,"")&gt;0,"غ",IF(COUNTIFS(الإدخال!$A$5:$A$644,L$5,الإدخال!$D$5:$D$644,$A16,الإدخال!$F$5:$F$644,"معتذر",الإدخال!$G$5:$G$644,"")&gt;0,"ع",IF(SUMIFS(الإدخال!$P$5:$P$644,الإدخال!$A$5:$A$644,L$5,الإدخال!$D$5:$D$644,$A16)&gt;0,SUMIFS(الإدخال!$O$5:$O$644,الإدخال!$A$5:$A$644,L$5,الإدخال!$D$5:$D$644,$A16)/100,""))))</f>
        <v/>
      </c>
      <c r="M16" s="70" t="str">
        <f>IF($A16="","",IF(COUNTIFS(الإدخال!$A$5:$A$644,M$5,الإدخال!$D$5:$D$644,$A16,الإدخال!$F$5:$F$644,"غائب",الإدخال!$G$5:$G$644,"")&gt;0,"غ",IF(COUNTIFS(الإدخال!$A$5:$A$644,M$5,الإدخال!$D$5:$D$644,$A16,الإدخال!$F$5:$F$644,"معتذر",الإدخال!$G$5:$G$644,"")&gt;0,"ع",IF(SUMIFS(الإدخال!$P$5:$P$644,الإدخال!$A$5:$A$644,M$5,الإدخال!$D$5:$D$644,$A16)&gt;0,SUMIFS(الإدخال!$O$5:$O$644,الإدخال!$A$5:$A$644,M$5,الإدخال!$D$5:$D$644,$A16)/100,""))))</f>
        <v/>
      </c>
      <c r="N16" s="70" t="str">
        <f>IF($A16="","",IF(COUNTIFS(الإدخال!$A$5:$A$644,N$5,الإدخال!$D$5:$D$644,$A16,الإدخال!$F$5:$F$644,"غائب",الإدخال!$G$5:$G$644,"")&gt;0,"غ",IF(COUNTIFS(الإدخال!$A$5:$A$644,N$5,الإدخال!$D$5:$D$644,$A16,الإدخال!$F$5:$F$644,"معتذر",الإدخال!$G$5:$G$644,"")&gt;0,"ع",IF(SUMIFS(الإدخال!$P$5:$P$644,الإدخال!$A$5:$A$644,N$5,الإدخال!$D$5:$D$644,$A16)&gt;0,SUMIFS(الإدخال!$O$5:$O$644,الإدخال!$A$5:$A$644,N$5,الإدخال!$D$5:$D$644,$A16)/100,""))))</f>
        <v/>
      </c>
      <c r="O16" s="70" t="str">
        <f>IF($A16="","",IF(COUNTIFS(الإدخال!$A$5:$A$644,O$5,الإدخال!$D$5:$D$644,$A16,الإدخال!$F$5:$F$644,"غائب",الإدخال!$G$5:$G$644,"")&gt;0,"غ",IF(COUNTIFS(الإدخال!$A$5:$A$644,O$5,الإدخال!$D$5:$D$644,$A16,الإدخال!$F$5:$F$644,"معتذر",الإدخال!$G$5:$G$644,"")&gt;0,"ع",IF(SUMIFS(الإدخال!$P$5:$P$644,الإدخال!$A$5:$A$644,O$5,الإدخال!$D$5:$D$644,$A16)&gt;0,SUMIFS(الإدخال!$O$5:$O$644,الإدخال!$A$5:$A$644,O$5,الإدخال!$D$5:$D$644,$A16)/100,""))))</f>
        <v/>
      </c>
      <c r="P16" s="70" t="str">
        <f>IF($A16="","",IF(COUNTIFS(الإدخال!$A$5:$A$644,P$5,الإدخال!$D$5:$D$644,$A16,الإدخال!$F$5:$F$644,"غائب",الإدخال!$G$5:$G$644,"")&gt;0,"غ",IF(COUNTIFS(الإدخال!$A$5:$A$644,P$5,الإدخال!$D$5:$D$644,$A16,الإدخال!$F$5:$F$644,"معتذر",الإدخال!$G$5:$G$644,"")&gt;0,"ع",IF(SUMIFS(الإدخال!$P$5:$P$644,الإدخال!$A$5:$A$644,P$5,الإدخال!$D$5:$D$644,$A16)&gt;0,SUMIFS(الإدخال!$O$5:$O$644,الإدخال!$A$5:$A$644,P$5,الإدخال!$D$5:$D$644,$A16)/100,""))))</f>
        <v/>
      </c>
      <c r="Q16" s="70" t="str">
        <f>IF($A16="","",IF(COUNTIFS(الإدخال!$A$5:$A$644,Q$5,الإدخال!$D$5:$D$644,$A16,الإدخال!$F$5:$F$644,"غائب",الإدخال!$G$5:$G$644,"")&gt;0,"غ",IF(COUNTIFS(الإدخال!$A$5:$A$644,Q$5,الإدخال!$D$5:$D$644,$A16,الإدخال!$F$5:$F$644,"معتذر",الإدخال!$G$5:$G$644,"")&gt;0,"ع",IF(SUMIFS(الإدخال!$P$5:$P$644,الإدخال!$A$5:$A$644,Q$5,الإدخال!$D$5:$D$644,$A16)&gt;0,SUMIFS(الإدخال!$O$5:$O$644,الإدخال!$A$5:$A$644,Q$5,الإدخال!$D$5:$D$644,$A16)/100,""))))</f>
        <v/>
      </c>
      <c r="R16" s="70" t="str">
        <f>IF($A16="","",IF(COUNTIFS(الإدخال!$A$5:$A$644,R$5,الإدخال!$D$5:$D$644,$A16,الإدخال!$F$5:$F$644,"غائب",الإدخال!$G$5:$G$644,"")&gt;0,"غ",IF(COUNTIFS(الإدخال!$A$5:$A$644,R$5,الإدخال!$D$5:$D$644,$A16,الإدخال!$F$5:$F$644,"معتذر",الإدخال!$G$5:$G$644,"")&gt;0,"ع",IF(SUMIFS(الإدخال!$P$5:$P$644,الإدخال!$A$5:$A$644,R$5,الإدخال!$D$5:$D$644,$A16)&gt;0,SUMIFS(الإدخال!$O$5:$O$644,الإدخال!$A$5:$A$644,R$5,الإدخال!$D$5:$D$644,$A16)/100,""))))</f>
        <v/>
      </c>
      <c r="S16" s="70" t="str">
        <f>IF($A16="","",IF(COUNTIFS(الإدخال!$A$5:$A$644,S$5,الإدخال!$D$5:$D$644,$A16,الإدخال!$F$5:$F$644,"غائب",الإدخال!$G$5:$G$644,"")&gt;0,"غ",IF(COUNTIFS(الإدخال!$A$5:$A$644,S$5,الإدخال!$D$5:$D$644,$A16,الإدخال!$F$5:$F$644,"معتذر",الإدخال!$G$5:$G$644,"")&gt;0,"ع",IF(SUMIFS(الإدخال!$P$5:$P$644,الإدخال!$A$5:$A$644,S$5,الإدخال!$D$5:$D$644,$A16)&gt;0,SUMIFS(الإدخال!$O$5:$O$644,الإدخال!$A$5:$A$644,S$5,الإدخال!$D$5:$D$644,$A16)/100,""))))</f>
        <v/>
      </c>
      <c r="T16" s="71">
        <f>IF($A16="","",IFERROR(SUMIFS(الإدخال!$O$5:$O$644,الإدخال!$D$5:$D$644,$A16)/SUMIFS(الإدخال!$P$5:$P$644,الإدخال!$D$5:$D$644,$A16)/100,""))</f>
        <v>0.92</v>
      </c>
      <c r="U16" s="72" t="str">
        <f t="shared" si="0"/>
        <v>ممتاز</v>
      </c>
      <c r="V16" s="72">
        <f>IF($A16="","",SUMIFS(الإدخال!$N$5:$N$644,الإدخال!$D$5:$D$644,$A16))</f>
        <v>2</v>
      </c>
      <c r="W16" s="73">
        <f>IF($A16="","",COUNTIFS(الإدخال!$D$5:$D$644,$A16,الإدخال!$F$5:$F$644,"متأخر"))</f>
        <v>0</v>
      </c>
      <c r="X16" s="73">
        <f>IF($A16="","",COUNTIFS(الإدخال!$D$5:$D$644,$A16,الإدخال!$F$5:$F$644,"غائب"))</f>
        <v>0</v>
      </c>
      <c r="Y16" s="73">
        <f>IF($A16="","",COUNTIFS(الإدخال!$D$5:$D$644,$A16,الإدخال!$F$5:$F$644,"معتذر"))</f>
        <v>0</v>
      </c>
      <c r="Z16" s="73">
        <f>IF($A16="","",SUMIFS(الإدخال!$H$5:$H$644,الإدخال!$D$5:$D$644,$A16,الإدخال!$N$5:$N$644,1))</f>
        <v>3</v>
      </c>
      <c r="AA16" s="73">
        <f>IF($A16="","",SUMIFS(الإدخال!$I$5:$I$644,الإدخال!$D$5:$D$644,$A16,الإدخال!$N$5:$N$644,1))</f>
        <v>57</v>
      </c>
      <c r="AB16" s="73">
        <f>IF($A16="","",SUMIFS(الإدخال!$J$5:$J$644,الإدخال!$D$5:$D$644,$A16,الإدخال!$N$5:$N$644,1))</f>
        <v>0</v>
      </c>
      <c r="AC16" s="36">
        <f>IFERROR(MATCH($C$3&amp;"|11",الطلاب!$E$5:$E$44,0),"")</f>
        <v>11</v>
      </c>
    </row>
    <row r="17" spans="1:29">
      <c r="A17" s="18">
        <f>IF($AC17="","",INDEX(الطلاب!$A$5:$A$44,$AC17))</f>
        <v>12</v>
      </c>
      <c r="B17" s="68" t="str">
        <f>IF($AC17="","",INDEX(الطلاب!$B$5:$B$44,$AC17))</f>
        <v xml:space="preserve">عبدالمجيد الربعي </v>
      </c>
      <c r="C17" s="69" t="str">
        <f>IF($AC17="","",INDEX(الطلاب!$D$5:$D$44,$AC17))</f>
        <v xml:space="preserve">حسان بن ثابت </v>
      </c>
      <c r="D17" s="70">
        <f>IF($A17="","",IF(COUNTIFS(الإدخال!$A$5:$A$644,D$5,الإدخال!$D$5:$D$644,$A17,الإدخال!$F$5:$F$644,"غائب",الإدخال!$G$5:$G$644,"")&gt;0,"غ",IF(COUNTIFS(الإدخال!$A$5:$A$644,D$5,الإدخال!$D$5:$D$644,$A17,الإدخال!$F$5:$F$644,"معتذر",الإدخال!$G$5:$G$644,"")&gt;0,"ع",IF(SUMIFS(الإدخال!$P$5:$P$644,الإدخال!$A$5:$A$644,D$5,الإدخال!$D$5:$D$644,$A17)&gt;0,SUMIFS(الإدخال!$O$5:$O$644,الإدخال!$A$5:$A$644,D$5,الإدخال!$D$5:$D$644,$A17)/100,""))))</f>
        <v>0.54</v>
      </c>
      <c r="E17" s="70">
        <f>IF($A17="","",IF(COUNTIFS(الإدخال!$A$5:$A$644,E$5,الإدخال!$D$5:$D$644,$A17,الإدخال!$F$5:$F$644,"غائب",الإدخال!$G$5:$G$644,"")&gt;0,"غ",IF(COUNTIFS(الإدخال!$A$5:$A$644,E$5,الإدخال!$D$5:$D$644,$A17,الإدخال!$F$5:$F$644,"معتذر",الإدخال!$G$5:$G$644,"")&gt;0,"ع",IF(SUMIFS(الإدخال!$P$5:$P$644,الإدخال!$A$5:$A$644,E$5,الإدخال!$D$5:$D$644,$A17)&gt;0,SUMIFS(الإدخال!$O$5:$O$644,الإدخال!$A$5:$A$644,E$5,الإدخال!$D$5:$D$644,$A17)/100,""))))</f>
        <v>0.7</v>
      </c>
      <c r="F17" s="70" t="str">
        <f>IF($A17="","",IF(COUNTIFS(الإدخال!$A$5:$A$644,F$5,الإدخال!$D$5:$D$644,$A17,الإدخال!$F$5:$F$644,"غائب",الإدخال!$G$5:$G$644,"")&gt;0,"غ",IF(COUNTIFS(الإدخال!$A$5:$A$644,F$5,الإدخال!$D$5:$D$644,$A17,الإدخال!$F$5:$F$644,"معتذر",الإدخال!$G$5:$G$644,"")&gt;0,"ع",IF(SUMIFS(الإدخال!$P$5:$P$644,الإدخال!$A$5:$A$644,F$5,الإدخال!$D$5:$D$644,$A17)&gt;0,SUMIFS(الإدخال!$O$5:$O$644,الإدخال!$A$5:$A$644,F$5,الإدخال!$D$5:$D$644,$A17)/100,""))))</f>
        <v/>
      </c>
      <c r="G17" s="70" t="str">
        <f>IF($A17="","",IF(COUNTIFS(الإدخال!$A$5:$A$644,G$5,الإدخال!$D$5:$D$644,$A17,الإدخال!$F$5:$F$644,"غائب",الإدخال!$G$5:$G$644,"")&gt;0,"غ",IF(COUNTIFS(الإدخال!$A$5:$A$644,G$5,الإدخال!$D$5:$D$644,$A17,الإدخال!$F$5:$F$644,"معتذر",الإدخال!$G$5:$G$644,"")&gt;0,"ع",IF(SUMIFS(الإدخال!$P$5:$P$644,الإدخال!$A$5:$A$644,G$5,الإدخال!$D$5:$D$644,$A17)&gt;0,SUMIFS(الإدخال!$O$5:$O$644,الإدخال!$A$5:$A$644,G$5,الإدخال!$D$5:$D$644,$A17)/100,""))))</f>
        <v/>
      </c>
      <c r="H17" s="70" t="str">
        <f>IF($A17="","",IF(COUNTIFS(الإدخال!$A$5:$A$644,H$5,الإدخال!$D$5:$D$644,$A17,الإدخال!$F$5:$F$644,"غائب",الإدخال!$G$5:$G$644,"")&gt;0,"غ",IF(COUNTIFS(الإدخال!$A$5:$A$644,H$5,الإدخال!$D$5:$D$644,$A17,الإدخال!$F$5:$F$644,"معتذر",الإدخال!$G$5:$G$644,"")&gt;0,"ع",IF(SUMIFS(الإدخال!$P$5:$P$644,الإدخال!$A$5:$A$644,H$5,الإدخال!$D$5:$D$644,$A17)&gt;0,SUMIFS(الإدخال!$O$5:$O$644,الإدخال!$A$5:$A$644,H$5,الإدخال!$D$5:$D$644,$A17)/100,""))))</f>
        <v/>
      </c>
      <c r="I17" s="70" t="str">
        <f>IF($A17="","",IF(COUNTIFS(الإدخال!$A$5:$A$644,I$5,الإدخال!$D$5:$D$644,$A17,الإدخال!$F$5:$F$644,"غائب",الإدخال!$G$5:$G$644,"")&gt;0,"غ",IF(COUNTIFS(الإدخال!$A$5:$A$644,I$5,الإدخال!$D$5:$D$644,$A17,الإدخال!$F$5:$F$644,"معتذر",الإدخال!$G$5:$G$644,"")&gt;0,"ع",IF(SUMIFS(الإدخال!$P$5:$P$644,الإدخال!$A$5:$A$644,I$5,الإدخال!$D$5:$D$644,$A17)&gt;0,SUMIFS(الإدخال!$O$5:$O$644,الإدخال!$A$5:$A$644,I$5,الإدخال!$D$5:$D$644,$A17)/100,""))))</f>
        <v/>
      </c>
      <c r="J17" s="70" t="str">
        <f>IF($A17="","",IF(COUNTIFS(الإدخال!$A$5:$A$644,J$5,الإدخال!$D$5:$D$644,$A17,الإدخال!$F$5:$F$644,"غائب",الإدخال!$G$5:$G$644,"")&gt;0,"غ",IF(COUNTIFS(الإدخال!$A$5:$A$644,J$5,الإدخال!$D$5:$D$644,$A17,الإدخال!$F$5:$F$644,"معتذر",الإدخال!$G$5:$G$644,"")&gt;0,"ع",IF(SUMIFS(الإدخال!$P$5:$P$644,الإدخال!$A$5:$A$644,J$5,الإدخال!$D$5:$D$644,$A17)&gt;0,SUMIFS(الإدخال!$O$5:$O$644,الإدخال!$A$5:$A$644,J$5,الإدخال!$D$5:$D$644,$A17)/100,""))))</f>
        <v/>
      </c>
      <c r="K17" s="70" t="str">
        <f>IF($A17="","",IF(COUNTIFS(الإدخال!$A$5:$A$644,K$5,الإدخال!$D$5:$D$644,$A17,الإدخال!$F$5:$F$644,"غائب",الإدخال!$G$5:$G$644,"")&gt;0,"غ",IF(COUNTIFS(الإدخال!$A$5:$A$644,K$5,الإدخال!$D$5:$D$644,$A17,الإدخال!$F$5:$F$644,"معتذر",الإدخال!$G$5:$G$644,"")&gt;0,"ع",IF(SUMIFS(الإدخال!$P$5:$P$644,الإدخال!$A$5:$A$644,K$5,الإدخال!$D$5:$D$644,$A17)&gt;0,SUMIFS(الإدخال!$O$5:$O$644,الإدخال!$A$5:$A$644,K$5,الإدخال!$D$5:$D$644,$A17)/100,""))))</f>
        <v/>
      </c>
      <c r="L17" s="70" t="str">
        <f>IF($A17="","",IF(COUNTIFS(الإدخال!$A$5:$A$644,L$5,الإدخال!$D$5:$D$644,$A17,الإدخال!$F$5:$F$644,"غائب",الإدخال!$G$5:$G$644,"")&gt;0,"غ",IF(COUNTIFS(الإدخال!$A$5:$A$644,L$5,الإدخال!$D$5:$D$644,$A17,الإدخال!$F$5:$F$644,"معتذر",الإدخال!$G$5:$G$644,"")&gt;0,"ع",IF(SUMIFS(الإدخال!$P$5:$P$644,الإدخال!$A$5:$A$644,L$5,الإدخال!$D$5:$D$644,$A17)&gt;0,SUMIFS(الإدخال!$O$5:$O$644,الإدخال!$A$5:$A$644,L$5,الإدخال!$D$5:$D$644,$A17)/100,""))))</f>
        <v/>
      </c>
      <c r="M17" s="70" t="str">
        <f>IF($A17="","",IF(COUNTIFS(الإدخال!$A$5:$A$644,M$5,الإدخال!$D$5:$D$644,$A17,الإدخال!$F$5:$F$644,"غائب",الإدخال!$G$5:$G$644,"")&gt;0,"غ",IF(COUNTIFS(الإدخال!$A$5:$A$644,M$5,الإدخال!$D$5:$D$644,$A17,الإدخال!$F$5:$F$644,"معتذر",الإدخال!$G$5:$G$644,"")&gt;0,"ع",IF(SUMIFS(الإدخال!$P$5:$P$644,الإدخال!$A$5:$A$644,M$5,الإدخال!$D$5:$D$644,$A17)&gt;0,SUMIFS(الإدخال!$O$5:$O$644,الإدخال!$A$5:$A$644,M$5,الإدخال!$D$5:$D$644,$A17)/100,""))))</f>
        <v/>
      </c>
      <c r="N17" s="70" t="str">
        <f>IF($A17="","",IF(COUNTIFS(الإدخال!$A$5:$A$644,N$5,الإدخال!$D$5:$D$644,$A17,الإدخال!$F$5:$F$644,"غائب",الإدخال!$G$5:$G$644,"")&gt;0,"غ",IF(COUNTIFS(الإدخال!$A$5:$A$644,N$5,الإدخال!$D$5:$D$644,$A17,الإدخال!$F$5:$F$644,"معتذر",الإدخال!$G$5:$G$644,"")&gt;0,"ع",IF(SUMIFS(الإدخال!$P$5:$P$644,الإدخال!$A$5:$A$644,N$5,الإدخال!$D$5:$D$644,$A17)&gt;0,SUMIFS(الإدخال!$O$5:$O$644,الإدخال!$A$5:$A$644,N$5,الإدخال!$D$5:$D$644,$A17)/100,""))))</f>
        <v/>
      </c>
      <c r="O17" s="70" t="str">
        <f>IF($A17="","",IF(COUNTIFS(الإدخال!$A$5:$A$644,O$5,الإدخال!$D$5:$D$644,$A17,الإدخال!$F$5:$F$644,"غائب",الإدخال!$G$5:$G$644,"")&gt;0,"غ",IF(COUNTIFS(الإدخال!$A$5:$A$644,O$5,الإدخال!$D$5:$D$644,$A17,الإدخال!$F$5:$F$644,"معتذر",الإدخال!$G$5:$G$644,"")&gt;0,"ع",IF(SUMIFS(الإدخال!$P$5:$P$644,الإدخال!$A$5:$A$644,O$5,الإدخال!$D$5:$D$644,$A17)&gt;0,SUMIFS(الإدخال!$O$5:$O$644,الإدخال!$A$5:$A$644,O$5,الإدخال!$D$5:$D$644,$A17)/100,""))))</f>
        <v/>
      </c>
      <c r="P17" s="70" t="str">
        <f>IF($A17="","",IF(COUNTIFS(الإدخال!$A$5:$A$644,P$5,الإدخال!$D$5:$D$644,$A17,الإدخال!$F$5:$F$644,"غائب",الإدخال!$G$5:$G$644,"")&gt;0,"غ",IF(COUNTIFS(الإدخال!$A$5:$A$644,P$5,الإدخال!$D$5:$D$644,$A17,الإدخال!$F$5:$F$644,"معتذر",الإدخال!$G$5:$G$644,"")&gt;0,"ع",IF(SUMIFS(الإدخال!$P$5:$P$644,الإدخال!$A$5:$A$644,P$5,الإدخال!$D$5:$D$644,$A17)&gt;0,SUMIFS(الإدخال!$O$5:$O$644,الإدخال!$A$5:$A$644,P$5,الإدخال!$D$5:$D$644,$A17)/100,""))))</f>
        <v/>
      </c>
      <c r="Q17" s="70" t="str">
        <f>IF($A17="","",IF(COUNTIFS(الإدخال!$A$5:$A$644,Q$5,الإدخال!$D$5:$D$644,$A17,الإدخال!$F$5:$F$644,"غائب",الإدخال!$G$5:$G$644,"")&gt;0,"غ",IF(COUNTIFS(الإدخال!$A$5:$A$644,Q$5,الإدخال!$D$5:$D$644,$A17,الإدخال!$F$5:$F$644,"معتذر",الإدخال!$G$5:$G$644,"")&gt;0,"ع",IF(SUMIFS(الإدخال!$P$5:$P$644,الإدخال!$A$5:$A$644,Q$5,الإدخال!$D$5:$D$644,$A17)&gt;0,SUMIFS(الإدخال!$O$5:$O$644,الإدخال!$A$5:$A$644,Q$5,الإدخال!$D$5:$D$644,$A17)/100,""))))</f>
        <v/>
      </c>
      <c r="R17" s="70" t="str">
        <f>IF($A17="","",IF(COUNTIFS(الإدخال!$A$5:$A$644,R$5,الإدخال!$D$5:$D$644,$A17,الإدخال!$F$5:$F$644,"غائب",الإدخال!$G$5:$G$644,"")&gt;0,"غ",IF(COUNTIFS(الإدخال!$A$5:$A$644,R$5,الإدخال!$D$5:$D$644,$A17,الإدخال!$F$5:$F$644,"معتذر",الإدخال!$G$5:$G$644,"")&gt;0,"ع",IF(SUMIFS(الإدخال!$P$5:$P$644,الإدخال!$A$5:$A$644,R$5,الإدخال!$D$5:$D$644,$A17)&gt;0,SUMIFS(الإدخال!$O$5:$O$644,الإدخال!$A$5:$A$644,R$5,الإدخال!$D$5:$D$644,$A17)/100,""))))</f>
        <v/>
      </c>
      <c r="S17" s="70" t="str">
        <f>IF($A17="","",IF(COUNTIFS(الإدخال!$A$5:$A$644,S$5,الإدخال!$D$5:$D$644,$A17,الإدخال!$F$5:$F$644,"غائب",الإدخال!$G$5:$G$644,"")&gt;0,"غ",IF(COUNTIFS(الإدخال!$A$5:$A$644,S$5,الإدخال!$D$5:$D$644,$A17,الإدخال!$F$5:$F$644,"معتذر",الإدخال!$G$5:$G$644,"")&gt;0,"ع",IF(SUMIFS(الإدخال!$P$5:$P$644,الإدخال!$A$5:$A$644,S$5,الإدخال!$D$5:$D$644,$A17)&gt;0,SUMIFS(الإدخال!$O$5:$O$644,الإدخال!$A$5:$A$644,S$5,الإدخال!$D$5:$D$644,$A17)/100,""))))</f>
        <v/>
      </c>
      <c r="T17" s="71">
        <f>IF($A17="","",IFERROR(SUMIFS(الإدخال!$O$5:$O$644,الإدخال!$D$5:$D$644,$A17)/SUMIFS(الإدخال!$P$5:$P$644,الإدخال!$D$5:$D$644,$A17)/100,""))</f>
        <v>0.62</v>
      </c>
      <c r="U17" s="72" t="str">
        <f t="shared" si="0"/>
        <v>مقبول</v>
      </c>
      <c r="V17" s="72">
        <f>IF($A17="","",SUMIFS(الإدخال!$N$5:$N$644,الإدخال!$D$5:$D$644,$A17))</f>
        <v>2</v>
      </c>
      <c r="W17" s="73">
        <f>IF($A17="","",COUNTIFS(الإدخال!$D$5:$D$644,$A17,الإدخال!$F$5:$F$644,"متأخر"))</f>
        <v>0</v>
      </c>
      <c r="X17" s="73">
        <f>IF($A17="","",COUNTIFS(الإدخال!$D$5:$D$644,$A17,الإدخال!$F$5:$F$644,"غائب"))</f>
        <v>0</v>
      </c>
      <c r="Y17" s="73">
        <f>IF($A17="","",COUNTIFS(الإدخال!$D$5:$D$644,$A17,الإدخال!$F$5:$F$644,"معتذر"))</f>
        <v>0</v>
      </c>
      <c r="Z17" s="73">
        <f>IF($A17="","",SUMIFS(الإدخال!$H$5:$H$644,الإدخال!$D$5:$D$644,$A17,الإدخال!$N$5:$N$644,1))</f>
        <v>5</v>
      </c>
      <c r="AA17" s="73">
        <f>IF($A17="","",SUMIFS(الإدخال!$I$5:$I$644,الإدخال!$D$5:$D$644,$A17,الإدخال!$N$5:$N$644,1))</f>
        <v>80</v>
      </c>
      <c r="AB17" s="73">
        <f>IF($A17="","",SUMIFS(الإدخال!$J$5:$J$644,الإدخال!$D$5:$D$644,$A17,الإدخال!$N$5:$N$644,1))</f>
        <v>0</v>
      </c>
      <c r="AC17" s="36">
        <f>IFERROR(MATCH($C$3&amp;"|12",الطلاب!$E$5:$E$44,0),"")</f>
        <v>12</v>
      </c>
    </row>
    <row r="18" spans="1:29">
      <c r="A18" s="18">
        <f>IF($AC18="","",INDEX(الطلاب!$A$5:$A$44,$AC18))</f>
        <v>13</v>
      </c>
      <c r="B18" s="68" t="str">
        <f>IF($AC18="","",INDEX(الطلاب!$B$5:$B$44,$AC18))</f>
        <v xml:space="preserve">عبدالله التويجري </v>
      </c>
      <c r="C18" s="69" t="str">
        <f>IF($AC18="","",INDEX(الطلاب!$D$5:$D$44,$AC18))</f>
        <v xml:space="preserve">حسان بن ثابت </v>
      </c>
      <c r="D18" s="70">
        <f>IF($A18="","",IF(COUNTIFS(الإدخال!$A$5:$A$644,D$5,الإدخال!$D$5:$D$644,$A18,الإدخال!$F$5:$F$644,"غائب",الإدخال!$G$5:$G$644,"")&gt;0,"غ",IF(COUNTIFS(الإدخال!$A$5:$A$644,D$5,الإدخال!$D$5:$D$644,$A18,الإدخال!$F$5:$F$644,"معتذر",الإدخال!$G$5:$G$644,"")&gt;0,"ع",IF(SUMIFS(الإدخال!$P$5:$P$644,الإدخال!$A$5:$A$644,D$5,الإدخال!$D$5:$D$644,$A18)&gt;0,SUMIFS(الإدخال!$O$5:$O$644,الإدخال!$A$5:$A$644,D$5,الإدخال!$D$5:$D$644,$A18)/100,""))))</f>
        <v>0.71</v>
      </c>
      <c r="E18" s="70">
        <f>IF($A18="","",IF(COUNTIFS(الإدخال!$A$5:$A$644,E$5,الإدخال!$D$5:$D$644,$A18,الإدخال!$F$5:$F$644,"غائب",الإدخال!$G$5:$G$644,"")&gt;0,"غ",IF(COUNTIFS(الإدخال!$A$5:$A$644,E$5,الإدخال!$D$5:$D$644,$A18,الإدخال!$F$5:$F$644,"معتذر",الإدخال!$G$5:$G$644,"")&gt;0,"ع",IF(SUMIFS(الإدخال!$P$5:$P$644,الإدخال!$A$5:$A$644,E$5,الإدخال!$D$5:$D$644,$A18)&gt;0,SUMIFS(الإدخال!$O$5:$O$644,الإدخال!$A$5:$A$644,E$5,الإدخال!$D$5:$D$644,$A18)/100,""))))</f>
        <v>0.15</v>
      </c>
      <c r="F18" s="70" t="str">
        <f>IF($A18="","",IF(COUNTIFS(الإدخال!$A$5:$A$644,F$5,الإدخال!$D$5:$D$644,$A18,الإدخال!$F$5:$F$644,"غائب",الإدخال!$G$5:$G$644,"")&gt;0,"غ",IF(COUNTIFS(الإدخال!$A$5:$A$644,F$5,الإدخال!$D$5:$D$644,$A18,الإدخال!$F$5:$F$644,"معتذر",الإدخال!$G$5:$G$644,"")&gt;0,"ع",IF(SUMIFS(الإدخال!$P$5:$P$644,الإدخال!$A$5:$A$644,F$5,الإدخال!$D$5:$D$644,$A18)&gt;0,SUMIFS(الإدخال!$O$5:$O$644,الإدخال!$A$5:$A$644,F$5,الإدخال!$D$5:$D$644,$A18)/100,""))))</f>
        <v/>
      </c>
      <c r="G18" s="70" t="str">
        <f>IF($A18="","",IF(COUNTIFS(الإدخال!$A$5:$A$644,G$5,الإدخال!$D$5:$D$644,$A18,الإدخال!$F$5:$F$644,"غائب",الإدخال!$G$5:$G$644,"")&gt;0,"غ",IF(COUNTIFS(الإدخال!$A$5:$A$644,G$5,الإدخال!$D$5:$D$644,$A18,الإدخال!$F$5:$F$644,"معتذر",الإدخال!$G$5:$G$644,"")&gt;0,"ع",IF(SUMIFS(الإدخال!$P$5:$P$644,الإدخال!$A$5:$A$644,G$5,الإدخال!$D$5:$D$644,$A18)&gt;0,SUMIFS(الإدخال!$O$5:$O$644,الإدخال!$A$5:$A$644,G$5,الإدخال!$D$5:$D$644,$A18)/100,""))))</f>
        <v/>
      </c>
      <c r="H18" s="70" t="str">
        <f>IF($A18="","",IF(COUNTIFS(الإدخال!$A$5:$A$644,H$5,الإدخال!$D$5:$D$644,$A18,الإدخال!$F$5:$F$644,"غائب",الإدخال!$G$5:$G$644,"")&gt;0,"غ",IF(COUNTIFS(الإدخال!$A$5:$A$644,H$5,الإدخال!$D$5:$D$644,$A18,الإدخال!$F$5:$F$644,"معتذر",الإدخال!$G$5:$G$644,"")&gt;0,"ع",IF(SUMIFS(الإدخال!$P$5:$P$644,الإدخال!$A$5:$A$644,H$5,الإدخال!$D$5:$D$644,$A18)&gt;0,SUMIFS(الإدخال!$O$5:$O$644,الإدخال!$A$5:$A$644,H$5,الإدخال!$D$5:$D$644,$A18)/100,""))))</f>
        <v/>
      </c>
      <c r="I18" s="70" t="str">
        <f>IF($A18="","",IF(COUNTIFS(الإدخال!$A$5:$A$644,I$5,الإدخال!$D$5:$D$644,$A18,الإدخال!$F$5:$F$644,"غائب",الإدخال!$G$5:$G$644,"")&gt;0,"غ",IF(COUNTIFS(الإدخال!$A$5:$A$644,I$5,الإدخال!$D$5:$D$644,$A18,الإدخال!$F$5:$F$644,"معتذر",الإدخال!$G$5:$G$644,"")&gt;0,"ع",IF(SUMIFS(الإدخال!$P$5:$P$644,الإدخال!$A$5:$A$644,I$5,الإدخال!$D$5:$D$644,$A18)&gt;0,SUMIFS(الإدخال!$O$5:$O$644,الإدخال!$A$5:$A$644,I$5,الإدخال!$D$5:$D$644,$A18)/100,""))))</f>
        <v/>
      </c>
      <c r="J18" s="70" t="str">
        <f>IF($A18="","",IF(COUNTIFS(الإدخال!$A$5:$A$644,J$5,الإدخال!$D$5:$D$644,$A18,الإدخال!$F$5:$F$644,"غائب",الإدخال!$G$5:$G$644,"")&gt;0,"غ",IF(COUNTIFS(الإدخال!$A$5:$A$644,J$5,الإدخال!$D$5:$D$644,$A18,الإدخال!$F$5:$F$644,"معتذر",الإدخال!$G$5:$G$644,"")&gt;0,"ع",IF(SUMIFS(الإدخال!$P$5:$P$644,الإدخال!$A$5:$A$644,J$5,الإدخال!$D$5:$D$644,$A18)&gt;0,SUMIFS(الإدخال!$O$5:$O$644,الإدخال!$A$5:$A$644,J$5,الإدخال!$D$5:$D$644,$A18)/100,""))))</f>
        <v/>
      </c>
      <c r="K18" s="70" t="str">
        <f>IF($A18="","",IF(COUNTIFS(الإدخال!$A$5:$A$644,K$5,الإدخال!$D$5:$D$644,$A18,الإدخال!$F$5:$F$644,"غائب",الإدخال!$G$5:$G$644,"")&gt;0,"غ",IF(COUNTIFS(الإدخال!$A$5:$A$644,K$5,الإدخال!$D$5:$D$644,$A18,الإدخال!$F$5:$F$644,"معتذر",الإدخال!$G$5:$G$644,"")&gt;0,"ع",IF(SUMIFS(الإدخال!$P$5:$P$644,الإدخال!$A$5:$A$644,K$5,الإدخال!$D$5:$D$644,$A18)&gt;0,SUMIFS(الإدخال!$O$5:$O$644,الإدخال!$A$5:$A$644,K$5,الإدخال!$D$5:$D$644,$A18)/100,""))))</f>
        <v/>
      </c>
      <c r="L18" s="70" t="str">
        <f>IF($A18="","",IF(COUNTIFS(الإدخال!$A$5:$A$644,L$5,الإدخال!$D$5:$D$644,$A18,الإدخال!$F$5:$F$644,"غائب",الإدخال!$G$5:$G$644,"")&gt;0,"غ",IF(COUNTIFS(الإدخال!$A$5:$A$644,L$5,الإدخال!$D$5:$D$644,$A18,الإدخال!$F$5:$F$644,"معتذر",الإدخال!$G$5:$G$644,"")&gt;0,"ع",IF(SUMIFS(الإدخال!$P$5:$P$644,الإدخال!$A$5:$A$644,L$5,الإدخال!$D$5:$D$644,$A18)&gt;0,SUMIFS(الإدخال!$O$5:$O$644,الإدخال!$A$5:$A$644,L$5,الإدخال!$D$5:$D$644,$A18)/100,""))))</f>
        <v/>
      </c>
      <c r="M18" s="70" t="str">
        <f>IF($A18="","",IF(COUNTIFS(الإدخال!$A$5:$A$644,M$5,الإدخال!$D$5:$D$644,$A18,الإدخال!$F$5:$F$644,"غائب",الإدخال!$G$5:$G$644,"")&gt;0,"غ",IF(COUNTIFS(الإدخال!$A$5:$A$644,M$5,الإدخال!$D$5:$D$644,$A18,الإدخال!$F$5:$F$644,"معتذر",الإدخال!$G$5:$G$644,"")&gt;0,"ع",IF(SUMIFS(الإدخال!$P$5:$P$644,الإدخال!$A$5:$A$644,M$5,الإدخال!$D$5:$D$644,$A18)&gt;0,SUMIFS(الإدخال!$O$5:$O$644,الإدخال!$A$5:$A$644,M$5,الإدخال!$D$5:$D$644,$A18)/100,""))))</f>
        <v/>
      </c>
      <c r="N18" s="70" t="str">
        <f>IF($A18="","",IF(COUNTIFS(الإدخال!$A$5:$A$644,N$5,الإدخال!$D$5:$D$644,$A18,الإدخال!$F$5:$F$644,"غائب",الإدخال!$G$5:$G$644,"")&gt;0,"غ",IF(COUNTIFS(الإدخال!$A$5:$A$644,N$5,الإدخال!$D$5:$D$644,$A18,الإدخال!$F$5:$F$644,"معتذر",الإدخال!$G$5:$G$644,"")&gt;0,"ع",IF(SUMIFS(الإدخال!$P$5:$P$644,الإدخال!$A$5:$A$644,N$5,الإدخال!$D$5:$D$644,$A18)&gt;0,SUMIFS(الإدخال!$O$5:$O$644,الإدخال!$A$5:$A$644,N$5,الإدخال!$D$5:$D$644,$A18)/100,""))))</f>
        <v/>
      </c>
      <c r="O18" s="70" t="str">
        <f>IF($A18="","",IF(COUNTIFS(الإدخال!$A$5:$A$644,O$5,الإدخال!$D$5:$D$644,$A18,الإدخال!$F$5:$F$644,"غائب",الإدخال!$G$5:$G$644,"")&gt;0,"غ",IF(COUNTIFS(الإدخال!$A$5:$A$644,O$5,الإدخال!$D$5:$D$644,$A18,الإدخال!$F$5:$F$644,"معتذر",الإدخال!$G$5:$G$644,"")&gt;0,"ع",IF(SUMIFS(الإدخال!$P$5:$P$644,الإدخال!$A$5:$A$644,O$5,الإدخال!$D$5:$D$644,$A18)&gt;0,SUMIFS(الإدخال!$O$5:$O$644,الإدخال!$A$5:$A$644,O$5,الإدخال!$D$5:$D$644,$A18)/100,""))))</f>
        <v/>
      </c>
      <c r="P18" s="70" t="str">
        <f>IF($A18="","",IF(COUNTIFS(الإدخال!$A$5:$A$644,P$5,الإدخال!$D$5:$D$644,$A18,الإدخال!$F$5:$F$644,"غائب",الإدخال!$G$5:$G$644,"")&gt;0,"غ",IF(COUNTIFS(الإدخال!$A$5:$A$644,P$5,الإدخال!$D$5:$D$644,$A18,الإدخال!$F$5:$F$644,"معتذر",الإدخال!$G$5:$G$644,"")&gt;0,"ع",IF(SUMIFS(الإدخال!$P$5:$P$644,الإدخال!$A$5:$A$644,P$5,الإدخال!$D$5:$D$644,$A18)&gt;0,SUMIFS(الإدخال!$O$5:$O$644,الإدخال!$A$5:$A$644,P$5,الإدخال!$D$5:$D$644,$A18)/100,""))))</f>
        <v/>
      </c>
      <c r="Q18" s="70" t="str">
        <f>IF($A18="","",IF(COUNTIFS(الإدخال!$A$5:$A$644,Q$5,الإدخال!$D$5:$D$644,$A18,الإدخال!$F$5:$F$644,"غائب",الإدخال!$G$5:$G$644,"")&gt;0,"غ",IF(COUNTIFS(الإدخال!$A$5:$A$644,Q$5,الإدخال!$D$5:$D$644,$A18,الإدخال!$F$5:$F$644,"معتذر",الإدخال!$G$5:$G$644,"")&gt;0,"ع",IF(SUMIFS(الإدخال!$P$5:$P$644,الإدخال!$A$5:$A$644,Q$5,الإدخال!$D$5:$D$644,$A18)&gt;0,SUMIFS(الإدخال!$O$5:$O$644,الإدخال!$A$5:$A$644,Q$5,الإدخال!$D$5:$D$644,$A18)/100,""))))</f>
        <v/>
      </c>
      <c r="R18" s="70" t="str">
        <f>IF($A18="","",IF(COUNTIFS(الإدخال!$A$5:$A$644,R$5,الإدخال!$D$5:$D$644,$A18,الإدخال!$F$5:$F$644,"غائب",الإدخال!$G$5:$G$644,"")&gt;0,"غ",IF(COUNTIFS(الإدخال!$A$5:$A$644,R$5,الإدخال!$D$5:$D$644,$A18,الإدخال!$F$5:$F$644,"معتذر",الإدخال!$G$5:$G$644,"")&gt;0,"ع",IF(SUMIFS(الإدخال!$P$5:$P$644,الإدخال!$A$5:$A$644,R$5,الإدخال!$D$5:$D$644,$A18)&gt;0,SUMIFS(الإدخال!$O$5:$O$644,الإدخال!$A$5:$A$644,R$5,الإدخال!$D$5:$D$644,$A18)/100,""))))</f>
        <v/>
      </c>
      <c r="S18" s="70" t="str">
        <f>IF($A18="","",IF(COUNTIFS(الإدخال!$A$5:$A$644,S$5,الإدخال!$D$5:$D$644,$A18,الإدخال!$F$5:$F$644,"غائب",الإدخال!$G$5:$G$644,"")&gt;0,"غ",IF(COUNTIFS(الإدخال!$A$5:$A$644,S$5,الإدخال!$D$5:$D$644,$A18,الإدخال!$F$5:$F$644,"معتذر",الإدخال!$G$5:$G$644,"")&gt;0,"ع",IF(SUMIFS(الإدخال!$P$5:$P$644,الإدخال!$A$5:$A$644,S$5,الإدخال!$D$5:$D$644,$A18)&gt;0,SUMIFS(الإدخال!$O$5:$O$644,الإدخال!$A$5:$A$644,S$5,الإدخال!$D$5:$D$644,$A18)/100,""))))</f>
        <v/>
      </c>
      <c r="T18" s="71">
        <f>IF($A18="","",IFERROR(SUMIFS(الإدخال!$O$5:$O$644,الإدخال!$D$5:$D$644,$A18)/SUMIFS(الإدخال!$P$5:$P$644,الإدخال!$D$5:$D$644,$A18)/100,""))</f>
        <v>0.43</v>
      </c>
      <c r="U18" s="72" t="str">
        <f t="shared" si="0"/>
        <v>يحتاج متابعة</v>
      </c>
      <c r="V18" s="72">
        <f>IF($A18="","",SUMIFS(الإدخال!$N$5:$N$644,الإدخال!$D$5:$D$644,$A18))</f>
        <v>1</v>
      </c>
      <c r="W18" s="73">
        <f>IF($A18="","",COUNTIFS(الإدخال!$D$5:$D$644,$A18,الإدخال!$F$5:$F$644,"متأخر"))</f>
        <v>0</v>
      </c>
      <c r="X18" s="73">
        <f>IF($A18="","",COUNTIFS(الإدخال!$D$5:$D$644,$A18,الإدخال!$F$5:$F$644,"غائب"))</f>
        <v>0</v>
      </c>
      <c r="Y18" s="73">
        <f>IF($A18="","",COUNTIFS(الإدخال!$D$5:$D$644,$A18,الإدخال!$F$5:$F$644,"معتذر"))</f>
        <v>1</v>
      </c>
      <c r="Z18" s="73">
        <f>IF($A18="","",SUMIFS(الإدخال!$H$5:$H$644,الإدخال!$D$5:$D$644,$A18,الإدخال!$N$5:$N$644,1))</f>
        <v>0</v>
      </c>
      <c r="AA18" s="73">
        <f>IF($A18="","",SUMIFS(الإدخال!$I$5:$I$644,الإدخال!$D$5:$D$644,$A18,الإدخال!$N$5:$N$644,1))</f>
        <v>20</v>
      </c>
      <c r="AB18" s="73">
        <f>IF($A18="","",SUMIFS(الإدخال!$J$5:$J$644,الإدخال!$D$5:$D$644,$A18,الإدخال!$N$5:$N$644,1))</f>
        <v>0</v>
      </c>
      <c r="AC18" s="36">
        <f>IFERROR(MATCH($C$3&amp;"|13",الطلاب!$E$5:$E$44,0),"")</f>
        <v>13</v>
      </c>
    </row>
    <row r="19" spans="1:29">
      <c r="A19" s="18">
        <f>IF($AC19="","",INDEX(الطلاب!$A$5:$A$44,$AC19))</f>
        <v>14</v>
      </c>
      <c r="B19" s="68" t="str">
        <f>IF($AC19="","",INDEX(الطلاب!$B$5:$B$44,$AC19))</f>
        <v xml:space="preserve">حسام التويجري </v>
      </c>
      <c r="C19" s="69" t="str">
        <f>IF($AC19="","",INDEX(الطلاب!$D$5:$D$44,$AC19))</f>
        <v xml:space="preserve">حسان بن ثابت </v>
      </c>
      <c r="D19" s="70">
        <f>IF($A19="","",IF(COUNTIFS(الإدخال!$A$5:$A$644,D$5,الإدخال!$D$5:$D$644,$A19,الإدخال!$F$5:$F$644,"غائب",الإدخال!$G$5:$G$644,"")&gt;0,"غ",IF(COUNTIFS(الإدخال!$A$5:$A$644,D$5,الإدخال!$D$5:$D$644,$A19,الإدخال!$F$5:$F$644,"معتذر",الإدخال!$G$5:$G$644,"")&gt;0,"ع",IF(SUMIFS(الإدخال!$P$5:$P$644,الإدخال!$A$5:$A$644,D$5,الإدخال!$D$5:$D$644,$A19)&gt;0,SUMIFS(الإدخال!$O$5:$O$644,الإدخال!$A$5:$A$644,D$5,الإدخال!$D$5:$D$644,$A19)/100,""))))</f>
        <v>0</v>
      </c>
      <c r="E19" s="70">
        <f>IF($A19="","",IF(COUNTIFS(الإدخال!$A$5:$A$644,E$5,الإدخال!$D$5:$D$644,$A19,الإدخال!$F$5:$F$644,"غائب",الإدخال!$G$5:$G$644,"")&gt;0,"غ",IF(COUNTIFS(الإدخال!$A$5:$A$644,E$5,الإدخال!$D$5:$D$644,$A19,الإدخال!$F$5:$F$644,"معتذر",الإدخال!$G$5:$G$644,"")&gt;0,"ع",IF(SUMIFS(الإدخال!$P$5:$P$644,الإدخال!$A$5:$A$644,E$5,الإدخال!$D$5:$D$644,$A19)&gt;0,SUMIFS(الإدخال!$O$5:$O$644,الإدخال!$A$5:$A$644,E$5,الإدخال!$D$5:$D$644,$A19)/100,""))))</f>
        <v>0.48</v>
      </c>
      <c r="F19" s="70" t="str">
        <f>IF($A19="","",IF(COUNTIFS(الإدخال!$A$5:$A$644,F$5,الإدخال!$D$5:$D$644,$A19,الإدخال!$F$5:$F$644,"غائب",الإدخال!$G$5:$G$644,"")&gt;0,"غ",IF(COUNTIFS(الإدخال!$A$5:$A$644,F$5,الإدخال!$D$5:$D$644,$A19,الإدخال!$F$5:$F$644,"معتذر",الإدخال!$G$5:$G$644,"")&gt;0,"ع",IF(SUMIFS(الإدخال!$P$5:$P$644,الإدخال!$A$5:$A$644,F$5,الإدخال!$D$5:$D$644,$A19)&gt;0,SUMIFS(الإدخال!$O$5:$O$644,الإدخال!$A$5:$A$644,F$5,الإدخال!$D$5:$D$644,$A19)/100,""))))</f>
        <v/>
      </c>
      <c r="G19" s="70" t="str">
        <f>IF($A19="","",IF(COUNTIFS(الإدخال!$A$5:$A$644,G$5,الإدخال!$D$5:$D$644,$A19,الإدخال!$F$5:$F$644,"غائب",الإدخال!$G$5:$G$644,"")&gt;0,"غ",IF(COUNTIFS(الإدخال!$A$5:$A$644,G$5,الإدخال!$D$5:$D$644,$A19,الإدخال!$F$5:$F$644,"معتذر",الإدخال!$G$5:$G$644,"")&gt;0,"ع",IF(SUMIFS(الإدخال!$P$5:$P$644,الإدخال!$A$5:$A$644,G$5,الإدخال!$D$5:$D$644,$A19)&gt;0,SUMIFS(الإدخال!$O$5:$O$644,الإدخال!$A$5:$A$644,G$5,الإدخال!$D$5:$D$644,$A19)/100,""))))</f>
        <v/>
      </c>
      <c r="H19" s="70" t="str">
        <f>IF($A19="","",IF(COUNTIFS(الإدخال!$A$5:$A$644,H$5,الإدخال!$D$5:$D$644,$A19,الإدخال!$F$5:$F$644,"غائب",الإدخال!$G$5:$G$644,"")&gt;0,"غ",IF(COUNTIFS(الإدخال!$A$5:$A$644,H$5,الإدخال!$D$5:$D$644,$A19,الإدخال!$F$5:$F$644,"معتذر",الإدخال!$G$5:$G$644,"")&gt;0,"ع",IF(SUMIFS(الإدخال!$P$5:$P$644,الإدخال!$A$5:$A$644,H$5,الإدخال!$D$5:$D$644,$A19)&gt;0,SUMIFS(الإدخال!$O$5:$O$644,الإدخال!$A$5:$A$644,H$5,الإدخال!$D$5:$D$644,$A19)/100,""))))</f>
        <v/>
      </c>
      <c r="I19" s="70" t="str">
        <f>IF($A19="","",IF(COUNTIFS(الإدخال!$A$5:$A$644,I$5,الإدخال!$D$5:$D$644,$A19,الإدخال!$F$5:$F$644,"غائب",الإدخال!$G$5:$G$644,"")&gt;0,"غ",IF(COUNTIFS(الإدخال!$A$5:$A$644,I$5,الإدخال!$D$5:$D$644,$A19,الإدخال!$F$5:$F$644,"معتذر",الإدخال!$G$5:$G$644,"")&gt;0,"ع",IF(SUMIFS(الإدخال!$P$5:$P$644,الإدخال!$A$5:$A$644,I$5,الإدخال!$D$5:$D$644,$A19)&gt;0,SUMIFS(الإدخال!$O$5:$O$644,الإدخال!$A$5:$A$644,I$5,الإدخال!$D$5:$D$644,$A19)/100,""))))</f>
        <v/>
      </c>
      <c r="J19" s="70" t="str">
        <f>IF($A19="","",IF(COUNTIFS(الإدخال!$A$5:$A$644,J$5,الإدخال!$D$5:$D$644,$A19,الإدخال!$F$5:$F$644,"غائب",الإدخال!$G$5:$G$644,"")&gt;0,"غ",IF(COUNTIFS(الإدخال!$A$5:$A$644,J$5,الإدخال!$D$5:$D$644,$A19,الإدخال!$F$5:$F$644,"معتذر",الإدخال!$G$5:$G$644,"")&gt;0,"ع",IF(SUMIFS(الإدخال!$P$5:$P$644,الإدخال!$A$5:$A$644,J$5,الإدخال!$D$5:$D$644,$A19)&gt;0,SUMIFS(الإدخال!$O$5:$O$644,الإدخال!$A$5:$A$644,J$5,الإدخال!$D$5:$D$644,$A19)/100,""))))</f>
        <v/>
      </c>
      <c r="K19" s="70" t="str">
        <f>IF($A19="","",IF(COUNTIFS(الإدخال!$A$5:$A$644,K$5,الإدخال!$D$5:$D$644,$A19,الإدخال!$F$5:$F$644,"غائب",الإدخال!$G$5:$G$644,"")&gt;0,"غ",IF(COUNTIFS(الإدخال!$A$5:$A$644,K$5,الإدخال!$D$5:$D$644,$A19,الإدخال!$F$5:$F$644,"معتذر",الإدخال!$G$5:$G$644,"")&gt;0,"ع",IF(SUMIFS(الإدخال!$P$5:$P$644,الإدخال!$A$5:$A$644,K$5,الإدخال!$D$5:$D$644,$A19)&gt;0,SUMIFS(الإدخال!$O$5:$O$644,الإدخال!$A$5:$A$644,K$5,الإدخال!$D$5:$D$644,$A19)/100,""))))</f>
        <v/>
      </c>
      <c r="L19" s="70" t="str">
        <f>IF($A19="","",IF(COUNTIFS(الإدخال!$A$5:$A$644,L$5,الإدخال!$D$5:$D$644,$A19,الإدخال!$F$5:$F$644,"غائب",الإدخال!$G$5:$G$644,"")&gt;0,"غ",IF(COUNTIFS(الإدخال!$A$5:$A$644,L$5,الإدخال!$D$5:$D$644,$A19,الإدخال!$F$5:$F$644,"معتذر",الإدخال!$G$5:$G$644,"")&gt;0,"ع",IF(SUMIFS(الإدخال!$P$5:$P$644,الإدخال!$A$5:$A$644,L$5,الإدخال!$D$5:$D$644,$A19)&gt;0,SUMIFS(الإدخال!$O$5:$O$644,الإدخال!$A$5:$A$644,L$5,الإدخال!$D$5:$D$644,$A19)/100,""))))</f>
        <v/>
      </c>
      <c r="M19" s="70" t="str">
        <f>IF($A19="","",IF(COUNTIFS(الإدخال!$A$5:$A$644,M$5,الإدخال!$D$5:$D$644,$A19,الإدخال!$F$5:$F$644,"غائب",الإدخال!$G$5:$G$644,"")&gt;0,"غ",IF(COUNTIFS(الإدخال!$A$5:$A$644,M$5,الإدخال!$D$5:$D$644,$A19,الإدخال!$F$5:$F$644,"معتذر",الإدخال!$G$5:$G$644,"")&gt;0,"ع",IF(SUMIFS(الإدخال!$P$5:$P$644,الإدخال!$A$5:$A$644,M$5,الإدخال!$D$5:$D$644,$A19)&gt;0,SUMIFS(الإدخال!$O$5:$O$644,الإدخال!$A$5:$A$644,M$5,الإدخال!$D$5:$D$644,$A19)/100,""))))</f>
        <v/>
      </c>
      <c r="N19" s="70" t="str">
        <f>IF($A19="","",IF(COUNTIFS(الإدخال!$A$5:$A$644,N$5,الإدخال!$D$5:$D$644,$A19,الإدخال!$F$5:$F$644,"غائب",الإدخال!$G$5:$G$644,"")&gt;0,"غ",IF(COUNTIFS(الإدخال!$A$5:$A$644,N$5,الإدخال!$D$5:$D$644,$A19,الإدخال!$F$5:$F$644,"معتذر",الإدخال!$G$5:$G$644,"")&gt;0,"ع",IF(SUMIFS(الإدخال!$P$5:$P$644,الإدخال!$A$5:$A$644,N$5,الإدخال!$D$5:$D$644,$A19)&gt;0,SUMIFS(الإدخال!$O$5:$O$644,الإدخال!$A$5:$A$644,N$5,الإدخال!$D$5:$D$644,$A19)/100,""))))</f>
        <v/>
      </c>
      <c r="O19" s="70" t="str">
        <f>IF($A19="","",IF(COUNTIFS(الإدخال!$A$5:$A$644,O$5,الإدخال!$D$5:$D$644,$A19,الإدخال!$F$5:$F$644,"غائب",الإدخال!$G$5:$G$644,"")&gt;0,"غ",IF(COUNTIFS(الإدخال!$A$5:$A$644,O$5,الإدخال!$D$5:$D$644,$A19,الإدخال!$F$5:$F$644,"معتذر",الإدخال!$G$5:$G$644,"")&gt;0,"ع",IF(SUMIFS(الإدخال!$P$5:$P$644,الإدخال!$A$5:$A$644,O$5,الإدخال!$D$5:$D$644,$A19)&gt;0,SUMIFS(الإدخال!$O$5:$O$644,الإدخال!$A$5:$A$644,O$5,الإدخال!$D$5:$D$644,$A19)/100,""))))</f>
        <v/>
      </c>
      <c r="P19" s="70" t="str">
        <f>IF($A19="","",IF(COUNTIFS(الإدخال!$A$5:$A$644,P$5,الإدخال!$D$5:$D$644,$A19,الإدخال!$F$5:$F$644,"غائب",الإدخال!$G$5:$G$644,"")&gt;0,"غ",IF(COUNTIFS(الإدخال!$A$5:$A$644,P$5,الإدخال!$D$5:$D$644,$A19,الإدخال!$F$5:$F$644,"معتذر",الإدخال!$G$5:$G$644,"")&gt;0,"ع",IF(SUMIFS(الإدخال!$P$5:$P$644,الإدخال!$A$5:$A$644,P$5,الإدخال!$D$5:$D$644,$A19)&gt;0,SUMIFS(الإدخال!$O$5:$O$644,الإدخال!$A$5:$A$644,P$5,الإدخال!$D$5:$D$644,$A19)/100,""))))</f>
        <v/>
      </c>
      <c r="Q19" s="70" t="str">
        <f>IF($A19="","",IF(COUNTIFS(الإدخال!$A$5:$A$644,Q$5,الإدخال!$D$5:$D$644,$A19,الإدخال!$F$5:$F$644,"غائب",الإدخال!$G$5:$G$644,"")&gt;0,"غ",IF(COUNTIFS(الإدخال!$A$5:$A$644,Q$5,الإدخال!$D$5:$D$644,$A19,الإدخال!$F$5:$F$644,"معتذر",الإدخال!$G$5:$G$644,"")&gt;0,"ع",IF(SUMIFS(الإدخال!$P$5:$P$644,الإدخال!$A$5:$A$644,Q$5,الإدخال!$D$5:$D$644,$A19)&gt;0,SUMIFS(الإدخال!$O$5:$O$644,الإدخال!$A$5:$A$644,Q$5,الإدخال!$D$5:$D$644,$A19)/100,""))))</f>
        <v/>
      </c>
      <c r="R19" s="70" t="str">
        <f>IF($A19="","",IF(COUNTIFS(الإدخال!$A$5:$A$644,R$5,الإدخال!$D$5:$D$644,$A19,الإدخال!$F$5:$F$644,"غائب",الإدخال!$G$5:$G$644,"")&gt;0,"غ",IF(COUNTIFS(الإدخال!$A$5:$A$644,R$5,الإدخال!$D$5:$D$644,$A19,الإدخال!$F$5:$F$644,"معتذر",الإدخال!$G$5:$G$644,"")&gt;0,"ع",IF(SUMIFS(الإدخال!$P$5:$P$644,الإدخال!$A$5:$A$644,R$5,الإدخال!$D$5:$D$644,$A19)&gt;0,SUMIFS(الإدخال!$O$5:$O$644,الإدخال!$A$5:$A$644,R$5,الإدخال!$D$5:$D$644,$A19)/100,""))))</f>
        <v/>
      </c>
      <c r="S19" s="70" t="str">
        <f>IF($A19="","",IF(COUNTIFS(الإدخال!$A$5:$A$644,S$5,الإدخال!$D$5:$D$644,$A19,الإدخال!$F$5:$F$644,"غائب",الإدخال!$G$5:$G$644,"")&gt;0,"غ",IF(COUNTIFS(الإدخال!$A$5:$A$644,S$5,الإدخال!$D$5:$D$644,$A19,الإدخال!$F$5:$F$644,"معتذر",الإدخال!$G$5:$G$644,"")&gt;0,"ع",IF(SUMIFS(الإدخال!$P$5:$P$644,الإدخال!$A$5:$A$644,S$5,الإدخال!$D$5:$D$644,$A19)&gt;0,SUMIFS(الإدخال!$O$5:$O$644,الإدخال!$A$5:$A$644,S$5,الإدخال!$D$5:$D$644,$A19)/100,""))))</f>
        <v/>
      </c>
      <c r="T19" s="71">
        <f>IF($A19="","",IFERROR(SUMIFS(الإدخال!$O$5:$O$644,الإدخال!$D$5:$D$644,$A19)/SUMIFS(الإدخال!$P$5:$P$644,الإدخال!$D$5:$D$644,$A19)/100,""))</f>
        <v>0.24</v>
      </c>
      <c r="U19" s="72" t="str">
        <f t="shared" si="0"/>
        <v>يحتاج متابعة</v>
      </c>
      <c r="V19" s="72">
        <f>IF($A19="","",SUMIFS(الإدخال!$N$5:$N$644,الإدخال!$D$5:$D$644,$A19))</f>
        <v>0</v>
      </c>
      <c r="W19" s="73">
        <f>IF($A19="","",COUNTIFS(الإدخال!$D$5:$D$644,$A19,الإدخال!$F$5:$F$644,"متأخر"))</f>
        <v>0</v>
      </c>
      <c r="X19" s="73">
        <f>IF($A19="","",COUNTIFS(الإدخال!$D$5:$D$644,$A19,الإدخال!$F$5:$F$644,"غائب"))</f>
        <v>0</v>
      </c>
      <c r="Y19" s="73">
        <f>IF($A19="","",COUNTIFS(الإدخال!$D$5:$D$644,$A19,الإدخال!$F$5:$F$644,"معتذر"))</f>
        <v>2</v>
      </c>
      <c r="Z19" s="73">
        <f>IF($A19="","",SUMIFS(الإدخال!$H$5:$H$644,الإدخال!$D$5:$D$644,$A19,الإدخال!$N$5:$N$644,1))</f>
        <v>0</v>
      </c>
      <c r="AA19" s="73">
        <f>IF($A19="","",SUMIFS(الإدخال!$I$5:$I$644,الإدخال!$D$5:$D$644,$A19,الإدخال!$N$5:$N$644,1))</f>
        <v>0</v>
      </c>
      <c r="AB19" s="73">
        <f>IF($A19="","",SUMIFS(الإدخال!$J$5:$J$644,الإدخال!$D$5:$D$644,$A19,الإدخال!$N$5:$N$644,1))</f>
        <v>0</v>
      </c>
      <c r="AC19" s="36">
        <f>IFERROR(MATCH($C$3&amp;"|14",الطلاب!$E$5:$E$44,0),"")</f>
        <v>14</v>
      </c>
    </row>
    <row r="20" spans="1:29">
      <c r="A20" s="18">
        <f>IF($AC20="","",INDEX(الطلاب!$A$5:$A$44,$AC20))</f>
        <v>15</v>
      </c>
      <c r="B20" s="68" t="str">
        <f>IF($AC20="","",INDEX(الطلاب!$B$5:$B$44,$AC20))</f>
        <v xml:space="preserve">عبدالرحمن البريدي </v>
      </c>
      <c r="C20" s="69" t="str">
        <f>IF($AC20="","",INDEX(الطلاب!$D$5:$D$44,$AC20))</f>
        <v xml:space="preserve">حسان بن ثابت </v>
      </c>
      <c r="D20" s="70">
        <f>IF($A20="","",IF(COUNTIFS(الإدخال!$A$5:$A$644,D$5,الإدخال!$D$5:$D$644,$A20,الإدخال!$F$5:$F$644,"غائب",الإدخال!$G$5:$G$644,"")&gt;0,"غ",IF(COUNTIFS(الإدخال!$A$5:$A$644,D$5,الإدخال!$D$5:$D$644,$A20,الإدخال!$F$5:$F$644,"معتذر",الإدخال!$G$5:$G$644,"")&gt;0,"ع",IF(SUMIFS(الإدخال!$P$5:$P$644,الإدخال!$A$5:$A$644,D$5,الإدخال!$D$5:$D$644,$A20)&gt;0,SUMIFS(الإدخال!$O$5:$O$644,الإدخال!$A$5:$A$644,D$5,الإدخال!$D$5:$D$644,$A20)/100,""))))</f>
        <v>0.87</v>
      </c>
      <c r="E20" s="70">
        <f>IF($A20="","",IF(COUNTIFS(الإدخال!$A$5:$A$644,E$5,الإدخال!$D$5:$D$644,$A20,الإدخال!$F$5:$F$644,"غائب",الإدخال!$G$5:$G$644,"")&gt;0,"غ",IF(COUNTIFS(الإدخال!$A$5:$A$644,E$5,الإدخال!$D$5:$D$644,$A20,الإدخال!$F$5:$F$644,"معتذر",الإدخال!$G$5:$G$644,"")&gt;0,"ع",IF(SUMIFS(الإدخال!$P$5:$P$644,الإدخال!$A$5:$A$644,E$5,الإدخال!$D$5:$D$644,$A20)&gt;0,SUMIFS(الإدخال!$O$5:$O$644,الإدخال!$A$5:$A$644,E$5,الإدخال!$D$5:$D$644,$A20)/100,""))))</f>
        <v>0.62</v>
      </c>
      <c r="F20" s="70" t="str">
        <f>IF($A20="","",IF(COUNTIFS(الإدخال!$A$5:$A$644,F$5,الإدخال!$D$5:$D$644,$A20,الإدخال!$F$5:$F$644,"غائب",الإدخال!$G$5:$G$644,"")&gt;0,"غ",IF(COUNTIFS(الإدخال!$A$5:$A$644,F$5,الإدخال!$D$5:$D$644,$A20,الإدخال!$F$5:$F$644,"معتذر",الإدخال!$G$5:$G$644,"")&gt;0,"ع",IF(SUMIFS(الإدخال!$P$5:$P$644,الإدخال!$A$5:$A$644,F$5,الإدخال!$D$5:$D$644,$A20)&gt;0,SUMIFS(الإدخال!$O$5:$O$644,الإدخال!$A$5:$A$644,F$5,الإدخال!$D$5:$D$644,$A20)/100,""))))</f>
        <v/>
      </c>
      <c r="G20" s="70" t="str">
        <f>IF($A20="","",IF(COUNTIFS(الإدخال!$A$5:$A$644,G$5,الإدخال!$D$5:$D$644,$A20,الإدخال!$F$5:$F$644,"غائب",الإدخال!$G$5:$G$644,"")&gt;0,"غ",IF(COUNTIFS(الإدخال!$A$5:$A$644,G$5,الإدخال!$D$5:$D$644,$A20,الإدخال!$F$5:$F$644,"معتذر",الإدخال!$G$5:$G$644,"")&gt;0,"ع",IF(SUMIFS(الإدخال!$P$5:$P$644,الإدخال!$A$5:$A$644,G$5,الإدخال!$D$5:$D$644,$A20)&gt;0,SUMIFS(الإدخال!$O$5:$O$644,الإدخال!$A$5:$A$644,G$5,الإدخال!$D$5:$D$644,$A20)/100,""))))</f>
        <v/>
      </c>
      <c r="H20" s="70" t="str">
        <f>IF($A20="","",IF(COUNTIFS(الإدخال!$A$5:$A$644,H$5,الإدخال!$D$5:$D$644,$A20,الإدخال!$F$5:$F$644,"غائب",الإدخال!$G$5:$G$644,"")&gt;0,"غ",IF(COUNTIFS(الإدخال!$A$5:$A$644,H$5,الإدخال!$D$5:$D$644,$A20,الإدخال!$F$5:$F$644,"معتذر",الإدخال!$G$5:$G$644,"")&gt;0,"ع",IF(SUMIFS(الإدخال!$P$5:$P$644,الإدخال!$A$5:$A$644,H$5,الإدخال!$D$5:$D$644,$A20)&gt;0,SUMIFS(الإدخال!$O$5:$O$644,الإدخال!$A$5:$A$644,H$5,الإدخال!$D$5:$D$644,$A20)/100,""))))</f>
        <v/>
      </c>
      <c r="I20" s="70" t="str">
        <f>IF($A20="","",IF(COUNTIFS(الإدخال!$A$5:$A$644,I$5,الإدخال!$D$5:$D$644,$A20,الإدخال!$F$5:$F$644,"غائب",الإدخال!$G$5:$G$644,"")&gt;0,"غ",IF(COUNTIFS(الإدخال!$A$5:$A$644,I$5,الإدخال!$D$5:$D$644,$A20,الإدخال!$F$5:$F$644,"معتذر",الإدخال!$G$5:$G$644,"")&gt;0,"ع",IF(SUMIFS(الإدخال!$P$5:$P$644,الإدخال!$A$5:$A$644,I$5,الإدخال!$D$5:$D$644,$A20)&gt;0,SUMIFS(الإدخال!$O$5:$O$644,الإدخال!$A$5:$A$644,I$5,الإدخال!$D$5:$D$644,$A20)/100,""))))</f>
        <v/>
      </c>
      <c r="J20" s="70" t="str">
        <f>IF($A20="","",IF(COUNTIFS(الإدخال!$A$5:$A$644,J$5,الإدخال!$D$5:$D$644,$A20,الإدخال!$F$5:$F$644,"غائب",الإدخال!$G$5:$G$644,"")&gt;0,"غ",IF(COUNTIFS(الإدخال!$A$5:$A$644,J$5,الإدخال!$D$5:$D$644,$A20,الإدخال!$F$5:$F$644,"معتذر",الإدخال!$G$5:$G$644,"")&gt;0,"ع",IF(SUMIFS(الإدخال!$P$5:$P$644,الإدخال!$A$5:$A$644,J$5,الإدخال!$D$5:$D$644,$A20)&gt;0,SUMIFS(الإدخال!$O$5:$O$644,الإدخال!$A$5:$A$644,J$5,الإدخال!$D$5:$D$644,$A20)/100,""))))</f>
        <v/>
      </c>
      <c r="K20" s="70" t="str">
        <f>IF($A20="","",IF(COUNTIFS(الإدخال!$A$5:$A$644,K$5,الإدخال!$D$5:$D$644,$A20,الإدخال!$F$5:$F$644,"غائب",الإدخال!$G$5:$G$644,"")&gt;0,"غ",IF(COUNTIFS(الإدخال!$A$5:$A$644,K$5,الإدخال!$D$5:$D$644,$A20,الإدخال!$F$5:$F$644,"معتذر",الإدخال!$G$5:$G$644,"")&gt;0,"ع",IF(SUMIFS(الإدخال!$P$5:$P$644,الإدخال!$A$5:$A$644,K$5,الإدخال!$D$5:$D$644,$A20)&gt;0,SUMIFS(الإدخال!$O$5:$O$644,الإدخال!$A$5:$A$644,K$5,الإدخال!$D$5:$D$644,$A20)/100,""))))</f>
        <v/>
      </c>
      <c r="L20" s="70" t="str">
        <f>IF($A20="","",IF(COUNTIFS(الإدخال!$A$5:$A$644,L$5,الإدخال!$D$5:$D$644,$A20,الإدخال!$F$5:$F$644,"غائب",الإدخال!$G$5:$G$644,"")&gt;0,"غ",IF(COUNTIFS(الإدخال!$A$5:$A$644,L$5,الإدخال!$D$5:$D$644,$A20,الإدخال!$F$5:$F$644,"معتذر",الإدخال!$G$5:$G$644,"")&gt;0,"ع",IF(SUMIFS(الإدخال!$P$5:$P$644,الإدخال!$A$5:$A$644,L$5,الإدخال!$D$5:$D$644,$A20)&gt;0,SUMIFS(الإدخال!$O$5:$O$644,الإدخال!$A$5:$A$644,L$5,الإدخال!$D$5:$D$644,$A20)/100,""))))</f>
        <v/>
      </c>
      <c r="M20" s="70" t="str">
        <f>IF($A20="","",IF(COUNTIFS(الإدخال!$A$5:$A$644,M$5,الإدخال!$D$5:$D$644,$A20,الإدخال!$F$5:$F$644,"غائب",الإدخال!$G$5:$G$644,"")&gt;0,"غ",IF(COUNTIFS(الإدخال!$A$5:$A$644,M$5,الإدخال!$D$5:$D$644,$A20,الإدخال!$F$5:$F$644,"معتذر",الإدخال!$G$5:$G$644,"")&gt;0,"ع",IF(SUMIFS(الإدخال!$P$5:$P$644,الإدخال!$A$5:$A$644,M$5,الإدخال!$D$5:$D$644,$A20)&gt;0,SUMIFS(الإدخال!$O$5:$O$644,الإدخال!$A$5:$A$644,M$5,الإدخال!$D$5:$D$644,$A20)/100,""))))</f>
        <v/>
      </c>
      <c r="N20" s="70" t="str">
        <f>IF($A20="","",IF(COUNTIFS(الإدخال!$A$5:$A$644,N$5,الإدخال!$D$5:$D$644,$A20,الإدخال!$F$5:$F$644,"غائب",الإدخال!$G$5:$G$644,"")&gt;0,"غ",IF(COUNTIFS(الإدخال!$A$5:$A$644,N$5,الإدخال!$D$5:$D$644,$A20,الإدخال!$F$5:$F$644,"معتذر",الإدخال!$G$5:$G$644,"")&gt;0,"ع",IF(SUMIFS(الإدخال!$P$5:$P$644,الإدخال!$A$5:$A$644,N$5,الإدخال!$D$5:$D$644,$A20)&gt;0,SUMIFS(الإدخال!$O$5:$O$644,الإدخال!$A$5:$A$644,N$5,الإدخال!$D$5:$D$644,$A20)/100,""))))</f>
        <v/>
      </c>
      <c r="O20" s="70" t="str">
        <f>IF($A20="","",IF(COUNTIFS(الإدخال!$A$5:$A$644,O$5,الإدخال!$D$5:$D$644,$A20,الإدخال!$F$5:$F$644,"غائب",الإدخال!$G$5:$G$644,"")&gt;0,"غ",IF(COUNTIFS(الإدخال!$A$5:$A$644,O$5,الإدخال!$D$5:$D$644,$A20,الإدخال!$F$5:$F$644,"معتذر",الإدخال!$G$5:$G$644,"")&gt;0,"ع",IF(SUMIFS(الإدخال!$P$5:$P$644,الإدخال!$A$5:$A$644,O$5,الإدخال!$D$5:$D$644,$A20)&gt;0,SUMIFS(الإدخال!$O$5:$O$644,الإدخال!$A$5:$A$644,O$5,الإدخال!$D$5:$D$644,$A20)/100,""))))</f>
        <v/>
      </c>
      <c r="P20" s="70" t="str">
        <f>IF($A20="","",IF(COUNTIFS(الإدخال!$A$5:$A$644,P$5,الإدخال!$D$5:$D$644,$A20,الإدخال!$F$5:$F$644,"غائب",الإدخال!$G$5:$G$644,"")&gt;0,"غ",IF(COUNTIFS(الإدخال!$A$5:$A$644,P$5,الإدخال!$D$5:$D$644,$A20,الإدخال!$F$5:$F$644,"معتذر",الإدخال!$G$5:$G$644,"")&gt;0,"ع",IF(SUMIFS(الإدخال!$P$5:$P$644,الإدخال!$A$5:$A$644,P$5,الإدخال!$D$5:$D$644,$A20)&gt;0,SUMIFS(الإدخال!$O$5:$O$644,الإدخال!$A$5:$A$644,P$5,الإدخال!$D$5:$D$644,$A20)/100,""))))</f>
        <v/>
      </c>
      <c r="Q20" s="70" t="str">
        <f>IF($A20="","",IF(COUNTIFS(الإدخال!$A$5:$A$644,Q$5,الإدخال!$D$5:$D$644,$A20,الإدخال!$F$5:$F$644,"غائب",الإدخال!$G$5:$G$644,"")&gt;0,"غ",IF(COUNTIFS(الإدخال!$A$5:$A$644,Q$5,الإدخال!$D$5:$D$644,$A20,الإدخال!$F$5:$F$644,"معتذر",الإدخال!$G$5:$G$644,"")&gt;0,"ع",IF(SUMIFS(الإدخال!$P$5:$P$644,الإدخال!$A$5:$A$644,Q$5,الإدخال!$D$5:$D$644,$A20)&gt;0,SUMIFS(الإدخال!$O$5:$O$644,الإدخال!$A$5:$A$644,Q$5,الإدخال!$D$5:$D$644,$A20)/100,""))))</f>
        <v/>
      </c>
      <c r="R20" s="70" t="str">
        <f>IF($A20="","",IF(COUNTIFS(الإدخال!$A$5:$A$644,R$5,الإدخال!$D$5:$D$644,$A20,الإدخال!$F$5:$F$644,"غائب",الإدخال!$G$5:$G$644,"")&gt;0,"غ",IF(COUNTIFS(الإدخال!$A$5:$A$644,R$5,الإدخال!$D$5:$D$644,$A20,الإدخال!$F$5:$F$644,"معتذر",الإدخال!$G$5:$G$644,"")&gt;0,"ع",IF(SUMIFS(الإدخال!$P$5:$P$644,الإدخال!$A$5:$A$644,R$5,الإدخال!$D$5:$D$644,$A20)&gt;0,SUMIFS(الإدخال!$O$5:$O$644,الإدخال!$A$5:$A$644,R$5,الإدخال!$D$5:$D$644,$A20)/100,""))))</f>
        <v/>
      </c>
      <c r="S20" s="70" t="str">
        <f>IF($A20="","",IF(COUNTIFS(الإدخال!$A$5:$A$644,S$5,الإدخال!$D$5:$D$644,$A20,الإدخال!$F$5:$F$644,"غائب",الإدخال!$G$5:$G$644,"")&gt;0,"غ",IF(COUNTIFS(الإدخال!$A$5:$A$644,S$5,الإدخال!$D$5:$D$644,$A20,الإدخال!$F$5:$F$644,"معتذر",الإدخال!$G$5:$G$644,"")&gt;0,"ع",IF(SUMIFS(الإدخال!$P$5:$P$644,الإدخال!$A$5:$A$644,S$5,الإدخال!$D$5:$D$644,$A20)&gt;0,SUMIFS(الإدخال!$O$5:$O$644,الإدخال!$A$5:$A$644,S$5,الإدخال!$D$5:$D$644,$A20)/100,""))))</f>
        <v/>
      </c>
      <c r="T20" s="71">
        <f>IF($A20="","",IFERROR(SUMIFS(الإدخال!$O$5:$O$644,الإدخال!$D$5:$D$644,$A20)/SUMIFS(الإدخال!$P$5:$P$644,الإدخال!$D$5:$D$644,$A20)/100,""))</f>
        <v>0.745</v>
      </c>
      <c r="U20" s="72" t="str">
        <f t="shared" si="0"/>
        <v>جيد</v>
      </c>
      <c r="V20" s="72">
        <f>IF($A20="","",SUMIFS(الإدخال!$N$5:$N$644,الإدخال!$D$5:$D$644,$A20))</f>
        <v>1</v>
      </c>
      <c r="W20" s="73">
        <f>IF($A20="","",COUNTIFS(الإدخال!$D$5:$D$644,$A20,الإدخال!$F$5:$F$644,"متأخر"))</f>
        <v>0</v>
      </c>
      <c r="X20" s="73">
        <f>IF($A20="","",COUNTIFS(الإدخال!$D$5:$D$644,$A20,الإدخال!$F$5:$F$644,"غائب"))</f>
        <v>0</v>
      </c>
      <c r="Y20" s="73">
        <f>IF($A20="","",COUNTIFS(الإدخال!$D$5:$D$644,$A20,الإدخال!$F$5:$F$644,"معتذر"))</f>
        <v>1</v>
      </c>
      <c r="Z20" s="73">
        <f>IF($A20="","",SUMIFS(الإدخال!$H$5:$H$644,الإدخال!$D$5:$D$644,$A20,الإدخال!$N$5:$N$644,1))</f>
        <v>2</v>
      </c>
      <c r="AA20" s="73">
        <f>IF($A20="","",SUMIFS(الإدخال!$I$5:$I$644,الإدخال!$D$5:$D$644,$A20,الإدخال!$N$5:$N$644,1))</f>
        <v>20</v>
      </c>
      <c r="AB20" s="73">
        <f>IF($A20="","",SUMIFS(الإدخال!$J$5:$J$644,الإدخال!$D$5:$D$644,$A20,الإدخال!$N$5:$N$644,1))</f>
        <v>0</v>
      </c>
      <c r="AC20" s="36">
        <f>IFERROR(MATCH($C$3&amp;"|15",الطلاب!$E$5:$E$44,0),"")</f>
        <v>15</v>
      </c>
    </row>
    <row r="21" spans="1:29">
      <c r="A21" s="18">
        <f>IF($AC21="","",INDEX(الطلاب!$A$5:$A$44,$AC21))</f>
        <v>16</v>
      </c>
      <c r="B21" s="68" t="str">
        <f>IF($AC21="","",INDEX(الطلاب!$B$5:$B$44,$AC21))</f>
        <v>عبدالرحمن بازرعة</v>
      </c>
      <c r="C21" s="69" t="str">
        <f>IF($AC21="","",INDEX(الطلاب!$D$5:$D$44,$AC21))</f>
        <v xml:space="preserve">حسان بن ثابت </v>
      </c>
      <c r="D21" s="70">
        <f>IF($A21="","",IF(COUNTIFS(الإدخال!$A$5:$A$644,D$5,الإدخال!$D$5:$D$644,$A21,الإدخال!$F$5:$F$644,"غائب",الإدخال!$G$5:$G$644,"")&gt;0,"غ",IF(COUNTIFS(الإدخال!$A$5:$A$644,D$5,الإدخال!$D$5:$D$644,$A21,الإدخال!$F$5:$F$644,"معتذر",الإدخال!$G$5:$G$644,"")&gt;0,"ع",IF(SUMIFS(الإدخال!$P$5:$P$644,الإدخال!$A$5:$A$644,D$5,الإدخال!$D$5:$D$644,$A21)&gt;0,SUMIFS(الإدخال!$O$5:$O$644,الإدخال!$A$5:$A$644,D$5,الإدخال!$D$5:$D$644,$A21)/100,""))))</f>
        <v>0.79</v>
      </c>
      <c r="E21" s="70">
        <f>IF($A21="","",IF(COUNTIFS(الإدخال!$A$5:$A$644,E$5,الإدخال!$D$5:$D$644,$A21,الإدخال!$F$5:$F$644,"غائب",الإدخال!$G$5:$G$644,"")&gt;0,"غ",IF(COUNTIFS(الإدخال!$A$5:$A$644,E$5,الإدخال!$D$5:$D$644,$A21,الإدخال!$F$5:$F$644,"معتذر",الإدخال!$G$5:$G$644,"")&gt;0,"ع",IF(SUMIFS(الإدخال!$P$5:$P$644,الإدخال!$A$5:$A$644,E$5,الإدخال!$D$5:$D$644,$A21)&gt;0,SUMIFS(الإدخال!$O$5:$O$644,الإدخال!$A$5:$A$644,E$5,الإدخال!$D$5:$D$644,$A21)/100,""))))</f>
        <v>0.87</v>
      </c>
      <c r="F21" s="70" t="str">
        <f>IF($A21="","",IF(COUNTIFS(الإدخال!$A$5:$A$644,F$5,الإدخال!$D$5:$D$644,$A21,الإدخال!$F$5:$F$644,"غائب",الإدخال!$G$5:$G$644,"")&gt;0,"غ",IF(COUNTIFS(الإدخال!$A$5:$A$644,F$5,الإدخال!$D$5:$D$644,$A21,الإدخال!$F$5:$F$644,"معتذر",الإدخال!$G$5:$G$644,"")&gt;0,"ع",IF(SUMIFS(الإدخال!$P$5:$P$644,الإدخال!$A$5:$A$644,F$5,الإدخال!$D$5:$D$644,$A21)&gt;0,SUMIFS(الإدخال!$O$5:$O$644,الإدخال!$A$5:$A$644,F$5,الإدخال!$D$5:$D$644,$A21)/100,""))))</f>
        <v/>
      </c>
      <c r="G21" s="70" t="str">
        <f>IF($A21="","",IF(COUNTIFS(الإدخال!$A$5:$A$644,G$5,الإدخال!$D$5:$D$644,$A21,الإدخال!$F$5:$F$644,"غائب",الإدخال!$G$5:$G$644,"")&gt;0,"غ",IF(COUNTIFS(الإدخال!$A$5:$A$644,G$5,الإدخال!$D$5:$D$644,$A21,الإدخال!$F$5:$F$644,"معتذر",الإدخال!$G$5:$G$644,"")&gt;0,"ع",IF(SUMIFS(الإدخال!$P$5:$P$644,الإدخال!$A$5:$A$644,G$5,الإدخال!$D$5:$D$644,$A21)&gt;0,SUMIFS(الإدخال!$O$5:$O$644,الإدخال!$A$5:$A$644,G$5,الإدخال!$D$5:$D$644,$A21)/100,""))))</f>
        <v/>
      </c>
      <c r="H21" s="70" t="str">
        <f>IF($A21="","",IF(COUNTIFS(الإدخال!$A$5:$A$644,H$5,الإدخال!$D$5:$D$644,$A21,الإدخال!$F$5:$F$644,"غائب",الإدخال!$G$5:$G$644,"")&gt;0,"غ",IF(COUNTIFS(الإدخال!$A$5:$A$644,H$5,الإدخال!$D$5:$D$644,$A21,الإدخال!$F$5:$F$644,"معتذر",الإدخال!$G$5:$G$644,"")&gt;0,"ع",IF(SUMIFS(الإدخال!$P$5:$P$644,الإدخال!$A$5:$A$644,H$5,الإدخال!$D$5:$D$644,$A21)&gt;0,SUMIFS(الإدخال!$O$5:$O$644,الإدخال!$A$5:$A$644,H$5,الإدخال!$D$5:$D$644,$A21)/100,""))))</f>
        <v/>
      </c>
      <c r="I21" s="70" t="str">
        <f>IF($A21="","",IF(COUNTIFS(الإدخال!$A$5:$A$644,I$5,الإدخال!$D$5:$D$644,$A21,الإدخال!$F$5:$F$644,"غائب",الإدخال!$G$5:$G$644,"")&gt;0,"غ",IF(COUNTIFS(الإدخال!$A$5:$A$644,I$5,الإدخال!$D$5:$D$644,$A21,الإدخال!$F$5:$F$644,"معتذر",الإدخال!$G$5:$G$644,"")&gt;0,"ع",IF(SUMIFS(الإدخال!$P$5:$P$644,الإدخال!$A$5:$A$644,I$5,الإدخال!$D$5:$D$644,$A21)&gt;0,SUMIFS(الإدخال!$O$5:$O$644,الإدخال!$A$5:$A$644,I$5,الإدخال!$D$5:$D$644,$A21)/100,""))))</f>
        <v/>
      </c>
      <c r="J21" s="70" t="str">
        <f>IF($A21="","",IF(COUNTIFS(الإدخال!$A$5:$A$644,J$5,الإدخال!$D$5:$D$644,$A21,الإدخال!$F$5:$F$644,"غائب",الإدخال!$G$5:$G$644,"")&gt;0,"غ",IF(COUNTIFS(الإدخال!$A$5:$A$644,J$5,الإدخال!$D$5:$D$644,$A21,الإدخال!$F$5:$F$644,"معتذر",الإدخال!$G$5:$G$644,"")&gt;0,"ع",IF(SUMIFS(الإدخال!$P$5:$P$644,الإدخال!$A$5:$A$644,J$5,الإدخال!$D$5:$D$644,$A21)&gt;0,SUMIFS(الإدخال!$O$5:$O$644,الإدخال!$A$5:$A$644,J$5,الإدخال!$D$5:$D$644,$A21)/100,""))))</f>
        <v/>
      </c>
      <c r="K21" s="70" t="str">
        <f>IF($A21="","",IF(COUNTIFS(الإدخال!$A$5:$A$644,K$5,الإدخال!$D$5:$D$644,$A21,الإدخال!$F$5:$F$644,"غائب",الإدخال!$G$5:$G$644,"")&gt;0,"غ",IF(COUNTIFS(الإدخال!$A$5:$A$644,K$5,الإدخال!$D$5:$D$644,$A21,الإدخال!$F$5:$F$644,"معتذر",الإدخال!$G$5:$G$644,"")&gt;0,"ع",IF(SUMIFS(الإدخال!$P$5:$P$644,الإدخال!$A$5:$A$644,K$5,الإدخال!$D$5:$D$644,$A21)&gt;0,SUMIFS(الإدخال!$O$5:$O$644,الإدخال!$A$5:$A$644,K$5,الإدخال!$D$5:$D$644,$A21)/100,""))))</f>
        <v/>
      </c>
      <c r="L21" s="70" t="str">
        <f>IF($A21="","",IF(COUNTIFS(الإدخال!$A$5:$A$644,L$5,الإدخال!$D$5:$D$644,$A21,الإدخال!$F$5:$F$644,"غائب",الإدخال!$G$5:$G$644,"")&gt;0,"غ",IF(COUNTIFS(الإدخال!$A$5:$A$644,L$5,الإدخال!$D$5:$D$644,$A21,الإدخال!$F$5:$F$644,"معتذر",الإدخال!$G$5:$G$644,"")&gt;0,"ع",IF(SUMIFS(الإدخال!$P$5:$P$644,الإدخال!$A$5:$A$644,L$5,الإدخال!$D$5:$D$644,$A21)&gt;0,SUMIFS(الإدخال!$O$5:$O$644,الإدخال!$A$5:$A$644,L$5,الإدخال!$D$5:$D$644,$A21)/100,""))))</f>
        <v/>
      </c>
      <c r="M21" s="70" t="str">
        <f>IF($A21="","",IF(COUNTIFS(الإدخال!$A$5:$A$644,M$5,الإدخال!$D$5:$D$644,$A21,الإدخال!$F$5:$F$644,"غائب",الإدخال!$G$5:$G$644,"")&gt;0,"غ",IF(COUNTIFS(الإدخال!$A$5:$A$644,M$5,الإدخال!$D$5:$D$644,$A21,الإدخال!$F$5:$F$644,"معتذر",الإدخال!$G$5:$G$644,"")&gt;0,"ع",IF(SUMIFS(الإدخال!$P$5:$P$644,الإدخال!$A$5:$A$644,M$5,الإدخال!$D$5:$D$644,$A21)&gt;0,SUMIFS(الإدخال!$O$5:$O$644,الإدخال!$A$5:$A$644,M$5,الإدخال!$D$5:$D$644,$A21)/100,""))))</f>
        <v/>
      </c>
      <c r="N21" s="70" t="str">
        <f>IF($A21="","",IF(COUNTIFS(الإدخال!$A$5:$A$644,N$5,الإدخال!$D$5:$D$644,$A21,الإدخال!$F$5:$F$644,"غائب",الإدخال!$G$5:$G$644,"")&gt;0,"غ",IF(COUNTIFS(الإدخال!$A$5:$A$644,N$5,الإدخال!$D$5:$D$644,$A21,الإدخال!$F$5:$F$644,"معتذر",الإدخال!$G$5:$G$644,"")&gt;0,"ع",IF(SUMIFS(الإدخال!$P$5:$P$644,الإدخال!$A$5:$A$644,N$5,الإدخال!$D$5:$D$644,$A21)&gt;0,SUMIFS(الإدخال!$O$5:$O$644,الإدخال!$A$5:$A$644,N$5,الإدخال!$D$5:$D$644,$A21)/100,""))))</f>
        <v/>
      </c>
      <c r="O21" s="70" t="str">
        <f>IF($A21="","",IF(COUNTIFS(الإدخال!$A$5:$A$644,O$5,الإدخال!$D$5:$D$644,$A21,الإدخال!$F$5:$F$644,"غائب",الإدخال!$G$5:$G$644,"")&gt;0,"غ",IF(COUNTIFS(الإدخال!$A$5:$A$644,O$5,الإدخال!$D$5:$D$644,$A21,الإدخال!$F$5:$F$644,"معتذر",الإدخال!$G$5:$G$644,"")&gt;0,"ع",IF(SUMIFS(الإدخال!$P$5:$P$644,الإدخال!$A$5:$A$644,O$5,الإدخال!$D$5:$D$644,$A21)&gt;0,SUMIFS(الإدخال!$O$5:$O$644,الإدخال!$A$5:$A$644,O$5,الإدخال!$D$5:$D$644,$A21)/100,""))))</f>
        <v/>
      </c>
      <c r="P21" s="70" t="str">
        <f>IF($A21="","",IF(COUNTIFS(الإدخال!$A$5:$A$644,P$5,الإدخال!$D$5:$D$644,$A21,الإدخال!$F$5:$F$644,"غائب",الإدخال!$G$5:$G$644,"")&gt;0,"غ",IF(COUNTIFS(الإدخال!$A$5:$A$644,P$5,الإدخال!$D$5:$D$644,$A21,الإدخال!$F$5:$F$644,"معتذر",الإدخال!$G$5:$G$644,"")&gt;0,"ع",IF(SUMIFS(الإدخال!$P$5:$P$644,الإدخال!$A$5:$A$644,P$5,الإدخال!$D$5:$D$644,$A21)&gt;0,SUMIFS(الإدخال!$O$5:$O$644,الإدخال!$A$5:$A$644,P$5,الإدخال!$D$5:$D$644,$A21)/100,""))))</f>
        <v/>
      </c>
      <c r="Q21" s="70" t="str">
        <f>IF($A21="","",IF(COUNTIFS(الإدخال!$A$5:$A$644,Q$5,الإدخال!$D$5:$D$644,$A21,الإدخال!$F$5:$F$644,"غائب",الإدخال!$G$5:$G$644,"")&gt;0,"غ",IF(COUNTIFS(الإدخال!$A$5:$A$644,Q$5,الإدخال!$D$5:$D$644,$A21,الإدخال!$F$5:$F$644,"معتذر",الإدخال!$G$5:$G$644,"")&gt;0,"ع",IF(SUMIFS(الإدخال!$P$5:$P$644,الإدخال!$A$5:$A$644,Q$5,الإدخال!$D$5:$D$644,$A21)&gt;0,SUMIFS(الإدخال!$O$5:$O$644,الإدخال!$A$5:$A$644,Q$5,الإدخال!$D$5:$D$644,$A21)/100,""))))</f>
        <v/>
      </c>
      <c r="R21" s="70" t="str">
        <f>IF($A21="","",IF(COUNTIFS(الإدخال!$A$5:$A$644,R$5,الإدخال!$D$5:$D$644,$A21,الإدخال!$F$5:$F$644,"غائب",الإدخال!$G$5:$G$644,"")&gt;0,"غ",IF(COUNTIFS(الإدخال!$A$5:$A$644,R$5,الإدخال!$D$5:$D$644,$A21,الإدخال!$F$5:$F$644,"معتذر",الإدخال!$G$5:$G$644,"")&gt;0,"ع",IF(SUMIFS(الإدخال!$P$5:$P$644,الإدخال!$A$5:$A$644,R$5,الإدخال!$D$5:$D$644,$A21)&gt;0,SUMIFS(الإدخال!$O$5:$O$644,الإدخال!$A$5:$A$644,R$5,الإدخال!$D$5:$D$644,$A21)/100,""))))</f>
        <v/>
      </c>
      <c r="S21" s="70" t="str">
        <f>IF($A21="","",IF(COUNTIFS(الإدخال!$A$5:$A$644,S$5,الإدخال!$D$5:$D$644,$A21,الإدخال!$F$5:$F$644,"غائب",الإدخال!$G$5:$G$644,"")&gt;0,"غ",IF(COUNTIFS(الإدخال!$A$5:$A$644,S$5,الإدخال!$D$5:$D$644,$A21,الإدخال!$F$5:$F$644,"معتذر",الإدخال!$G$5:$G$644,"")&gt;0,"ع",IF(SUMIFS(الإدخال!$P$5:$P$644,الإدخال!$A$5:$A$644,S$5,الإدخال!$D$5:$D$644,$A21)&gt;0,SUMIFS(الإدخال!$O$5:$O$644,الإدخال!$A$5:$A$644,S$5,الإدخال!$D$5:$D$644,$A21)/100,""))))</f>
        <v/>
      </c>
      <c r="T21" s="71">
        <f>IF($A21="","",IFERROR(SUMIFS(الإدخال!$O$5:$O$644,الإدخال!$D$5:$D$644,$A21)/SUMIFS(الإدخال!$P$5:$P$644,الإدخال!$D$5:$D$644,$A21)/100,""))</f>
        <v>0.83</v>
      </c>
      <c r="U21" s="72" t="str">
        <f t="shared" si="0"/>
        <v>جيد جدًا</v>
      </c>
      <c r="V21" s="72">
        <f>IF($A21="","",SUMIFS(الإدخال!$N$5:$N$644,الإدخال!$D$5:$D$644,$A21))</f>
        <v>2</v>
      </c>
      <c r="W21" s="73">
        <f>IF($A21="","",COUNTIFS(الإدخال!$D$5:$D$644,$A21,الإدخال!$F$5:$F$644,"متأخر"))</f>
        <v>0</v>
      </c>
      <c r="X21" s="73">
        <f>IF($A21="","",COUNTIFS(الإدخال!$D$5:$D$644,$A21,الإدخال!$F$5:$F$644,"غائب"))</f>
        <v>0</v>
      </c>
      <c r="Y21" s="73">
        <f>IF($A21="","",COUNTIFS(الإدخال!$D$5:$D$644,$A21,الإدخال!$F$5:$F$644,"معتذر"))</f>
        <v>0</v>
      </c>
      <c r="Z21" s="73">
        <f>IF($A21="","",SUMIFS(الإدخال!$H$5:$H$644,الإدخال!$D$5:$D$644,$A21,الإدخال!$N$5:$N$644,1))</f>
        <v>7</v>
      </c>
      <c r="AA21" s="73">
        <f>IF($A21="","",SUMIFS(الإدخال!$I$5:$I$644,الإدخال!$D$5:$D$644,$A21,الإدخال!$N$5:$N$644,1))</f>
        <v>45</v>
      </c>
      <c r="AB21" s="73">
        <f>IF($A21="","",SUMIFS(الإدخال!$J$5:$J$644,الإدخال!$D$5:$D$644,$A21,الإدخال!$N$5:$N$644,1))</f>
        <v>0</v>
      </c>
      <c r="AC21" s="36">
        <f>IFERROR(MATCH($C$3&amp;"|16",الطلاب!$E$5:$E$44,0),"")</f>
        <v>16</v>
      </c>
    </row>
    <row r="22" spans="1:29">
      <c r="A22" s="18">
        <f>IF($AC22="","",INDEX(الطلاب!$A$5:$A$44,$AC22))</f>
        <v>17</v>
      </c>
      <c r="B22" s="68" t="str">
        <f>IF($AC22="","",INDEX(الطلاب!$B$5:$B$44,$AC22))</f>
        <v xml:space="preserve">عبدالله الضحيان </v>
      </c>
      <c r="C22" s="69" t="str">
        <f>IF($AC22="","",INDEX(الطلاب!$D$5:$D$44,$AC22))</f>
        <v xml:space="preserve">حسان بن ثابت </v>
      </c>
      <c r="D22" s="70">
        <f>IF($A22="","",IF(COUNTIFS(الإدخال!$A$5:$A$644,D$5,الإدخال!$D$5:$D$644,$A22,الإدخال!$F$5:$F$644,"غائب",الإدخال!$G$5:$G$644,"")&gt;0,"غ",IF(COUNTIFS(الإدخال!$A$5:$A$644,D$5,الإدخال!$D$5:$D$644,$A22,الإدخال!$F$5:$F$644,"معتذر",الإدخال!$G$5:$G$644,"")&gt;0,"ع",IF(SUMIFS(الإدخال!$P$5:$P$644,الإدخال!$A$5:$A$644,D$5,الإدخال!$D$5:$D$644,$A22)&gt;0,SUMIFS(الإدخال!$O$5:$O$644,الإدخال!$A$5:$A$644,D$5,الإدخال!$D$5:$D$644,$A22)/100,""))))</f>
        <v>0.97</v>
      </c>
      <c r="E22" s="70">
        <f>IF($A22="","",IF(COUNTIFS(الإدخال!$A$5:$A$644,E$5,الإدخال!$D$5:$D$644,$A22,الإدخال!$F$5:$F$644,"غائب",الإدخال!$G$5:$G$644,"")&gt;0,"غ",IF(COUNTIFS(الإدخال!$A$5:$A$644,E$5,الإدخال!$D$5:$D$644,$A22,الإدخال!$F$5:$F$644,"معتذر",الإدخال!$G$5:$G$644,"")&gt;0,"ع",IF(SUMIFS(الإدخال!$P$5:$P$644,الإدخال!$A$5:$A$644,E$5,الإدخال!$D$5:$D$644,$A22)&gt;0,SUMIFS(الإدخال!$O$5:$O$644,الإدخال!$A$5:$A$644,E$5,الإدخال!$D$5:$D$644,$A22)/100,""))))</f>
        <v>0.84</v>
      </c>
      <c r="F22" s="70" t="str">
        <f>IF($A22="","",IF(COUNTIFS(الإدخال!$A$5:$A$644,F$5,الإدخال!$D$5:$D$644,$A22,الإدخال!$F$5:$F$644,"غائب",الإدخال!$G$5:$G$644,"")&gt;0,"غ",IF(COUNTIFS(الإدخال!$A$5:$A$644,F$5,الإدخال!$D$5:$D$644,$A22,الإدخال!$F$5:$F$644,"معتذر",الإدخال!$G$5:$G$644,"")&gt;0,"ع",IF(SUMIFS(الإدخال!$P$5:$P$644,الإدخال!$A$5:$A$644,F$5,الإدخال!$D$5:$D$644,$A22)&gt;0,SUMIFS(الإدخال!$O$5:$O$644,الإدخال!$A$5:$A$644,F$5,الإدخال!$D$5:$D$644,$A22)/100,""))))</f>
        <v/>
      </c>
      <c r="G22" s="70" t="str">
        <f>IF($A22="","",IF(COUNTIFS(الإدخال!$A$5:$A$644,G$5,الإدخال!$D$5:$D$644,$A22,الإدخال!$F$5:$F$644,"غائب",الإدخال!$G$5:$G$644,"")&gt;0,"غ",IF(COUNTIFS(الإدخال!$A$5:$A$644,G$5,الإدخال!$D$5:$D$644,$A22,الإدخال!$F$5:$F$644,"معتذر",الإدخال!$G$5:$G$644,"")&gt;0,"ع",IF(SUMIFS(الإدخال!$P$5:$P$644,الإدخال!$A$5:$A$644,G$5,الإدخال!$D$5:$D$644,$A22)&gt;0,SUMIFS(الإدخال!$O$5:$O$644,الإدخال!$A$5:$A$644,G$5,الإدخال!$D$5:$D$644,$A22)/100,""))))</f>
        <v/>
      </c>
      <c r="H22" s="70" t="str">
        <f>IF($A22="","",IF(COUNTIFS(الإدخال!$A$5:$A$644,H$5,الإدخال!$D$5:$D$644,$A22,الإدخال!$F$5:$F$644,"غائب",الإدخال!$G$5:$G$644,"")&gt;0,"غ",IF(COUNTIFS(الإدخال!$A$5:$A$644,H$5,الإدخال!$D$5:$D$644,$A22,الإدخال!$F$5:$F$644,"معتذر",الإدخال!$G$5:$G$644,"")&gt;0,"ع",IF(SUMIFS(الإدخال!$P$5:$P$644,الإدخال!$A$5:$A$644,H$5,الإدخال!$D$5:$D$644,$A22)&gt;0,SUMIFS(الإدخال!$O$5:$O$644,الإدخال!$A$5:$A$644,H$5,الإدخال!$D$5:$D$644,$A22)/100,""))))</f>
        <v/>
      </c>
      <c r="I22" s="70" t="str">
        <f>IF($A22="","",IF(COUNTIFS(الإدخال!$A$5:$A$644,I$5,الإدخال!$D$5:$D$644,$A22,الإدخال!$F$5:$F$644,"غائب",الإدخال!$G$5:$G$644,"")&gt;0,"غ",IF(COUNTIFS(الإدخال!$A$5:$A$644,I$5,الإدخال!$D$5:$D$644,$A22,الإدخال!$F$5:$F$644,"معتذر",الإدخال!$G$5:$G$644,"")&gt;0,"ع",IF(SUMIFS(الإدخال!$P$5:$P$644,الإدخال!$A$5:$A$644,I$5,الإدخال!$D$5:$D$644,$A22)&gt;0,SUMIFS(الإدخال!$O$5:$O$644,الإدخال!$A$5:$A$644,I$5,الإدخال!$D$5:$D$644,$A22)/100,""))))</f>
        <v/>
      </c>
      <c r="J22" s="70" t="str">
        <f>IF($A22="","",IF(COUNTIFS(الإدخال!$A$5:$A$644,J$5,الإدخال!$D$5:$D$644,$A22,الإدخال!$F$5:$F$644,"غائب",الإدخال!$G$5:$G$644,"")&gt;0,"غ",IF(COUNTIFS(الإدخال!$A$5:$A$644,J$5,الإدخال!$D$5:$D$644,$A22,الإدخال!$F$5:$F$644,"معتذر",الإدخال!$G$5:$G$644,"")&gt;0,"ع",IF(SUMIFS(الإدخال!$P$5:$P$644,الإدخال!$A$5:$A$644,J$5,الإدخال!$D$5:$D$644,$A22)&gt;0,SUMIFS(الإدخال!$O$5:$O$644,الإدخال!$A$5:$A$644,J$5,الإدخال!$D$5:$D$644,$A22)/100,""))))</f>
        <v/>
      </c>
      <c r="K22" s="70" t="str">
        <f>IF($A22="","",IF(COUNTIFS(الإدخال!$A$5:$A$644,K$5,الإدخال!$D$5:$D$644,$A22,الإدخال!$F$5:$F$644,"غائب",الإدخال!$G$5:$G$644,"")&gt;0,"غ",IF(COUNTIFS(الإدخال!$A$5:$A$644,K$5,الإدخال!$D$5:$D$644,$A22,الإدخال!$F$5:$F$644,"معتذر",الإدخال!$G$5:$G$644,"")&gt;0,"ع",IF(SUMIFS(الإدخال!$P$5:$P$644,الإدخال!$A$5:$A$644,K$5,الإدخال!$D$5:$D$644,$A22)&gt;0,SUMIFS(الإدخال!$O$5:$O$644,الإدخال!$A$5:$A$644,K$5,الإدخال!$D$5:$D$644,$A22)/100,""))))</f>
        <v/>
      </c>
      <c r="L22" s="70" t="str">
        <f>IF($A22="","",IF(COUNTIFS(الإدخال!$A$5:$A$644,L$5,الإدخال!$D$5:$D$644,$A22,الإدخال!$F$5:$F$644,"غائب",الإدخال!$G$5:$G$644,"")&gt;0,"غ",IF(COUNTIFS(الإدخال!$A$5:$A$644,L$5,الإدخال!$D$5:$D$644,$A22,الإدخال!$F$5:$F$644,"معتذر",الإدخال!$G$5:$G$644,"")&gt;0,"ع",IF(SUMIFS(الإدخال!$P$5:$P$644,الإدخال!$A$5:$A$644,L$5,الإدخال!$D$5:$D$644,$A22)&gt;0,SUMIFS(الإدخال!$O$5:$O$644,الإدخال!$A$5:$A$644,L$5,الإدخال!$D$5:$D$644,$A22)/100,""))))</f>
        <v/>
      </c>
      <c r="M22" s="70" t="str">
        <f>IF($A22="","",IF(COUNTIFS(الإدخال!$A$5:$A$644,M$5,الإدخال!$D$5:$D$644,$A22,الإدخال!$F$5:$F$644,"غائب",الإدخال!$G$5:$G$644,"")&gt;0,"غ",IF(COUNTIFS(الإدخال!$A$5:$A$644,M$5,الإدخال!$D$5:$D$644,$A22,الإدخال!$F$5:$F$644,"معتذر",الإدخال!$G$5:$G$644,"")&gt;0,"ع",IF(SUMIFS(الإدخال!$P$5:$P$644,الإدخال!$A$5:$A$644,M$5,الإدخال!$D$5:$D$644,$A22)&gt;0,SUMIFS(الإدخال!$O$5:$O$644,الإدخال!$A$5:$A$644,M$5,الإدخال!$D$5:$D$644,$A22)/100,""))))</f>
        <v/>
      </c>
      <c r="N22" s="70" t="str">
        <f>IF($A22="","",IF(COUNTIFS(الإدخال!$A$5:$A$644,N$5,الإدخال!$D$5:$D$644,$A22,الإدخال!$F$5:$F$644,"غائب",الإدخال!$G$5:$G$644,"")&gt;0,"غ",IF(COUNTIFS(الإدخال!$A$5:$A$644,N$5,الإدخال!$D$5:$D$644,$A22,الإدخال!$F$5:$F$644,"معتذر",الإدخال!$G$5:$G$644,"")&gt;0,"ع",IF(SUMIFS(الإدخال!$P$5:$P$644,الإدخال!$A$5:$A$644,N$5,الإدخال!$D$5:$D$644,$A22)&gt;0,SUMIFS(الإدخال!$O$5:$O$644,الإدخال!$A$5:$A$644,N$5,الإدخال!$D$5:$D$644,$A22)/100,""))))</f>
        <v/>
      </c>
      <c r="O22" s="70" t="str">
        <f>IF($A22="","",IF(COUNTIFS(الإدخال!$A$5:$A$644,O$5,الإدخال!$D$5:$D$644,$A22,الإدخال!$F$5:$F$644,"غائب",الإدخال!$G$5:$G$644,"")&gt;0,"غ",IF(COUNTIFS(الإدخال!$A$5:$A$644,O$5,الإدخال!$D$5:$D$644,$A22,الإدخال!$F$5:$F$644,"معتذر",الإدخال!$G$5:$G$644,"")&gt;0,"ع",IF(SUMIFS(الإدخال!$P$5:$P$644,الإدخال!$A$5:$A$644,O$5,الإدخال!$D$5:$D$644,$A22)&gt;0,SUMIFS(الإدخال!$O$5:$O$644,الإدخال!$A$5:$A$644,O$5,الإدخال!$D$5:$D$644,$A22)/100,""))))</f>
        <v/>
      </c>
      <c r="P22" s="70" t="str">
        <f>IF($A22="","",IF(COUNTIFS(الإدخال!$A$5:$A$644,P$5,الإدخال!$D$5:$D$644,$A22,الإدخال!$F$5:$F$644,"غائب",الإدخال!$G$5:$G$644,"")&gt;0,"غ",IF(COUNTIFS(الإدخال!$A$5:$A$644,P$5,الإدخال!$D$5:$D$644,$A22,الإدخال!$F$5:$F$644,"معتذر",الإدخال!$G$5:$G$644,"")&gt;0,"ع",IF(SUMIFS(الإدخال!$P$5:$P$644,الإدخال!$A$5:$A$644,P$5,الإدخال!$D$5:$D$644,$A22)&gt;0,SUMIFS(الإدخال!$O$5:$O$644,الإدخال!$A$5:$A$644,P$5,الإدخال!$D$5:$D$644,$A22)/100,""))))</f>
        <v/>
      </c>
      <c r="Q22" s="70" t="str">
        <f>IF($A22="","",IF(COUNTIFS(الإدخال!$A$5:$A$644,Q$5,الإدخال!$D$5:$D$644,$A22,الإدخال!$F$5:$F$644,"غائب",الإدخال!$G$5:$G$644,"")&gt;0,"غ",IF(COUNTIFS(الإدخال!$A$5:$A$644,Q$5,الإدخال!$D$5:$D$644,$A22,الإدخال!$F$5:$F$644,"معتذر",الإدخال!$G$5:$G$644,"")&gt;0,"ع",IF(SUMIFS(الإدخال!$P$5:$P$644,الإدخال!$A$5:$A$644,Q$5,الإدخال!$D$5:$D$644,$A22)&gt;0,SUMIFS(الإدخال!$O$5:$O$644,الإدخال!$A$5:$A$644,Q$5,الإدخال!$D$5:$D$644,$A22)/100,""))))</f>
        <v/>
      </c>
      <c r="R22" s="70" t="str">
        <f>IF($A22="","",IF(COUNTIFS(الإدخال!$A$5:$A$644,R$5,الإدخال!$D$5:$D$644,$A22,الإدخال!$F$5:$F$644,"غائب",الإدخال!$G$5:$G$644,"")&gt;0,"غ",IF(COUNTIFS(الإدخال!$A$5:$A$644,R$5,الإدخال!$D$5:$D$644,$A22,الإدخال!$F$5:$F$644,"معتذر",الإدخال!$G$5:$G$644,"")&gt;0,"ع",IF(SUMIFS(الإدخال!$P$5:$P$644,الإدخال!$A$5:$A$644,R$5,الإدخال!$D$5:$D$644,$A22)&gt;0,SUMIFS(الإدخال!$O$5:$O$644,الإدخال!$A$5:$A$644,R$5,الإدخال!$D$5:$D$644,$A22)/100,""))))</f>
        <v/>
      </c>
      <c r="S22" s="70" t="str">
        <f>IF($A22="","",IF(COUNTIFS(الإدخال!$A$5:$A$644,S$5,الإدخال!$D$5:$D$644,$A22,الإدخال!$F$5:$F$644,"غائب",الإدخال!$G$5:$G$644,"")&gt;0,"غ",IF(COUNTIFS(الإدخال!$A$5:$A$644,S$5,الإدخال!$D$5:$D$644,$A22,الإدخال!$F$5:$F$644,"معتذر",الإدخال!$G$5:$G$644,"")&gt;0,"ع",IF(SUMIFS(الإدخال!$P$5:$P$644,الإدخال!$A$5:$A$644,S$5,الإدخال!$D$5:$D$644,$A22)&gt;0,SUMIFS(الإدخال!$O$5:$O$644,الإدخال!$A$5:$A$644,S$5,الإدخال!$D$5:$D$644,$A22)/100,""))))</f>
        <v/>
      </c>
      <c r="T22" s="71">
        <f>IF($A22="","",IFERROR(SUMIFS(الإدخال!$O$5:$O$644,الإدخال!$D$5:$D$644,$A22)/SUMIFS(الإدخال!$P$5:$P$644,الإدخال!$D$5:$D$644,$A22)/100,""))</f>
        <v>0.90500000000000003</v>
      </c>
      <c r="U22" s="72" t="str">
        <f t="shared" si="0"/>
        <v>ممتاز</v>
      </c>
      <c r="V22" s="72">
        <f>IF($A22="","",SUMIFS(الإدخال!$N$5:$N$644,الإدخال!$D$5:$D$644,$A22))</f>
        <v>2</v>
      </c>
      <c r="W22" s="73">
        <f>IF($A22="","",COUNTIFS(الإدخال!$D$5:$D$644,$A22,الإدخال!$F$5:$F$644,"متأخر"))</f>
        <v>0</v>
      </c>
      <c r="X22" s="73">
        <f>IF($A22="","",COUNTIFS(الإدخال!$D$5:$D$644,$A22,الإدخال!$F$5:$F$644,"غائب"))</f>
        <v>0</v>
      </c>
      <c r="Y22" s="73">
        <f>IF($A22="","",COUNTIFS(الإدخال!$D$5:$D$644,$A22,الإدخال!$F$5:$F$644,"معتذر"))</f>
        <v>0</v>
      </c>
      <c r="Z22" s="73">
        <f>IF($A22="","",SUMIFS(الإدخال!$H$5:$H$644,الإدخال!$D$5:$D$644,$A22,الإدخال!$N$5:$N$644,1))</f>
        <v>6</v>
      </c>
      <c r="AA22" s="73">
        <f>IF($A22="","",SUMIFS(الإدخال!$I$5:$I$644,الإدخال!$D$5:$D$644,$A22,الإدخال!$N$5:$N$644,1))</f>
        <v>80</v>
      </c>
      <c r="AB22" s="73">
        <f>IF($A22="","",SUMIFS(الإدخال!$J$5:$J$644,الإدخال!$D$5:$D$644,$A22,الإدخال!$N$5:$N$644,1))</f>
        <v>0</v>
      </c>
      <c r="AC22" s="36">
        <f>IFERROR(MATCH($C$3&amp;"|17",الطلاب!$E$5:$E$44,0),"")</f>
        <v>17</v>
      </c>
    </row>
    <row r="23" spans="1:29">
      <c r="A23" s="18">
        <f>IF($AC23="","",INDEX(الطلاب!$A$5:$A$44,$AC23))</f>
        <v>18</v>
      </c>
      <c r="B23" s="68" t="str">
        <f>IF($AC23="","",INDEX(الطلاب!$B$5:$B$44,$AC23))</f>
        <v xml:space="preserve">فيصل الدخيل </v>
      </c>
      <c r="C23" s="69" t="str">
        <f>IF($AC23="","",INDEX(الطلاب!$D$5:$D$44,$AC23))</f>
        <v xml:space="preserve">حسان بن ثابت </v>
      </c>
      <c r="D23" s="70">
        <f>IF($A23="","",IF(COUNTIFS(الإدخال!$A$5:$A$644,D$5,الإدخال!$D$5:$D$644,$A23,الإدخال!$F$5:$F$644,"غائب",الإدخال!$G$5:$G$644,"")&gt;0,"غ",IF(COUNTIFS(الإدخال!$A$5:$A$644,D$5,الإدخال!$D$5:$D$644,$A23,الإدخال!$F$5:$F$644,"معتذر",الإدخال!$G$5:$G$644,"")&gt;0,"ع",IF(SUMIFS(الإدخال!$P$5:$P$644,الإدخال!$A$5:$A$644,D$5,الإدخال!$D$5:$D$644,$A23)&gt;0,SUMIFS(الإدخال!$O$5:$O$644,الإدخال!$A$5:$A$644,D$5,الإدخال!$D$5:$D$644,$A23)/100,""))))</f>
        <v>0.65</v>
      </c>
      <c r="E23" s="70">
        <f>IF($A23="","",IF(COUNTIFS(الإدخال!$A$5:$A$644,E$5,الإدخال!$D$5:$D$644,$A23,الإدخال!$F$5:$F$644,"غائب",الإدخال!$G$5:$G$644,"")&gt;0,"غ",IF(COUNTIFS(الإدخال!$A$5:$A$644,E$5,الإدخال!$D$5:$D$644,$A23,الإدخال!$F$5:$F$644,"معتذر",الإدخال!$G$5:$G$644,"")&gt;0,"ع",IF(SUMIFS(الإدخال!$P$5:$P$644,الإدخال!$A$5:$A$644,E$5,الإدخال!$D$5:$D$644,$A23)&gt;0,SUMIFS(الإدخال!$O$5:$O$644,الإدخال!$A$5:$A$644,E$5,الإدخال!$D$5:$D$644,$A23)/100,""))))</f>
        <v>0.94</v>
      </c>
      <c r="F23" s="70" t="str">
        <f>IF($A23="","",IF(COUNTIFS(الإدخال!$A$5:$A$644,F$5,الإدخال!$D$5:$D$644,$A23,الإدخال!$F$5:$F$644,"غائب",الإدخال!$G$5:$G$644,"")&gt;0,"غ",IF(COUNTIFS(الإدخال!$A$5:$A$644,F$5,الإدخال!$D$5:$D$644,$A23,الإدخال!$F$5:$F$644,"معتذر",الإدخال!$G$5:$G$644,"")&gt;0,"ع",IF(SUMIFS(الإدخال!$P$5:$P$644,الإدخال!$A$5:$A$644,F$5,الإدخال!$D$5:$D$644,$A23)&gt;0,SUMIFS(الإدخال!$O$5:$O$644,الإدخال!$A$5:$A$644,F$5,الإدخال!$D$5:$D$644,$A23)/100,""))))</f>
        <v/>
      </c>
      <c r="G23" s="70" t="str">
        <f>IF($A23="","",IF(COUNTIFS(الإدخال!$A$5:$A$644,G$5,الإدخال!$D$5:$D$644,$A23,الإدخال!$F$5:$F$644,"غائب",الإدخال!$G$5:$G$644,"")&gt;0,"غ",IF(COUNTIFS(الإدخال!$A$5:$A$644,G$5,الإدخال!$D$5:$D$644,$A23,الإدخال!$F$5:$F$644,"معتذر",الإدخال!$G$5:$G$644,"")&gt;0,"ع",IF(SUMIFS(الإدخال!$P$5:$P$644,الإدخال!$A$5:$A$644,G$5,الإدخال!$D$5:$D$644,$A23)&gt;0,SUMIFS(الإدخال!$O$5:$O$644,الإدخال!$A$5:$A$644,G$5,الإدخال!$D$5:$D$644,$A23)/100,""))))</f>
        <v/>
      </c>
      <c r="H23" s="70" t="str">
        <f>IF($A23="","",IF(COUNTIFS(الإدخال!$A$5:$A$644,H$5,الإدخال!$D$5:$D$644,$A23,الإدخال!$F$5:$F$644,"غائب",الإدخال!$G$5:$G$644,"")&gt;0,"غ",IF(COUNTIFS(الإدخال!$A$5:$A$644,H$5,الإدخال!$D$5:$D$644,$A23,الإدخال!$F$5:$F$644,"معتذر",الإدخال!$G$5:$G$644,"")&gt;0,"ع",IF(SUMIFS(الإدخال!$P$5:$P$644,الإدخال!$A$5:$A$644,H$5,الإدخال!$D$5:$D$644,$A23)&gt;0,SUMIFS(الإدخال!$O$5:$O$644,الإدخال!$A$5:$A$644,H$5,الإدخال!$D$5:$D$644,$A23)/100,""))))</f>
        <v/>
      </c>
      <c r="I23" s="70" t="str">
        <f>IF($A23="","",IF(COUNTIFS(الإدخال!$A$5:$A$644,I$5,الإدخال!$D$5:$D$644,$A23,الإدخال!$F$5:$F$644,"غائب",الإدخال!$G$5:$G$644,"")&gt;0,"غ",IF(COUNTIFS(الإدخال!$A$5:$A$644,I$5,الإدخال!$D$5:$D$644,$A23,الإدخال!$F$5:$F$644,"معتذر",الإدخال!$G$5:$G$644,"")&gt;0,"ع",IF(SUMIFS(الإدخال!$P$5:$P$644,الإدخال!$A$5:$A$644,I$5,الإدخال!$D$5:$D$644,$A23)&gt;0,SUMIFS(الإدخال!$O$5:$O$644,الإدخال!$A$5:$A$644,I$5,الإدخال!$D$5:$D$644,$A23)/100,""))))</f>
        <v/>
      </c>
      <c r="J23" s="70" t="str">
        <f>IF($A23="","",IF(COUNTIFS(الإدخال!$A$5:$A$644,J$5,الإدخال!$D$5:$D$644,$A23,الإدخال!$F$5:$F$644,"غائب",الإدخال!$G$5:$G$644,"")&gt;0,"غ",IF(COUNTIFS(الإدخال!$A$5:$A$644,J$5,الإدخال!$D$5:$D$644,$A23,الإدخال!$F$5:$F$644,"معتذر",الإدخال!$G$5:$G$644,"")&gt;0,"ع",IF(SUMIFS(الإدخال!$P$5:$P$644,الإدخال!$A$5:$A$644,J$5,الإدخال!$D$5:$D$644,$A23)&gt;0,SUMIFS(الإدخال!$O$5:$O$644,الإدخال!$A$5:$A$644,J$5,الإدخال!$D$5:$D$644,$A23)/100,""))))</f>
        <v/>
      </c>
      <c r="K23" s="70" t="str">
        <f>IF($A23="","",IF(COUNTIFS(الإدخال!$A$5:$A$644,K$5,الإدخال!$D$5:$D$644,$A23,الإدخال!$F$5:$F$644,"غائب",الإدخال!$G$5:$G$644,"")&gt;0,"غ",IF(COUNTIFS(الإدخال!$A$5:$A$644,K$5,الإدخال!$D$5:$D$644,$A23,الإدخال!$F$5:$F$644,"معتذر",الإدخال!$G$5:$G$644,"")&gt;0,"ع",IF(SUMIFS(الإدخال!$P$5:$P$644,الإدخال!$A$5:$A$644,K$5,الإدخال!$D$5:$D$644,$A23)&gt;0,SUMIFS(الإدخال!$O$5:$O$644,الإدخال!$A$5:$A$644,K$5,الإدخال!$D$5:$D$644,$A23)/100,""))))</f>
        <v/>
      </c>
      <c r="L23" s="70" t="str">
        <f>IF($A23="","",IF(COUNTIFS(الإدخال!$A$5:$A$644,L$5,الإدخال!$D$5:$D$644,$A23,الإدخال!$F$5:$F$644,"غائب",الإدخال!$G$5:$G$644,"")&gt;0,"غ",IF(COUNTIFS(الإدخال!$A$5:$A$644,L$5,الإدخال!$D$5:$D$644,$A23,الإدخال!$F$5:$F$644,"معتذر",الإدخال!$G$5:$G$644,"")&gt;0,"ع",IF(SUMIFS(الإدخال!$P$5:$P$644,الإدخال!$A$5:$A$644,L$5,الإدخال!$D$5:$D$644,$A23)&gt;0,SUMIFS(الإدخال!$O$5:$O$644,الإدخال!$A$5:$A$644,L$5,الإدخال!$D$5:$D$644,$A23)/100,""))))</f>
        <v/>
      </c>
      <c r="M23" s="70" t="str">
        <f>IF($A23="","",IF(COUNTIFS(الإدخال!$A$5:$A$644,M$5,الإدخال!$D$5:$D$644,$A23,الإدخال!$F$5:$F$644,"غائب",الإدخال!$G$5:$G$644,"")&gt;0,"غ",IF(COUNTIFS(الإدخال!$A$5:$A$644,M$5,الإدخال!$D$5:$D$644,$A23,الإدخال!$F$5:$F$644,"معتذر",الإدخال!$G$5:$G$644,"")&gt;0,"ع",IF(SUMIFS(الإدخال!$P$5:$P$644,الإدخال!$A$5:$A$644,M$5,الإدخال!$D$5:$D$644,$A23)&gt;0,SUMIFS(الإدخال!$O$5:$O$644,الإدخال!$A$5:$A$644,M$5,الإدخال!$D$5:$D$644,$A23)/100,""))))</f>
        <v/>
      </c>
      <c r="N23" s="70" t="str">
        <f>IF($A23="","",IF(COUNTIFS(الإدخال!$A$5:$A$644,N$5,الإدخال!$D$5:$D$644,$A23,الإدخال!$F$5:$F$644,"غائب",الإدخال!$G$5:$G$644,"")&gt;0,"غ",IF(COUNTIFS(الإدخال!$A$5:$A$644,N$5,الإدخال!$D$5:$D$644,$A23,الإدخال!$F$5:$F$644,"معتذر",الإدخال!$G$5:$G$644,"")&gt;0,"ع",IF(SUMIFS(الإدخال!$P$5:$P$644,الإدخال!$A$5:$A$644,N$5,الإدخال!$D$5:$D$644,$A23)&gt;0,SUMIFS(الإدخال!$O$5:$O$644,الإدخال!$A$5:$A$644,N$5,الإدخال!$D$5:$D$644,$A23)/100,""))))</f>
        <v/>
      </c>
      <c r="O23" s="70" t="str">
        <f>IF($A23="","",IF(COUNTIFS(الإدخال!$A$5:$A$644,O$5,الإدخال!$D$5:$D$644,$A23,الإدخال!$F$5:$F$644,"غائب",الإدخال!$G$5:$G$644,"")&gt;0,"غ",IF(COUNTIFS(الإدخال!$A$5:$A$644,O$5,الإدخال!$D$5:$D$644,$A23,الإدخال!$F$5:$F$644,"معتذر",الإدخال!$G$5:$G$644,"")&gt;0,"ع",IF(SUMIFS(الإدخال!$P$5:$P$644,الإدخال!$A$5:$A$644,O$5,الإدخال!$D$5:$D$644,$A23)&gt;0,SUMIFS(الإدخال!$O$5:$O$644,الإدخال!$A$5:$A$644,O$5,الإدخال!$D$5:$D$644,$A23)/100,""))))</f>
        <v/>
      </c>
      <c r="P23" s="70" t="str">
        <f>IF($A23="","",IF(COUNTIFS(الإدخال!$A$5:$A$644,P$5,الإدخال!$D$5:$D$644,$A23,الإدخال!$F$5:$F$644,"غائب",الإدخال!$G$5:$G$644,"")&gt;0,"غ",IF(COUNTIFS(الإدخال!$A$5:$A$644,P$5,الإدخال!$D$5:$D$644,$A23,الإدخال!$F$5:$F$644,"معتذر",الإدخال!$G$5:$G$644,"")&gt;0,"ع",IF(SUMIFS(الإدخال!$P$5:$P$644,الإدخال!$A$5:$A$644,P$5,الإدخال!$D$5:$D$644,$A23)&gt;0,SUMIFS(الإدخال!$O$5:$O$644,الإدخال!$A$5:$A$644,P$5,الإدخال!$D$5:$D$644,$A23)/100,""))))</f>
        <v/>
      </c>
      <c r="Q23" s="70" t="str">
        <f>IF($A23="","",IF(COUNTIFS(الإدخال!$A$5:$A$644,Q$5,الإدخال!$D$5:$D$644,$A23,الإدخال!$F$5:$F$644,"غائب",الإدخال!$G$5:$G$644,"")&gt;0,"غ",IF(COUNTIFS(الإدخال!$A$5:$A$644,Q$5,الإدخال!$D$5:$D$644,$A23,الإدخال!$F$5:$F$644,"معتذر",الإدخال!$G$5:$G$644,"")&gt;0,"ع",IF(SUMIFS(الإدخال!$P$5:$P$644,الإدخال!$A$5:$A$644,Q$5,الإدخال!$D$5:$D$644,$A23)&gt;0,SUMIFS(الإدخال!$O$5:$O$644,الإدخال!$A$5:$A$644,Q$5,الإدخال!$D$5:$D$644,$A23)/100,""))))</f>
        <v/>
      </c>
      <c r="R23" s="70" t="str">
        <f>IF($A23="","",IF(COUNTIFS(الإدخال!$A$5:$A$644,R$5,الإدخال!$D$5:$D$644,$A23,الإدخال!$F$5:$F$644,"غائب",الإدخال!$G$5:$G$644,"")&gt;0,"غ",IF(COUNTIFS(الإدخال!$A$5:$A$644,R$5,الإدخال!$D$5:$D$644,$A23,الإدخال!$F$5:$F$644,"معتذر",الإدخال!$G$5:$G$644,"")&gt;0,"ع",IF(SUMIFS(الإدخال!$P$5:$P$644,الإدخال!$A$5:$A$644,R$5,الإدخال!$D$5:$D$644,$A23)&gt;0,SUMIFS(الإدخال!$O$5:$O$644,الإدخال!$A$5:$A$644,R$5,الإدخال!$D$5:$D$644,$A23)/100,""))))</f>
        <v/>
      </c>
      <c r="S23" s="70" t="str">
        <f>IF($A23="","",IF(COUNTIFS(الإدخال!$A$5:$A$644,S$5,الإدخال!$D$5:$D$644,$A23,الإدخال!$F$5:$F$644,"غائب",الإدخال!$G$5:$G$644,"")&gt;0,"غ",IF(COUNTIFS(الإدخال!$A$5:$A$644,S$5,الإدخال!$D$5:$D$644,$A23,الإدخال!$F$5:$F$644,"معتذر",الإدخال!$G$5:$G$644,"")&gt;0,"ع",IF(SUMIFS(الإدخال!$P$5:$P$644,الإدخال!$A$5:$A$644,S$5,الإدخال!$D$5:$D$644,$A23)&gt;0,SUMIFS(الإدخال!$O$5:$O$644,الإدخال!$A$5:$A$644,S$5,الإدخال!$D$5:$D$644,$A23)/100,""))))</f>
        <v/>
      </c>
      <c r="T23" s="71">
        <f>IF($A23="","",IFERROR(SUMIFS(الإدخال!$O$5:$O$644,الإدخال!$D$5:$D$644,$A23)/SUMIFS(الإدخال!$P$5:$P$644,الإدخال!$D$5:$D$644,$A23)/100,""))</f>
        <v>0.79500000000000004</v>
      </c>
      <c r="U23" s="72" t="str">
        <f t="shared" si="0"/>
        <v>جيد</v>
      </c>
      <c r="V23" s="72">
        <f>IF($A23="","",SUMIFS(الإدخال!$N$5:$N$644,الإدخال!$D$5:$D$644,$A23))</f>
        <v>2</v>
      </c>
      <c r="W23" s="73">
        <f>IF($A23="","",COUNTIFS(الإدخال!$D$5:$D$644,$A23,الإدخال!$F$5:$F$644,"متأخر"))</f>
        <v>0</v>
      </c>
      <c r="X23" s="73">
        <f>IF($A23="","",COUNTIFS(الإدخال!$D$5:$D$644,$A23,الإدخال!$F$5:$F$644,"غائب"))</f>
        <v>0</v>
      </c>
      <c r="Y23" s="73">
        <f>IF($A23="","",COUNTIFS(الإدخال!$D$5:$D$644,$A23,الإدخال!$F$5:$F$644,"معتذر"))</f>
        <v>0</v>
      </c>
      <c r="Z23" s="73">
        <f>IF($A23="","",SUMIFS(الإدخال!$H$5:$H$644,الإدخال!$D$5:$D$644,$A23,الإدخال!$N$5:$N$644,1))</f>
        <v>9</v>
      </c>
      <c r="AA23" s="73">
        <f>IF($A23="","",SUMIFS(الإدخال!$I$5:$I$644,الإدخال!$D$5:$D$644,$A23,الإدخال!$N$5:$N$644,1))</f>
        <v>10</v>
      </c>
      <c r="AB23" s="73">
        <f>IF($A23="","",SUMIFS(الإدخال!$J$5:$J$644,الإدخال!$D$5:$D$644,$A23,الإدخال!$N$5:$N$644,1))</f>
        <v>0</v>
      </c>
      <c r="AC23" s="36">
        <f>IFERROR(MATCH($C$3&amp;"|18",الطلاب!$E$5:$E$44,0),"")</f>
        <v>18</v>
      </c>
    </row>
    <row r="24" spans="1:29">
      <c r="A24" s="18">
        <f>IF($AC24="","",INDEX(الطلاب!$A$5:$A$44,$AC24))</f>
        <v>19</v>
      </c>
      <c r="B24" s="68" t="str">
        <f>IF($AC24="","",INDEX(الطلاب!$B$5:$B$44,$AC24))</f>
        <v xml:space="preserve">سليمان المحيميد </v>
      </c>
      <c r="C24" s="69" t="str">
        <f>IF($AC24="","",INDEX(الطلاب!$D$5:$D$44,$AC24))</f>
        <v xml:space="preserve">حسان بن ثابت </v>
      </c>
      <c r="D24" s="70">
        <f>IF($A24="","",IF(COUNTIFS(الإدخال!$A$5:$A$644,D$5,الإدخال!$D$5:$D$644,$A24,الإدخال!$F$5:$F$644,"غائب",الإدخال!$G$5:$G$644,"")&gt;0,"غ",IF(COUNTIFS(الإدخال!$A$5:$A$644,D$5,الإدخال!$D$5:$D$644,$A24,الإدخال!$F$5:$F$644,"معتذر",الإدخال!$G$5:$G$644,"")&gt;0,"ع",IF(SUMIFS(الإدخال!$P$5:$P$644,الإدخال!$A$5:$A$644,D$5,الإدخال!$D$5:$D$644,$A24)&gt;0,SUMIFS(الإدخال!$O$5:$O$644,الإدخال!$A$5:$A$644,D$5,الإدخال!$D$5:$D$644,$A24)/100,""))))</f>
        <v>0.93</v>
      </c>
      <c r="E24" s="70">
        <f>IF($A24="","",IF(COUNTIFS(الإدخال!$A$5:$A$644,E$5,الإدخال!$D$5:$D$644,$A24,الإدخال!$F$5:$F$644,"غائب",الإدخال!$G$5:$G$644,"")&gt;0,"غ",IF(COUNTIFS(الإدخال!$A$5:$A$644,E$5,الإدخال!$D$5:$D$644,$A24,الإدخال!$F$5:$F$644,"معتذر",الإدخال!$G$5:$G$644,"")&gt;0,"ع",IF(SUMIFS(الإدخال!$P$5:$P$644,الإدخال!$A$5:$A$644,E$5,الإدخال!$D$5:$D$644,$A24)&gt;0,SUMIFS(الإدخال!$O$5:$O$644,الإدخال!$A$5:$A$644,E$5,الإدخال!$D$5:$D$644,$A24)/100,""))))</f>
        <v>0.62</v>
      </c>
      <c r="F24" s="70" t="str">
        <f>IF($A24="","",IF(COUNTIFS(الإدخال!$A$5:$A$644,F$5,الإدخال!$D$5:$D$644,$A24,الإدخال!$F$5:$F$644,"غائب",الإدخال!$G$5:$G$644,"")&gt;0,"غ",IF(COUNTIFS(الإدخال!$A$5:$A$644,F$5,الإدخال!$D$5:$D$644,$A24,الإدخال!$F$5:$F$644,"معتذر",الإدخال!$G$5:$G$644,"")&gt;0,"ع",IF(SUMIFS(الإدخال!$P$5:$P$644,الإدخال!$A$5:$A$644,F$5,الإدخال!$D$5:$D$644,$A24)&gt;0,SUMIFS(الإدخال!$O$5:$O$644,الإدخال!$A$5:$A$644,F$5,الإدخال!$D$5:$D$644,$A24)/100,""))))</f>
        <v/>
      </c>
      <c r="G24" s="70" t="str">
        <f>IF($A24="","",IF(COUNTIFS(الإدخال!$A$5:$A$644,G$5,الإدخال!$D$5:$D$644,$A24,الإدخال!$F$5:$F$644,"غائب",الإدخال!$G$5:$G$644,"")&gt;0,"غ",IF(COUNTIFS(الإدخال!$A$5:$A$644,G$5,الإدخال!$D$5:$D$644,$A24,الإدخال!$F$5:$F$644,"معتذر",الإدخال!$G$5:$G$644,"")&gt;0,"ع",IF(SUMIFS(الإدخال!$P$5:$P$644,الإدخال!$A$5:$A$644,G$5,الإدخال!$D$5:$D$644,$A24)&gt;0,SUMIFS(الإدخال!$O$5:$O$644,الإدخال!$A$5:$A$644,G$5,الإدخال!$D$5:$D$644,$A24)/100,""))))</f>
        <v/>
      </c>
      <c r="H24" s="70" t="str">
        <f>IF($A24="","",IF(COUNTIFS(الإدخال!$A$5:$A$644,H$5,الإدخال!$D$5:$D$644,$A24,الإدخال!$F$5:$F$644,"غائب",الإدخال!$G$5:$G$644,"")&gt;0,"غ",IF(COUNTIFS(الإدخال!$A$5:$A$644,H$5,الإدخال!$D$5:$D$644,$A24,الإدخال!$F$5:$F$644,"معتذر",الإدخال!$G$5:$G$644,"")&gt;0,"ع",IF(SUMIFS(الإدخال!$P$5:$P$644,الإدخال!$A$5:$A$644,H$5,الإدخال!$D$5:$D$644,$A24)&gt;0,SUMIFS(الإدخال!$O$5:$O$644,الإدخال!$A$5:$A$644,H$5,الإدخال!$D$5:$D$644,$A24)/100,""))))</f>
        <v/>
      </c>
      <c r="I24" s="70" t="str">
        <f>IF($A24="","",IF(COUNTIFS(الإدخال!$A$5:$A$644,I$5,الإدخال!$D$5:$D$644,$A24,الإدخال!$F$5:$F$644,"غائب",الإدخال!$G$5:$G$644,"")&gt;0,"غ",IF(COUNTIFS(الإدخال!$A$5:$A$644,I$5,الإدخال!$D$5:$D$644,$A24,الإدخال!$F$5:$F$644,"معتذر",الإدخال!$G$5:$G$644,"")&gt;0,"ع",IF(SUMIFS(الإدخال!$P$5:$P$644,الإدخال!$A$5:$A$644,I$5,الإدخال!$D$5:$D$644,$A24)&gt;0,SUMIFS(الإدخال!$O$5:$O$644,الإدخال!$A$5:$A$644,I$5,الإدخال!$D$5:$D$644,$A24)/100,""))))</f>
        <v/>
      </c>
      <c r="J24" s="70" t="str">
        <f>IF($A24="","",IF(COUNTIFS(الإدخال!$A$5:$A$644,J$5,الإدخال!$D$5:$D$644,$A24,الإدخال!$F$5:$F$644,"غائب",الإدخال!$G$5:$G$644,"")&gt;0,"غ",IF(COUNTIFS(الإدخال!$A$5:$A$644,J$5,الإدخال!$D$5:$D$644,$A24,الإدخال!$F$5:$F$644,"معتذر",الإدخال!$G$5:$G$644,"")&gt;0,"ع",IF(SUMIFS(الإدخال!$P$5:$P$644,الإدخال!$A$5:$A$644,J$5,الإدخال!$D$5:$D$644,$A24)&gt;0,SUMIFS(الإدخال!$O$5:$O$644,الإدخال!$A$5:$A$644,J$5,الإدخال!$D$5:$D$644,$A24)/100,""))))</f>
        <v/>
      </c>
      <c r="K24" s="70" t="str">
        <f>IF($A24="","",IF(COUNTIFS(الإدخال!$A$5:$A$644,K$5,الإدخال!$D$5:$D$644,$A24,الإدخال!$F$5:$F$644,"غائب",الإدخال!$G$5:$G$644,"")&gt;0,"غ",IF(COUNTIFS(الإدخال!$A$5:$A$644,K$5,الإدخال!$D$5:$D$644,$A24,الإدخال!$F$5:$F$644,"معتذر",الإدخال!$G$5:$G$644,"")&gt;0,"ع",IF(SUMIFS(الإدخال!$P$5:$P$644,الإدخال!$A$5:$A$644,K$5,الإدخال!$D$5:$D$644,$A24)&gt;0,SUMIFS(الإدخال!$O$5:$O$644,الإدخال!$A$5:$A$644,K$5,الإدخال!$D$5:$D$644,$A24)/100,""))))</f>
        <v/>
      </c>
      <c r="L24" s="70" t="str">
        <f>IF($A24="","",IF(COUNTIFS(الإدخال!$A$5:$A$644,L$5,الإدخال!$D$5:$D$644,$A24,الإدخال!$F$5:$F$644,"غائب",الإدخال!$G$5:$G$644,"")&gt;0,"غ",IF(COUNTIFS(الإدخال!$A$5:$A$644,L$5,الإدخال!$D$5:$D$644,$A24,الإدخال!$F$5:$F$644,"معتذر",الإدخال!$G$5:$G$644,"")&gt;0,"ع",IF(SUMIFS(الإدخال!$P$5:$P$644,الإدخال!$A$5:$A$644,L$5,الإدخال!$D$5:$D$644,$A24)&gt;0,SUMIFS(الإدخال!$O$5:$O$644,الإدخال!$A$5:$A$644,L$5,الإدخال!$D$5:$D$644,$A24)/100,""))))</f>
        <v/>
      </c>
      <c r="M24" s="70" t="str">
        <f>IF($A24="","",IF(COUNTIFS(الإدخال!$A$5:$A$644,M$5,الإدخال!$D$5:$D$644,$A24,الإدخال!$F$5:$F$644,"غائب",الإدخال!$G$5:$G$644,"")&gt;0,"غ",IF(COUNTIFS(الإدخال!$A$5:$A$644,M$5,الإدخال!$D$5:$D$644,$A24,الإدخال!$F$5:$F$644,"معتذر",الإدخال!$G$5:$G$644,"")&gt;0,"ع",IF(SUMIFS(الإدخال!$P$5:$P$644,الإدخال!$A$5:$A$644,M$5,الإدخال!$D$5:$D$644,$A24)&gt;0,SUMIFS(الإدخال!$O$5:$O$644,الإدخال!$A$5:$A$644,M$5,الإدخال!$D$5:$D$644,$A24)/100,""))))</f>
        <v/>
      </c>
      <c r="N24" s="70" t="str">
        <f>IF($A24="","",IF(COUNTIFS(الإدخال!$A$5:$A$644,N$5,الإدخال!$D$5:$D$644,$A24,الإدخال!$F$5:$F$644,"غائب",الإدخال!$G$5:$G$644,"")&gt;0,"غ",IF(COUNTIFS(الإدخال!$A$5:$A$644,N$5,الإدخال!$D$5:$D$644,$A24,الإدخال!$F$5:$F$644,"معتذر",الإدخال!$G$5:$G$644,"")&gt;0,"ع",IF(SUMIFS(الإدخال!$P$5:$P$644,الإدخال!$A$5:$A$644,N$5,الإدخال!$D$5:$D$644,$A24)&gt;0,SUMIFS(الإدخال!$O$5:$O$644,الإدخال!$A$5:$A$644,N$5,الإدخال!$D$5:$D$644,$A24)/100,""))))</f>
        <v/>
      </c>
      <c r="O24" s="70" t="str">
        <f>IF($A24="","",IF(COUNTIFS(الإدخال!$A$5:$A$644,O$5,الإدخال!$D$5:$D$644,$A24,الإدخال!$F$5:$F$644,"غائب",الإدخال!$G$5:$G$644,"")&gt;0,"غ",IF(COUNTIFS(الإدخال!$A$5:$A$644,O$5,الإدخال!$D$5:$D$644,$A24,الإدخال!$F$5:$F$644,"معتذر",الإدخال!$G$5:$G$644,"")&gt;0,"ع",IF(SUMIFS(الإدخال!$P$5:$P$644,الإدخال!$A$5:$A$644,O$5,الإدخال!$D$5:$D$644,$A24)&gt;0,SUMIFS(الإدخال!$O$5:$O$644,الإدخال!$A$5:$A$644,O$5,الإدخال!$D$5:$D$644,$A24)/100,""))))</f>
        <v/>
      </c>
      <c r="P24" s="70" t="str">
        <f>IF($A24="","",IF(COUNTIFS(الإدخال!$A$5:$A$644,P$5,الإدخال!$D$5:$D$644,$A24,الإدخال!$F$5:$F$644,"غائب",الإدخال!$G$5:$G$644,"")&gt;0,"غ",IF(COUNTIFS(الإدخال!$A$5:$A$644,P$5,الإدخال!$D$5:$D$644,$A24,الإدخال!$F$5:$F$644,"معتذر",الإدخال!$G$5:$G$644,"")&gt;0,"ع",IF(SUMIFS(الإدخال!$P$5:$P$644,الإدخال!$A$5:$A$644,P$5,الإدخال!$D$5:$D$644,$A24)&gt;0,SUMIFS(الإدخال!$O$5:$O$644,الإدخال!$A$5:$A$644,P$5,الإدخال!$D$5:$D$644,$A24)/100,""))))</f>
        <v/>
      </c>
      <c r="Q24" s="70" t="str">
        <f>IF($A24="","",IF(COUNTIFS(الإدخال!$A$5:$A$644,Q$5,الإدخال!$D$5:$D$644,$A24,الإدخال!$F$5:$F$644,"غائب",الإدخال!$G$5:$G$644,"")&gt;0,"غ",IF(COUNTIFS(الإدخال!$A$5:$A$644,Q$5,الإدخال!$D$5:$D$644,$A24,الإدخال!$F$5:$F$644,"معتذر",الإدخال!$G$5:$G$644,"")&gt;0,"ع",IF(SUMIFS(الإدخال!$P$5:$P$644,الإدخال!$A$5:$A$644,Q$5,الإدخال!$D$5:$D$644,$A24)&gt;0,SUMIFS(الإدخال!$O$5:$O$644,الإدخال!$A$5:$A$644,Q$5,الإدخال!$D$5:$D$644,$A24)/100,""))))</f>
        <v/>
      </c>
      <c r="R24" s="70" t="str">
        <f>IF($A24="","",IF(COUNTIFS(الإدخال!$A$5:$A$644,R$5,الإدخال!$D$5:$D$644,$A24,الإدخال!$F$5:$F$644,"غائب",الإدخال!$G$5:$G$644,"")&gt;0,"غ",IF(COUNTIFS(الإدخال!$A$5:$A$644,R$5,الإدخال!$D$5:$D$644,$A24,الإدخال!$F$5:$F$644,"معتذر",الإدخال!$G$5:$G$644,"")&gt;0,"ع",IF(SUMIFS(الإدخال!$P$5:$P$644,الإدخال!$A$5:$A$644,R$5,الإدخال!$D$5:$D$644,$A24)&gt;0,SUMIFS(الإدخال!$O$5:$O$644,الإدخال!$A$5:$A$644,R$5,الإدخال!$D$5:$D$644,$A24)/100,""))))</f>
        <v/>
      </c>
      <c r="S24" s="70" t="str">
        <f>IF($A24="","",IF(COUNTIFS(الإدخال!$A$5:$A$644,S$5,الإدخال!$D$5:$D$644,$A24,الإدخال!$F$5:$F$644,"غائب",الإدخال!$G$5:$G$644,"")&gt;0,"غ",IF(COUNTIFS(الإدخال!$A$5:$A$644,S$5,الإدخال!$D$5:$D$644,$A24,الإدخال!$F$5:$F$644,"معتذر",الإدخال!$G$5:$G$644,"")&gt;0,"ع",IF(SUMIFS(الإدخال!$P$5:$P$644,الإدخال!$A$5:$A$644,S$5,الإدخال!$D$5:$D$644,$A24)&gt;0,SUMIFS(الإدخال!$O$5:$O$644,الإدخال!$A$5:$A$644,S$5,الإدخال!$D$5:$D$644,$A24)/100,""))))</f>
        <v/>
      </c>
      <c r="T24" s="71">
        <f>IF($A24="","",IFERROR(SUMIFS(الإدخال!$O$5:$O$644,الإدخال!$D$5:$D$644,$A24)/SUMIFS(الإدخال!$P$5:$P$644,الإدخال!$D$5:$D$644,$A24)/100,""))</f>
        <v>0.77500000000000002</v>
      </c>
      <c r="U24" s="72" t="str">
        <f t="shared" si="0"/>
        <v>جيد</v>
      </c>
      <c r="V24" s="72">
        <f>IF($A24="","",SUMIFS(الإدخال!$N$5:$N$644,الإدخال!$D$5:$D$644,$A24))</f>
        <v>1</v>
      </c>
      <c r="W24" s="73">
        <f>IF($A24="","",COUNTIFS(الإدخال!$D$5:$D$644,$A24,الإدخال!$F$5:$F$644,"متأخر"))</f>
        <v>0</v>
      </c>
      <c r="X24" s="73">
        <f>IF($A24="","",COUNTIFS(الإدخال!$D$5:$D$644,$A24,الإدخال!$F$5:$F$644,"غائب"))</f>
        <v>0</v>
      </c>
      <c r="Y24" s="73">
        <f>IF($A24="","",COUNTIFS(الإدخال!$D$5:$D$644,$A24,الإدخال!$F$5:$F$644,"معتذر"))</f>
        <v>1</v>
      </c>
      <c r="Z24" s="73">
        <f>IF($A24="","",SUMIFS(الإدخال!$H$5:$H$644,الإدخال!$D$5:$D$644,$A24,الإدخال!$N$5:$N$644,1))</f>
        <v>6</v>
      </c>
      <c r="AA24" s="73">
        <f>IF($A24="","",SUMIFS(الإدخال!$I$5:$I$644,الإدخال!$D$5:$D$644,$A24,الإدخال!$N$5:$N$644,1))</f>
        <v>22</v>
      </c>
      <c r="AB24" s="73">
        <f>IF($A24="","",SUMIFS(الإدخال!$J$5:$J$644,الإدخال!$D$5:$D$644,$A24,الإدخال!$N$5:$N$644,1))</f>
        <v>0</v>
      </c>
      <c r="AC24" s="36">
        <f>IFERROR(MATCH($C$3&amp;"|19",الطلاب!$E$5:$E$44,0),"")</f>
        <v>19</v>
      </c>
    </row>
    <row r="25" spans="1:29" ht="27.95">
      <c r="A25" s="18">
        <f>IF($AC25="","",INDEX(الطلاب!$A$5:$A$44,$AC25))</f>
        <v>37</v>
      </c>
      <c r="B25" s="74" t="str">
        <f>IF($AC25="","",INDEX(الطلاب!$B$5:$B$44,$AC25))</f>
        <v xml:space="preserve">أسامة السعوي </v>
      </c>
      <c r="C25" s="72" t="str">
        <f>IF($AC25="","",INDEX(الطلاب!$D$5:$D$44,$AC25))</f>
        <v xml:space="preserve">عبدالرحمن بن النعمان </v>
      </c>
      <c r="D25" s="70" t="str">
        <f>IF($A25="","",IF(COUNTIFS(الإدخال!$A$5:$A$644,D$5,الإدخال!$D$5:$D$644,$A25,الإدخال!$F$5:$F$644,"غائب",الإدخال!$G$5:$G$644,"")&gt;0,"غ",IF(COUNTIFS(الإدخال!$A$5:$A$644,D$5,الإدخال!$D$5:$D$644,$A25,الإدخال!$F$5:$F$644,"معتذر",الإدخال!$G$5:$G$644,"")&gt;0,"ع",IF(SUMIFS(الإدخال!$P$5:$P$644,الإدخال!$A$5:$A$644,D$5,الإدخال!$D$5:$D$644,$A25)&gt;0,SUMIFS(الإدخال!$O$5:$O$644,الإدخال!$A$5:$A$644,D$5,الإدخال!$D$5:$D$644,$A25)/100,""))))</f>
        <v/>
      </c>
      <c r="E25" s="70">
        <f>IF($A25="","",IF(COUNTIFS(الإدخال!$A$5:$A$644,E$5,الإدخال!$D$5:$D$644,$A25,الإدخال!$F$5:$F$644,"غائب",الإدخال!$G$5:$G$644,"")&gt;0,"غ",IF(COUNTIFS(الإدخال!$A$5:$A$644,E$5,الإدخال!$D$5:$D$644,$A25,الإدخال!$F$5:$F$644,"معتذر",الإدخال!$G$5:$G$644,"")&gt;0,"ع",IF(SUMIFS(الإدخال!$P$5:$P$644,الإدخال!$A$5:$A$644,E$5,الإدخال!$D$5:$D$644,$A25)&gt;0,SUMIFS(الإدخال!$O$5:$O$644,الإدخال!$A$5:$A$644,E$5,الإدخال!$D$5:$D$644,$A25)/100,""))))</f>
        <v>0.82</v>
      </c>
      <c r="F25" s="70" t="str">
        <f>IF($A25="","",IF(COUNTIFS(الإدخال!$A$5:$A$644,F$5,الإدخال!$D$5:$D$644,$A25,الإدخال!$F$5:$F$644,"غائب",الإدخال!$G$5:$G$644,"")&gt;0,"غ",IF(COUNTIFS(الإدخال!$A$5:$A$644,F$5,الإدخال!$D$5:$D$644,$A25,الإدخال!$F$5:$F$644,"معتذر",الإدخال!$G$5:$G$644,"")&gt;0,"ع",IF(SUMIFS(الإدخال!$P$5:$P$644,الإدخال!$A$5:$A$644,F$5,الإدخال!$D$5:$D$644,$A25)&gt;0,SUMIFS(الإدخال!$O$5:$O$644,الإدخال!$A$5:$A$644,F$5,الإدخال!$D$5:$D$644,$A25)/100,""))))</f>
        <v/>
      </c>
      <c r="G25" s="70" t="str">
        <f>IF($A25="","",IF(COUNTIFS(الإدخال!$A$5:$A$644,G$5,الإدخال!$D$5:$D$644,$A25,الإدخال!$F$5:$F$644,"غائب",الإدخال!$G$5:$G$644,"")&gt;0,"غ",IF(COUNTIFS(الإدخال!$A$5:$A$644,G$5,الإدخال!$D$5:$D$644,$A25,الإدخال!$F$5:$F$644,"معتذر",الإدخال!$G$5:$G$644,"")&gt;0,"ع",IF(SUMIFS(الإدخال!$P$5:$P$644,الإدخال!$A$5:$A$644,G$5,الإدخال!$D$5:$D$644,$A25)&gt;0,SUMIFS(الإدخال!$O$5:$O$644,الإدخال!$A$5:$A$644,G$5,الإدخال!$D$5:$D$644,$A25)/100,""))))</f>
        <v/>
      </c>
      <c r="H25" s="70" t="str">
        <f>IF($A25="","",IF(COUNTIFS(الإدخال!$A$5:$A$644,H$5,الإدخال!$D$5:$D$644,$A25,الإدخال!$F$5:$F$644,"غائب",الإدخال!$G$5:$G$644,"")&gt;0,"غ",IF(COUNTIFS(الإدخال!$A$5:$A$644,H$5,الإدخال!$D$5:$D$644,$A25,الإدخال!$F$5:$F$644,"معتذر",الإدخال!$G$5:$G$644,"")&gt;0,"ع",IF(SUMIFS(الإدخال!$P$5:$P$644,الإدخال!$A$5:$A$644,H$5,الإدخال!$D$5:$D$644,$A25)&gt;0,SUMIFS(الإدخال!$O$5:$O$644,الإدخال!$A$5:$A$644,H$5,الإدخال!$D$5:$D$644,$A25)/100,""))))</f>
        <v/>
      </c>
      <c r="I25" s="70" t="str">
        <f>IF($A25="","",IF(COUNTIFS(الإدخال!$A$5:$A$644,I$5,الإدخال!$D$5:$D$644,$A25,الإدخال!$F$5:$F$644,"غائب",الإدخال!$G$5:$G$644,"")&gt;0,"غ",IF(COUNTIFS(الإدخال!$A$5:$A$644,I$5,الإدخال!$D$5:$D$644,$A25,الإدخال!$F$5:$F$644,"معتذر",الإدخال!$G$5:$G$644,"")&gt;0,"ع",IF(SUMIFS(الإدخال!$P$5:$P$644,الإدخال!$A$5:$A$644,I$5,الإدخال!$D$5:$D$644,$A25)&gt;0,SUMIFS(الإدخال!$O$5:$O$644,الإدخال!$A$5:$A$644,I$5,الإدخال!$D$5:$D$644,$A25)/100,""))))</f>
        <v/>
      </c>
      <c r="J25" s="70" t="str">
        <f>IF($A25="","",IF(COUNTIFS(الإدخال!$A$5:$A$644,J$5,الإدخال!$D$5:$D$644,$A25,الإدخال!$F$5:$F$644,"غائب",الإدخال!$G$5:$G$644,"")&gt;0,"غ",IF(COUNTIFS(الإدخال!$A$5:$A$644,J$5,الإدخال!$D$5:$D$644,$A25,الإدخال!$F$5:$F$644,"معتذر",الإدخال!$G$5:$G$644,"")&gt;0,"ع",IF(SUMIFS(الإدخال!$P$5:$P$644,الإدخال!$A$5:$A$644,J$5,الإدخال!$D$5:$D$644,$A25)&gt;0,SUMIFS(الإدخال!$O$5:$O$644,الإدخال!$A$5:$A$644,J$5,الإدخال!$D$5:$D$644,$A25)/100,""))))</f>
        <v/>
      </c>
      <c r="K25" s="70" t="str">
        <f>IF($A25="","",IF(COUNTIFS(الإدخال!$A$5:$A$644,K$5,الإدخال!$D$5:$D$644,$A25,الإدخال!$F$5:$F$644,"غائب",الإدخال!$G$5:$G$644,"")&gt;0,"غ",IF(COUNTIFS(الإدخال!$A$5:$A$644,K$5,الإدخال!$D$5:$D$644,$A25,الإدخال!$F$5:$F$644,"معتذر",الإدخال!$G$5:$G$644,"")&gt;0,"ع",IF(SUMIFS(الإدخال!$P$5:$P$644,الإدخال!$A$5:$A$644,K$5,الإدخال!$D$5:$D$644,$A25)&gt;0,SUMIFS(الإدخال!$O$5:$O$644,الإدخال!$A$5:$A$644,K$5,الإدخال!$D$5:$D$644,$A25)/100,""))))</f>
        <v/>
      </c>
      <c r="L25" s="70" t="str">
        <f>IF($A25="","",IF(COUNTIFS(الإدخال!$A$5:$A$644,L$5,الإدخال!$D$5:$D$644,$A25,الإدخال!$F$5:$F$644,"غائب",الإدخال!$G$5:$G$644,"")&gt;0,"غ",IF(COUNTIFS(الإدخال!$A$5:$A$644,L$5,الإدخال!$D$5:$D$644,$A25,الإدخال!$F$5:$F$644,"معتذر",الإدخال!$G$5:$G$644,"")&gt;0,"ع",IF(SUMIFS(الإدخال!$P$5:$P$644,الإدخال!$A$5:$A$644,L$5,الإدخال!$D$5:$D$644,$A25)&gt;0,SUMIFS(الإدخال!$O$5:$O$644,الإدخال!$A$5:$A$644,L$5,الإدخال!$D$5:$D$644,$A25)/100,""))))</f>
        <v/>
      </c>
      <c r="M25" s="70" t="str">
        <f>IF($A25="","",IF(COUNTIFS(الإدخال!$A$5:$A$644,M$5,الإدخال!$D$5:$D$644,$A25,الإدخال!$F$5:$F$644,"غائب",الإدخال!$G$5:$G$644,"")&gt;0,"غ",IF(COUNTIFS(الإدخال!$A$5:$A$644,M$5,الإدخال!$D$5:$D$644,$A25,الإدخال!$F$5:$F$644,"معتذر",الإدخال!$G$5:$G$644,"")&gt;0,"ع",IF(SUMIFS(الإدخال!$P$5:$P$644,الإدخال!$A$5:$A$644,M$5,الإدخال!$D$5:$D$644,$A25)&gt;0,SUMIFS(الإدخال!$O$5:$O$644,الإدخال!$A$5:$A$644,M$5,الإدخال!$D$5:$D$644,$A25)/100,""))))</f>
        <v/>
      </c>
      <c r="N25" s="70" t="str">
        <f>IF($A25="","",IF(COUNTIFS(الإدخال!$A$5:$A$644,N$5,الإدخال!$D$5:$D$644,$A25,الإدخال!$F$5:$F$644,"غائب",الإدخال!$G$5:$G$644,"")&gt;0,"غ",IF(COUNTIFS(الإدخال!$A$5:$A$644,N$5,الإدخال!$D$5:$D$644,$A25,الإدخال!$F$5:$F$644,"معتذر",الإدخال!$G$5:$G$644,"")&gt;0,"ع",IF(SUMIFS(الإدخال!$P$5:$P$644,الإدخال!$A$5:$A$644,N$5,الإدخال!$D$5:$D$644,$A25)&gt;0,SUMIFS(الإدخال!$O$5:$O$644,الإدخال!$A$5:$A$644,N$5,الإدخال!$D$5:$D$644,$A25)/100,""))))</f>
        <v/>
      </c>
      <c r="O25" s="70" t="str">
        <f>IF($A25="","",IF(COUNTIFS(الإدخال!$A$5:$A$644,O$5,الإدخال!$D$5:$D$644,$A25,الإدخال!$F$5:$F$644,"غائب",الإدخال!$G$5:$G$644,"")&gt;0,"غ",IF(COUNTIFS(الإدخال!$A$5:$A$644,O$5,الإدخال!$D$5:$D$644,$A25,الإدخال!$F$5:$F$644,"معتذر",الإدخال!$G$5:$G$644,"")&gt;0,"ع",IF(SUMIFS(الإدخال!$P$5:$P$644,الإدخال!$A$5:$A$644,O$5,الإدخال!$D$5:$D$644,$A25)&gt;0,SUMIFS(الإدخال!$O$5:$O$644,الإدخال!$A$5:$A$644,O$5,الإدخال!$D$5:$D$644,$A25)/100,""))))</f>
        <v/>
      </c>
      <c r="P25" s="70" t="str">
        <f>IF($A25="","",IF(COUNTIFS(الإدخال!$A$5:$A$644,P$5,الإدخال!$D$5:$D$644,$A25,الإدخال!$F$5:$F$644,"غائب",الإدخال!$G$5:$G$644,"")&gt;0,"غ",IF(COUNTIFS(الإدخال!$A$5:$A$644,P$5,الإدخال!$D$5:$D$644,$A25,الإدخال!$F$5:$F$644,"معتذر",الإدخال!$G$5:$G$644,"")&gt;0,"ع",IF(SUMIFS(الإدخال!$P$5:$P$644,الإدخال!$A$5:$A$644,P$5,الإدخال!$D$5:$D$644,$A25)&gt;0,SUMIFS(الإدخال!$O$5:$O$644,الإدخال!$A$5:$A$644,P$5,الإدخال!$D$5:$D$644,$A25)/100,""))))</f>
        <v/>
      </c>
      <c r="Q25" s="70" t="str">
        <f>IF($A25="","",IF(COUNTIFS(الإدخال!$A$5:$A$644,Q$5,الإدخال!$D$5:$D$644,$A25,الإدخال!$F$5:$F$644,"غائب",الإدخال!$G$5:$G$644,"")&gt;0,"غ",IF(COUNTIFS(الإدخال!$A$5:$A$644,Q$5,الإدخال!$D$5:$D$644,$A25,الإدخال!$F$5:$F$644,"معتذر",الإدخال!$G$5:$G$644,"")&gt;0,"ع",IF(SUMIFS(الإدخال!$P$5:$P$644,الإدخال!$A$5:$A$644,Q$5,الإدخال!$D$5:$D$644,$A25)&gt;0,SUMIFS(الإدخال!$O$5:$O$644,الإدخال!$A$5:$A$644,Q$5,الإدخال!$D$5:$D$644,$A25)/100,""))))</f>
        <v/>
      </c>
      <c r="R25" s="70" t="str">
        <f>IF($A25="","",IF(COUNTIFS(الإدخال!$A$5:$A$644,R$5,الإدخال!$D$5:$D$644,$A25,الإدخال!$F$5:$F$644,"غائب",الإدخال!$G$5:$G$644,"")&gt;0,"غ",IF(COUNTIFS(الإدخال!$A$5:$A$644,R$5,الإدخال!$D$5:$D$644,$A25,الإدخال!$F$5:$F$644,"معتذر",الإدخال!$G$5:$G$644,"")&gt;0,"ع",IF(SUMIFS(الإدخال!$P$5:$P$644,الإدخال!$A$5:$A$644,R$5,الإدخال!$D$5:$D$644,$A25)&gt;0,SUMIFS(الإدخال!$O$5:$O$644,الإدخال!$A$5:$A$644,R$5,الإدخال!$D$5:$D$644,$A25)/100,""))))</f>
        <v/>
      </c>
      <c r="S25" s="70" t="str">
        <f>IF($A25="","",IF(COUNTIFS(الإدخال!$A$5:$A$644,S$5,الإدخال!$D$5:$D$644,$A25,الإدخال!$F$5:$F$644,"غائب",الإدخال!$G$5:$G$644,"")&gt;0,"غ",IF(COUNTIFS(الإدخال!$A$5:$A$644,S$5,الإدخال!$D$5:$D$644,$A25,الإدخال!$F$5:$F$644,"معتذر",الإدخال!$G$5:$G$644,"")&gt;0,"ع",IF(SUMIFS(الإدخال!$P$5:$P$644,الإدخال!$A$5:$A$644,S$5,الإدخال!$D$5:$D$644,$A25)&gt;0,SUMIFS(الإدخال!$O$5:$O$644,الإدخال!$A$5:$A$644,S$5,الإدخال!$D$5:$D$644,$A25)/100,""))))</f>
        <v/>
      </c>
      <c r="T25" s="71">
        <f>IF($A25="","",IFERROR(SUMIFS(الإدخال!$O$5:$O$644,الإدخال!$D$5:$D$644,$A25)/SUMIFS(الإدخال!$P$5:$P$644,الإدخال!$D$5:$D$644,$A25)/100,""))</f>
        <v>0.82</v>
      </c>
      <c r="U25" s="72" t="str">
        <f t="shared" si="0"/>
        <v>جيد جدًا</v>
      </c>
      <c r="V25" s="72">
        <f>IF($A25="","",SUMIFS(الإدخال!$N$5:$N$644,الإدخال!$D$5:$D$644,$A25))</f>
        <v>1</v>
      </c>
      <c r="W25" s="73">
        <f>IF($A25="","",COUNTIFS(الإدخال!$D$5:$D$644,$A25,الإدخال!$F$5:$F$644,"متأخر"))</f>
        <v>0</v>
      </c>
      <c r="X25" s="73">
        <f>IF($A25="","",COUNTIFS(الإدخال!$D$5:$D$644,$A25,الإدخال!$F$5:$F$644,"غائب"))</f>
        <v>0</v>
      </c>
      <c r="Y25" s="73">
        <f>IF($A25="","",COUNTIFS(الإدخال!$D$5:$D$644,$A25,الإدخال!$F$5:$F$644,"معتذر"))</f>
        <v>0</v>
      </c>
      <c r="Z25" s="73">
        <f>IF($A25="","",SUMIFS(الإدخال!$H$5:$H$644,الإدخال!$D$5:$D$644,$A25,الإدخال!$N$5:$N$644,1))</f>
        <v>2</v>
      </c>
      <c r="AA25" s="73">
        <f>IF($A25="","",SUMIFS(الإدخال!$I$5:$I$644,الإدخال!$D$5:$D$644,$A25,الإدخال!$N$5:$N$644,1))</f>
        <v>20</v>
      </c>
      <c r="AB25" s="73">
        <f>IF($A25="","",SUMIFS(الإدخال!$J$5:$J$644,الإدخال!$D$5:$D$644,$A25,الإدخال!$N$5:$N$644,1))</f>
        <v>0</v>
      </c>
      <c r="AC25" s="36">
        <f>IFERROR(MATCH($C$3&amp;"|20",الطلاب!$E$5:$E$44,0),"")</f>
        <v>37</v>
      </c>
    </row>
    <row r="26" spans="1:29">
      <c r="A26" s="18">
        <f>IF($AC26="","",INDEX(الطلاب!$A$5:$A$44,$AC26))</f>
        <v>38</v>
      </c>
      <c r="B26" s="74" t="str">
        <f>IF($AC26="","",INDEX(الطلاب!$B$5:$B$44,$AC26))</f>
        <v xml:space="preserve">عاصم الضالع </v>
      </c>
      <c r="C26" s="72" t="str">
        <f>IF($AC26="","",INDEX(الطلاب!$D$5:$D$44,$AC26))</f>
        <v xml:space="preserve">حسان بن ثابت </v>
      </c>
      <c r="D26" s="70" t="str">
        <f>IF($A26="","",IF(COUNTIFS(الإدخال!$A$5:$A$644,D$5,الإدخال!$D$5:$D$644,$A26,الإدخال!$F$5:$F$644,"غائب",الإدخال!$G$5:$G$644,"")&gt;0,"غ",IF(COUNTIFS(الإدخال!$A$5:$A$644,D$5,الإدخال!$D$5:$D$644,$A26,الإدخال!$F$5:$F$644,"معتذر",الإدخال!$G$5:$G$644,"")&gt;0,"ع",IF(SUMIFS(الإدخال!$P$5:$P$644,الإدخال!$A$5:$A$644,D$5,الإدخال!$D$5:$D$644,$A26)&gt;0,SUMIFS(الإدخال!$O$5:$O$644,الإدخال!$A$5:$A$644,D$5,الإدخال!$D$5:$D$644,$A26)/100,""))))</f>
        <v/>
      </c>
      <c r="E26" s="70">
        <f>IF($A26="","",IF(COUNTIFS(الإدخال!$A$5:$A$644,E$5,الإدخال!$D$5:$D$644,$A26,الإدخال!$F$5:$F$644,"غائب",الإدخال!$G$5:$G$644,"")&gt;0,"غ",IF(COUNTIFS(الإدخال!$A$5:$A$644,E$5,الإدخال!$D$5:$D$644,$A26,الإدخال!$F$5:$F$644,"معتذر",الإدخال!$G$5:$G$644,"")&gt;0,"ع",IF(SUMIFS(الإدخال!$P$5:$P$644,الإدخال!$A$5:$A$644,E$5,الإدخال!$D$5:$D$644,$A26)&gt;0,SUMIFS(الإدخال!$O$5:$O$644,الإدخال!$A$5:$A$644,E$5,الإدخال!$D$5:$D$644,$A26)/100,""))))</f>
        <v>0.82</v>
      </c>
      <c r="F26" s="70" t="str">
        <f>IF($A26="","",IF(COUNTIFS(الإدخال!$A$5:$A$644,F$5,الإدخال!$D$5:$D$644,$A26,الإدخال!$F$5:$F$644,"غائب",الإدخال!$G$5:$G$644,"")&gt;0,"غ",IF(COUNTIFS(الإدخال!$A$5:$A$644,F$5,الإدخال!$D$5:$D$644,$A26,الإدخال!$F$5:$F$644,"معتذر",الإدخال!$G$5:$G$644,"")&gt;0,"ع",IF(SUMIFS(الإدخال!$P$5:$P$644,الإدخال!$A$5:$A$644,F$5,الإدخال!$D$5:$D$644,$A26)&gt;0,SUMIFS(الإدخال!$O$5:$O$644,الإدخال!$A$5:$A$644,F$5,الإدخال!$D$5:$D$644,$A26)/100,""))))</f>
        <v/>
      </c>
      <c r="G26" s="70" t="str">
        <f>IF($A26="","",IF(COUNTIFS(الإدخال!$A$5:$A$644,G$5,الإدخال!$D$5:$D$644,$A26,الإدخال!$F$5:$F$644,"غائب",الإدخال!$G$5:$G$644,"")&gt;0,"غ",IF(COUNTIFS(الإدخال!$A$5:$A$644,G$5,الإدخال!$D$5:$D$644,$A26,الإدخال!$F$5:$F$644,"معتذر",الإدخال!$G$5:$G$644,"")&gt;0,"ع",IF(SUMIFS(الإدخال!$P$5:$P$644,الإدخال!$A$5:$A$644,G$5,الإدخال!$D$5:$D$644,$A26)&gt;0,SUMIFS(الإدخال!$O$5:$O$644,الإدخال!$A$5:$A$644,G$5,الإدخال!$D$5:$D$644,$A26)/100,""))))</f>
        <v/>
      </c>
      <c r="H26" s="70" t="str">
        <f>IF($A26="","",IF(COUNTIFS(الإدخال!$A$5:$A$644,H$5,الإدخال!$D$5:$D$644,$A26,الإدخال!$F$5:$F$644,"غائب",الإدخال!$G$5:$G$644,"")&gt;0,"غ",IF(COUNTIFS(الإدخال!$A$5:$A$644,H$5,الإدخال!$D$5:$D$644,$A26,الإدخال!$F$5:$F$644,"معتذر",الإدخال!$G$5:$G$644,"")&gt;0,"ع",IF(SUMIFS(الإدخال!$P$5:$P$644,الإدخال!$A$5:$A$644,H$5,الإدخال!$D$5:$D$644,$A26)&gt;0,SUMIFS(الإدخال!$O$5:$O$644,الإدخال!$A$5:$A$644,H$5,الإدخال!$D$5:$D$644,$A26)/100,""))))</f>
        <v/>
      </c>
      <c r="I26" s="70" t="str">
        <f>IF($A26="","",IF(COUNTIFS(الإدخال!$A$5:$A$644,I$5,الإدخال!$D$5:$D$644,$A26,الإدخال!$F$5:$F$644,"غائب",الإدخال!$G$5:$G$644,"")&gt;0,"غ",IF(COUNTIFS(الإدخال!$A$5:$A$644,I$5,الإدخال!$D$5:$D$644,$A26,الإدخال!$F$5:$F$644,"معتذر",الإدخال!$G$5:$G$644,"")&gt;0,"ع",IF(SUMIFS(الإدخال!$P$5:$P$644,الإدخال!$A$5:$A$644,I$5,الإدخال!$D$5:$D$644,$A26)&gt;0,SUMIFS(الإدخال!$O$5:$O$644,الإدخال!$A$5:$A$644,I$5,الإدخال!$D$5:$D$644,$A26)/100,""))))</f>
        <v/>
      </c>
      <c r="J26" s="70" t="str">
        <f>IF($A26="","",IF(COUNTIFS(الإدخال!$A$5:$A$644,J$5,الإدخال!$D$5:$D$644,$A26,الإدخال!$F$5:$F$644,"غائب",الإدخال!$G$5:$G$644,"")&gt;0,"غ",IF(COUNTIFS(الإدخال!$A$5:$A$644,J$5,الإدخال!$D$5:$D$644,$A26,الإدخال!$F$5:$F$644,"معتذر",الإدخال!$G$5:$G$644,"")&gt;0,"ع",IF(SUMIFS(الإدخال!$P$5:$P$644,الإدخال!$A$5:$A$644,J$5,الإدخال!$D$5:$D$644,$A26)&gt;0,SUMIFS(الإدخال!$O$5:$O$644,الإدخال!$A$5:$A$644,J$5,الإدخال!$D$5:$D$644,$A26)/100,""))))</f>
        <v/>
      </c>
      <c r="K26" s="70" t="str">
        <f>IF($A26="","",IF(COUNTIFS(الإدخال!$A$5:$A$644,K$5,الإدخال!$D$5:$D$644,$A26,الإدخال!$F$5:$F$644,"غائب",الإدخال!$G$5:$G$644,"")&gt;0,"غ",IF(COUNTIFS(الإدخال!$A$5:$A$644,K$5,الإدخال!$D$5:$D$644,$A26,الإدخال!$F$5:$F$644,"معتذر",الإدخال!$G$5:$G$644,"")&gt;0,"ع",IF(SUMIFS(الإدخال!$P$5:$P$644,الإدخال!$A$5:$A$644,K$5,الإدخال!$D$5:$D$644,$A26)&gt;0,SUMIFS(الإدخال!$O$5:$O$644,الإدخال!$A$5:$A$644,K$5,الإدخال!$D$5:$D$644,$A26)/100,""))))</f>
        <v/>
      </c>
      <c r="L26" s="70" t="str">
        <f>IF($A26="","",IF(COUNTIFS(الإدخال!$A$5:$A$644,L$5,الإدخال!$D$5:$D$644,$A26,الإدخال!$F$5:$F$644,"غائب",الإدخال!$G$5:$G$644,"")&gt;0,"غ",IF(COUNTIFS(الإدخال!$A$5:$A$644,L$5,الإدخال!$D$5:$D$644,$A26,الإدخال!$F$5:$F$644,"معتذر",الإدخال!$G$5:$G$644,"")&gt;0,"ع",IF(SUMIFS(الإدخال!$P$5:$P$644,الإدخال!$A$5:$A$644,L$5,الإدخال!$D$5:$D$644,$A26)&gt;0,SUMIFS(الإدخال!$O$5:$O$644,الإدخال!$A$5:$A$644,L$5,الإدخال!$D$5:$D$644,$A26)/100,""))))</f>
        <v/>
      </c>
      <c r="M26" s="70" t="str">
        <f>IF($A26="","",IF(COUNTIFS(الإدخال!$A$5:$A$644,M$5,الإدخال!$D$5:$D$644,$A26,الإدخال!$F$5:$F$644,"غائب",الإدخال!$G$5:$G$644,"")&gt;0,"غ",IF(COUNTIFS(الإدخال!$A$5:$A$644,M$5,الإدخال!$D$5:$D$644,$A26,الإدخال!$F$5:$F$644,"معتذر",الإدخال!$G$5:$G$644,"")&gt;0,"ع",IF(SUMIFS(الإدخال!$P$5:$P$644,الإدخال!$A$5:$A$644,M$5,الإدخال!$D$5:$D$644,$A26)&gt;0,SUMIFS(الإدخال!$O$5:$O$644,الإدخال!$A$5:$A$644,M$5,الإدخال!$D$5:$D$644,$A26)/100,""))))</f>
        <v/>
      </c>
      <c r="N26" s="70" t="str">
        <f>IF($A26="","",IF(COUNTIFS(الإدخال!$A$5:$A$644,N$5,الإدخال!$D$5:$D$644,$A26,الإدخال!$F$5:$F$644,"غائب",الإدخال!$G$5:$G$644,"")&gt;0,"غ",IF(COUNTIFS(الإدخال!$A$5:$A$644,N$5,الإدخال!$D$5:$D$644,$A26,الإدخال!$F$5:$F$644,"معتذر",الإدخال!$G$5:$G$644,"")&gt;0,"ع",IF(SUMIFS(الإدخال!$P$5:$P$644,الإدخال!$A$5:$A$644,N$5,الإدخال!$D$5:$D$644,$A26)&gt;0,SUMIFS(الإدخال!$O$5:$O$644,الإدخال!$A$5:$A$644,N$5,الإدخال!$D$5:$D$644,$A26)/100,""))))</f>
        <v/>
      </c>
      <c r="O26" s="70" t="str">
        <f>IF($A26="","",IF(COUNTIFS(الإدخال!$A$5:$A$644,O$5,الإدخال!$D$5:$D$644,$A26,الإدخال!$F$5:$F$644,"غائب",الإدخال!$G$5:$G$644,"")&gt;0,"غ",IF(COUNTIFS(الإدخال!$A$5:$A$644,O$5,الإدخال!$D$5:$D$644,$A26,الإدخال!$F$5:$F$644,"معتذر",الإدخال!$G$5:$G$644,"")&gt;0,"ع",IF(SUMIFS(الإدخال!$P$5:$P$644,الإدخال!$A$5:$A$644,O$5,الإدخال!$D$5:$D$644,$A26)&gt;0,SUMIFS(الإدخال!$O$5:$O$644,الإدخال!$A$5:$A$644,O$5,الإدخال!$D$5:$D$644,$A26)/100,""))))</f>
        <v/>
      </c>
      <c r="P26" s="70" t="str">
        <f>IF($A26="","",IF(COUNTIFS(الإدخال!$A$5:$A$644,P$5,الإدخال!$D$5:$D$644,$A26,الإدخال!$F$5:$F$644,"غائب",الإدخال!$G$5:$G$644,"")&gt;0,"غ",IF(COUNTIFS(الإدخال!$A$5:$A$644,P$5,الإدخال!$D$5:$D$644,$A26,الإدخال!$F$5:$F$644,"معتذر",الإدخال!$G$5:$G$644,"")&gt;0,"ع",IF(SUMIFS(الإدخال!$P$5:$P$644,الإدخال!$A$5:$A$644,P$5,الإدخال!$D$5:$D$644,$A26)&gt;0,SUMIFS(الإدخال!$O$5:$O$644,الإدخال!$A$5:$A$644,P$5,الإدخال!$D$5:$D$644,$A26)/100,""))))</f>
        <v/>
      </c>
      <c r="Q26" s="70" t="str">
        <f>IF($A26="","",IF(COUNTIFS(الإدخال!$A$5:$A$644,Q$5,الإدخال!$D$5:$D$644,$A26,الإدخال!$F$5:$F$644,"غائب",الإدخال!$G$5:$G$644,"")&gt;0,"غ",IF(COUNTIFS(الإدخال!$A$5:$A$644,Q$5,الإدخال!$D$5:$D$644,$A26,الإدخال!$F$5:$F$644,"معتذر",الإدخال!$G$5:$G$644,"")&gt;0,"ع",IF(SUMIFS(الإدخال!$P$5:$P$644,الإدخال!$A$5:$A$644,Q$5,الإدخال!$D$5:$D$644,$A26)&gt;0,SUMIFS(الإدخال!$O$5:$O$644,الإدخال!$A$5:$A$644,Q$5,الإدخال!$D$5:$D$644,$A26)/100,""))))</f>
        <v/>
      </c>
      <c r="R26" s="70" t="str">
        <f>IF($A26="","",IF(COUNTIFS(الإدخال!$A$5:$A$644,R$5,الإدخال!$D$5:$D$644,$A26,الإدخال!$F$5:$F$644,"غائب",الإدخال!$G$5:$G$644,"")&gt;0,"غ",IF(COUNTIFS(الإدخال!$A$5:$A$644,R$5,الإدخال!$D$5:$D$644,$A26,الإدخال!$F$5:$F$644,"معتذر",الإدخال!$G$5:$G$644,"")&gt;0,"ع",IF(SUMIFS(الإدخال!$P$5:$P$644,الإدخال!$A$5:$A$644,R$5,الإدخال!$D$5:$D$644,$A26)&gt;0,SUMIFS(الإدخال!$O$5:$O$644,الإدخال!$A$5:$A$644,R$5,الإدخال!$D$5:$D$644,$A26)/100,""))))</f>
        <v/>
      </c>
      <c r="S26" s="70" t="str">
        <f>IF($A26="","",IF(COUNTIFS(الإدخال!$A$5:$A$644,S$5,الإدخال!$D$5:$D$644,$A26,الإدخال!$F$5:$F$644,"غائب",الإدخال!$G$5:$G$644,"")&gt;0,"غ",IF(COUNTIFS(الإدخال!$A$5:$A$644,S$5,الإدخال!$D$5:$D$644,$A26,الإدخال!$F$5:$F$644,"معتذر",الإدخال!$G$5:$G$644,"")&gt;0,"ع",IF(SUMIFS(الإدخال!$P$5:$P$644,الإدخال!$A$5:$A$644,S$5,الإدخال!$D$5:$D$644,$A26)&gt;0,SUMIFS(الإدخال!$O$5:$O$644,الإدخال!$A$5:$A$644,S$5,الإدخال!$D$5:$D$644,$A26)/100,""))))</f>
        <v/>
      </c>
      <c r="T26" s="71">
        <f>IF($A26="","",IFERROR(SUMIFS(الإدخال!$O$5:$O$644,الإدخال!$D$5:$D$644,$A26)/SUMIFS(الإدخال!$P$5:$P$644,الإدخال!$D$5:$D$644,$A26)/100,""))</f>
        <v>0.82</v>
      </c>
      <c r="U26" s="72" t="str">
        <f t="shared" si="0"/>
        <v>جيد جدًا</v>
      </c>
      <c r="V26" s="72">
        <f>IF($A26="","",SUMIFS(الإدخال!$N$5:$N$644,الإدخال!$D$5:$D$644,$A26))</f>
        <v>1</v>
      </c>
      <c r="W26" s="73">
        <f>IF($A26="","",COUNTIFS(الإدخال!$D$5:$D$644,$A26,الإدخال!$F$5:$F$644,"متأخر"))</f>
        <v>0</v>
      </c>
      <c r="X26" s="73">
        <f>IF($A26="","",COUNTIFS(الإدخال!$D$5:$D$644,$A26,الإدخال!$F$5:$F$644,"غائب"))</f>
        <v>0</v>
      </c>
      <c r="Y26" s="73">
        <f>IF($A26="","",COUNTIFS(الإدخال!$D$5:$D$644,$A26,الإدخال!$F$5:$F$644,"معتذر"))</f>
        <v>0</v>
      </c>
      <c r="Z26" s="73">
        <f>IF($A26="","",SUMIFS(الإدخال!$H$5:$H$644,الإدخال!$D$5:$D$644,$A26,الإدخال!$N$5:$N$644,1))</f>
        <v>9</v>
      </c>
      <c r="AA26" s="73">
        <f>IF($A26="","",SUMIFS(الإدخال!$I$5:$I$644,الإدخال!$D$5:$D$644,$A26,الإدخال!$N$5:$N$644,1))</f>
        <v>20</v>
      </c>
      <c r="AB26" s="73">
        <f>IF($A26="","",SUMIFS(الإدخال!$J$5:$J$644,الإدخال!$D$5:$D$644,$A26,الإدخال!$N$5:$N$644,1))</f>
        <v>0</v>
      </c>
      <c r="AC26" s="36">
        <f>IFERROR(MATCH($C$3&amp;"|21",الطلاب!$E$5:$E$44,0),"")</f>
        <v>38</v>
      </c>
    </row>
    <row r="27" spans="1:29">
      <c r="A27" s="18" t="str">
        <f>IF($AC27="","",INDEX(الطلاب!$A$5:$A$44,$AC27))</f>
        <v/>
      </c>
      <c r="B27" s="74" t="str">
        <f>IF($AC27="","",INDEX(الطلاب!$B$5:$B$44,$AC27))</f>
        <v/>
      </c>
      <c r="C27" s="72" t="str">
        <f>IF($AC27="","",INDEX(الطلاب!$D$5:$D$44,$AC27))</f>
        <v/>
      </c>
      <c r="D27" s="70" t="str">
        <f>IF($A27="","",IF(COUNTIFS(الإدخال!$A$5:$A$644,D$5,الإدخال!$D$5:$D$644,$A27,الإدخال!$F$5:$F$644,"غائب",الإدخال!$G$5:$G$644,"")&gt;0,"غ",IF(COUNTIFS(الإدخال!$A$5:$A$644,D$5,الإدخال!$D$5:$D$644,$A27,الإدخال!$F$5:$F$644,"معتذر",الإدخال!$G$5:$G$644,"")&gt;0,"ع",IF(SUMIFS(الإدخال!$P$5:$P$644,الإدخال!$A$5:$A$644,D$5,الإدخال!$D$5:$D$644,$A27)&gt;0,SUMIFS(الإدخال!$O$5:$O$644,الإدخال!$A$5:$A$644,D$5,الإدخال!$D$5:$D$644,$A27)/100,""))))</f>
        <v/>
      </c>
      <c r="E27" s="70" t="str">
        <f>IF($A27="","",IF(COUNTIFS(الإدخال!$A$5:$A$644,E$5,الإدخال!$D$5:$D$644,$A27,الإدخال!$F$5:$F$644,"غائب",الإدخال!$G$5:$G$644,"")&gt;0,"غ",IF(COUNTIFS(الإدخال!$A$5:$A$644,E$5,الإدخال!$D$5:$D$644,$A27,الإدخال!$F$5:$F$644,"معتذر",الإدخال!$G$5:$G$644,"")&gt;0,"ع",IF(SUMIFS(الإدخال!$P$5:$P$644,الإدخال!$A$5:$A$644,E$5,الإدخال!$D$5:$D$644,$A27)&gt;0,SUMIFS(الإدخال!$O$5:$O$644,الإدخال!$A$5:$A$644,E$5,الإدخال!$D$5:$D$644,$A27)/100,""))))</f>
        <v/>
      </c>
      <c r="F27" s="70" t="str">
        <f>IF($A27="","",IF(COUNTIFS(الإدخال!$A$5:$A$644,F$5,الإدخال!$D$5:$D$644,$A27,الإدخال!$F$5:$F$644,"غائب",الإدخال!$G$5:$G$644,"")&gt;0,"غ",IF(COUNTIFS(الإدخال!$A$5:$A$644,F$5,الإدخال!$D$5:$D$644,$A27,الإدخال!$F$5:$F$644,"معتذر",الإدخال!$G$5:$G$644,"")&gt;0,"ع",IF(SUMIFS(الإدخال!$P$5:$P$644,الإدخال!$A$5:$A$644,F$5,الإدخال!$D$5:$D$644,$A27)&gt;0,SUMIFS(الإدخال!$O$5:$O$644,الإدخال!$A$5:$A$644,F$5,الإدخال!$D$5:$D$644,$A27)/100,""))))</f>
        <v/>
      </c>
      <c r="G27" s="70" t="str">
        <f>IF($A27="","",IF(COUNTIFS(الإدخال!$A$5:$A$644,G$5,الإدخال!$D$5:$D$644,$A27,الإدخال!$F$5:$F$644,"غائب",الإدخال!$G$5:$G$644,"")&gt;0,"غ",IF(COUNTIFS(الإدخال!$A$5:$A$644,G$5,الإدخال!$D$5:$D$644,$A27,الإدخال!$F$5:$F$644,"معتذر",الإدخال!$G$5:$G$644,"")&gt;0,"ع",IF(SUMIFS(الإدخال!$P$5:$P$644,الإدخال!$A$5:$A$644,G$5,الإدخال!$D$5:$D$644,$A27)&gt;0,SUMIFS(الإدخال!$O$5:$O$644,الإدخال!$A$5:$A$644,G$5,الإدخال!$D$5:$D$644,$A27)/100,""))))</f>
        <v/>
      </c>
      <c r="H27" s="70" t="str">
        <f>IF($A27="","",IF(COUNTIFS(الإدخال!$A$5:$A$644,H$5,الإدخال!$D$5:$D$644,$A27,الإدخال!$F$5:$F$644,"غائب",الإدخال!$G$5:$G$644,"")&gt;0,"غ",IF(COUNTIFS(الإدخال!$A$5:$A$644,H$5,الإدخال!$D$5:$D$644,$A27,الإدخال!$F$5:$F$644,"معتذر",الإدخال!$G$5:$G$644,"")&gt;0,"ع",IF(SUMIFS(الإدخال!$P$5:$P$644,الإدخال!$A$5:$A$644,H$5,الإدخال!$D$5:$D$644,$A27)&gt;0,SUMIFS(الإدخال!$O$5:$O$644,الإدخال!$A$5:$A$644,H$5,الإدخال!$D$5:$D$644,$A27)/100,""))))</f>
        <v/>
      </c>
      <c r="I27" s="70" t="str">
        <f>IF($A27="","",IF(COUNTIFS(الإدخال!$A$5:$A$644,I$5,الإدخال!$D$5:$D$644,$A27,الإدخال!$F$5:$F$644,"غائب",الإدخال!$G$5:$G$644,"")&gt;0,"غ",IF(COUNTIFS(الإدخال!$A$5:$A$644,I$5,الإدخال!$D$5:$D$644,$A27,الإدخال!$F$5:$F$644,"معتذر",الإدخال!$G$5:$G$644,"")&gt;0,"ع",IF(SUMIFS(الإدخال!$P$5:$P$644,الإدخال!$A$5:$A$644,I$5,الإدخال!$D$5:$D$644,$A27)&gt;0,SUMIFS(الإدخال!$O$5:$O$644,الإدخال!$A$5:$A$644,I$5,الإدخال!$D$5:$D$644,$A27)/100,""))))</f>
        <v/>
      </c>
      <c r="J27" s="70" t="str">
        <f>IF($A27="","",IF(COUNTIFS(الإدخال!$A$5:$A$644,J$5,الإدخال!$D$5:$D$644,$A27,الإدخال!$F$5:$F$644,"غائب",الإدخال!$G$5:$G$644,"")&gt;0,"غ",IF(COUNTIFS(الإدخال!$A$5:$A$644,J$5,الإدخال!$D$5:$D$644,$A27,الإدخال!$F$5:$F$644,"معتذر",الإدخال!$G$5:$G$644,"")&gt;0,"ع",IF(SUMIFS(الإدخال!$P$5:$P$644,الإدخال!$A$5:$A$644,J$5,الإدخال!$D$5:$D$644,$A27)&gt;0,SUMIFS(الإدخال!$O$5:$O$644,الإدخال!$A$5:$A$644,J$5,الإدخال!$D$5:$D$644,$A27)/100,""))))</f>
        <v/>
      </c>
      <c r="K27" s="70" t="str">
        <f>IF($A27="","",IF(COUNTIFS(الإدخال!$A$5:$A$644,K$5,الإدخال!$D$5:$D$644,$A27,الإدخال!$F$5:$F$644,"غائب",الإدخال!$G$5:$G$644,"")&gt;0,"غ",IF(COUNTIFS(الإدخال!$A$5:$A$644,K$5,الإدخال!$D$5:$D$644,$A27,الإدخال!$F$5:$F$644,"معتذر",الإدخال!$G$5:$G$644,"")&gt;0,"ع",IF(SUMIFS(الإدخال!$P$5:$P$644,الإدخال!$A$5:$A$644,K$5,الإدخال!$D$5:$D$644,$A27)&gt;0,SUMIFS(الإدخال!$O$5:$O$644,الإدخال!$A$5:$A$644,K$5,الإدخال!$D$5:$D$644,$A27)/100,""))))</f>
        <v/>
      </c>
      <c r="L27" s="70" t="str">
        <f>IF($A27="","",IF(COUNTIFS(الإدخال!$A$5:$A$644,L$5,الإدخال!$D$5:$D$644,$A27,الإدخال!$F$5:$F$644,"غائب",الإدخال!$G$5:$G$644,"")&gt;0,"غ",IF(COUNTIFS(الإدخال!$A$5:$A$644,L$5,الإدخال!$D$5:$D$644,$A27,الإدخال!$F$5:$F$644,"معتذر",الإدخال!$G$5:$G$644,"")&gt;0,"ع",IF(SUMIFS(الإدخال!$P$5:$P$644,الإدخال!$A$5:$A$644,L$5,الإدخال!$D$5:$D$644,$A27)&gt;0,SUMIFS(الإدخال!$O$5:$O$644,الإدخال!$A$5:$A$644,L$5,الإدخال!$D$5:$D$644,$A27)/100,""))))</f>
        <v/>
      </c>
      <c r="M27" s="70" t="str">
        <f>IF($A27="","",IF(COUNTIFS(الإدخال!$A$5:$A$644,M$5,الإدخال!$D$5:$D$644,$A27,الإدخال!$F$5:$F$644,"غائب",الإدخال!$G$5:$G$644,"")&gt;0,"غ",IF(COUNTIFS(الإدخال!$A$5:$A$644,M$5,الإدخال!$D$5:$D$644,$A27,الإدخال!$F$5:$F$644,"معتذر",الإدخال!$G$5:$G$644,"")&gt;0,"ع",IF(SUMIFS(الإدخال!$P$5:$P$644,الإدخال!$A$5:$A$644,M$5,الإدخال!$D$5:$D$644,$A27)&gt;0,SUMIFS(الإدخال!$O$5:$O$644,الإدخال!$A$5:$A$644,M$5,الإدخال!$D$5:$D$644,$A27)/100,""))))</f>
        <v/>
      </c>
      <c r="N27" s="70" t="str">
        <f>IF($A27="","",IF(COUNTIFS(الإدخال!$A$5:$A$644,N$5,الإدخال!$D$5:$D$644,$A27,الإدخال!$F$5:$F$644,"غائب",الإدخال!$G$5:$G$644,"")&gt;0,"غ",IF(COUNTIFS(الإدخال!$A$5:$A$644,N$5,الإدخال!$D$5:$D$644,$A27,الإدخال!$F$5:$F$644,"معتذر",الإدخال!$G$5:$G$644,"")&gt;0,"ع",IF(SUMIFS(الإدخال!$P$5:$P$644,الإدخال!$A$5:$A$644,N$5,الإدخال!$D$5:$D$644,$A27)&gt;0,SUMIFS(الإدخال!$O$5:$O$644,الإدخال!$A$5:$A$644,N$5,الإدخال!$D$5:$D$644,$A27)/100,""))))</f>
        <v/>
      </c>
      <c r="O27" s="70" t="str">
        <f>IF($A27="","",IF(COUNTIFS(الإدخال!$A$5:$A$644,O$5,الإدخال!$D$5:$D$644,$A27,الإدخال!$F$5:$F$644,"غائب",الإدخال!$G$5:$G$644,"")&gt;0,"غ",IF(COUNTIFS(الإدخال!$A$5:$A$644,O$5,الإدخال!$D$5:$D$644,$A27,الإدخال!$F$5:$F$644,"معتذر",الإدخال!$G$5:$G$644,"")&gt;0,"ع",IF(SUMIFS(الإدخال!$P$5:$P$644,الإدخال!$A$5:$A$644,O$5,الإدخال!$D$5:$D$644,$A27)&gt;0,SUMIFS(الإدخال!$O$5:$O$644,الإدخال!$A$5:$A$644,O$5,الإدخال!$D$5:$D$644,$A27)/100,""))))</f>
        <v/>
      </c>
      <c r="P27" s="70" t="str">
        <f>IF($A27="","",IF(COUNTIFS(الإدخال!$A$5:$A$644,P$5,الإدخال!$D$5:$D$644,$A27,الإدخال!$F$5:$F$644,"غائب",الإدخال!$G$5:$G$644,"")&gt;0,"غ",IF(COUNTIFS(الإدخال!$A$5:$A$644,P$5,الإدخال!$D$5:$D$644,$A27,الإدخال!$F$5:$F$644,"معتذر",الإدخال!$G$5:$G$644,"")&gt;0,"ع",IF(SUMIFS(الإدخال!$P$5:$P$644,الإدخال!$A$5:$A$644,P$5,الإدخال!$D$5:$D$644,$A27)&gt;0,SUMIFS(الإدخال!$O$5:$O$644,الإدخال!$A$5:$A$644,P$5,الإدخال!$D$5:$D$644,$A27)/100,""))))</f>
        <v/>
      </c>
      <c r="Q27" s="70" t="str">
        <f>IF($A27="","",IF(COUNTIFS(الإدخال!$A$5:$A$644,Q$5,الإدخال!$D$5:$D$644,$A27,الإدخال!$F$5:$F$644,"غائب",الإدخال!$G$5:$G$644,"")&gt;0,"غ",IF(COUNTIFS(الإدخال!$A$5:$A$644,Q$5,الإدخال!$D$5:$D$644,$A27,الإدخال!$F$5:$F$644,"معتذر",الإدخال!$G$5:$G$644,"")&gt;0,"ع",IF(SUMIFS(الإدخال!$P$5:$P$644,الإدخال!$A$5:$A$644,Q$5,الإدخال!$D$5:$D$644,$A27)&gt;0,SUMIFS(الإدخال!$O$5:$O$644,الإدخال!$A$5:$A$644,Q$5,الإدخال!$D$5:$D$644,$A27)/100,""))))</f>
        <v/>
      </c>
      <c r="R27" s="70" t="str">
        <f>IF($A27="","",IF(COUNTIFS(الإدخال!$A$5:$A$644,R$5,الإدخال!$D$5:$D$644,$A27,الإدخال!$F$5:$F$644,"غائب",الإدخال!$G$5:$G$644,"")&gt;0,"غ",IF(COUNTIFS(الإدخال!$A$5:$A$644,R$5,الإدخال!$D$5:$D$644,$A27,الإدخال!$F$5:$F$644,"معتذر",الإدخال!$G$5:$G$644,"")&gt;0,"ع",IF(SUMIFS(الإدخال!$P$5:$P$644,الإدخال!$A$5:$A$644,R$5,الإدخال!$D$5:$D$644,$A27)&gt;0,SUMIFS(الإدخال!$O$5:$O$644,الإدخال!$A$5:$A$644,R$5,الإدخال!$D$5:$D$644,$A27)/100,""))))</f>
        <v/>
      </c>
      <c r="S27" s="70" t="str">
        <f>IF($A27="","",IF(COUNTIFS(الإدخال!$A$5:$A$644,S$5,الإدخال!$D$5:$D$644,$A27,الإدخال!$F$5:$F$644,"غائب",الإدخال!$G$5:$G$644,"")&gt;0,"غ",IF(COUNTIFS(الإدخال!$A$5:$A$644,S$5,الإدخال!$D$5:$D$644,$A27,الإدخال!$F$5:$F$644,"معتذر",الإدخال!$G$5:$G$644,"")&gt;0,"ع",IF(SUMIFS(الإدخال!$P$5:$P$644,الإدخال!$A$5:$A$644,S$5,الإدخال!$D$5:$D$644,$A27)&gt;0,SUMIFS(الإدخال!$O$5:$O$644,الإدخال!$A$5:$A$644,S$5,الإدخال!$D$5:$D$644,$A27)/100,""))))</f>
        <v/>
      </c>
      <c r="T27" s="71" t="str">
        <f>IF($A27="","",IFERROR(SUMIFS(الإدخال!$O$5:$O$644,الإدخال!$D$5:$D$644,$A27)/SUMIFS(الإدخال!$P$5:$P$644,الإدخال!$D$5:$D$644,$A27)/100,""))</f>
        <v/>
      </c>
      <c r="U27" s="72" t="str">
        <f t="shared" si="0"/>
        <v/>
      </c>
      <c r="V27" s="72" t="str">
        <f>IF($A27="","",SUMIFS(الإدخال!$N$5:$N$644,الإدخال!$D$5:$D$644,$A27))</f>
        <v/>
      </c>
      <c r="W27" s="73" t="str">
        <f>IF($A27="","",COUNTIFS(الإدخال!$D$5:$D$644,$A27,الإدخال!$F$5:$F$644,"متأخر"))</f>
        <v/>
      </c>
      <c r="X27" s="73" t="str">
        <f>IF($A27="","",COUNTIFS(الإدخال!$D$5:$D$644,$A27,الإدخال!$F$5:$F$644,"غائب"))</f>
        <v/>
      </c>
      <c r="Y27" s="73" t="str">
        <f>IF($A27="","",COUNTIFS(الإدخال!$D$5:$D$644,$A27,الإدخال!$F$5:$F$644,"معتذر"))</f>
        <v/>
      </c>
      <c r="Z27" s="73" t="str">
        <f>IF($A27="","",SUMIFS(الإدخال!$H$5:$H$644,الإدخال!$D$5:$D$644,$A27,الإدخال!$N$5:$N$644,1))</f>
        <v/>
      </c>
      <c r="AA27" s="73" t="str">
        <f>IF($A27="","",SUMIFS(الإدخال!$I$5:$I$644,الإدخال!$D$5:$D$644,$A27,الإدخال!$N$5:$N$644,1))</f>
        <v/>
      </c>
      <c r="AB27" s="73" t="str">
        <f>IF($A27="","",SUMIFS(الإدخال!$J$5:$J$644,الإدخال!$D$5:$D$644,$A27,الإدخال!$N$5:$N$644,1))</f>
        <v/>
      </c>
      <c r="AC27" s="36" t="str">
        <f>IFERROR(MATCH($C$3&amp;"|22",الطلاب!$E$5:$E$44,0),"")</f>
        <v/>
      </c>
    </row>
    <row r="28" spans="1:29">
      <c r="A28" s="18" t="str">
        <f>IF($AC28="","",INDEX(الطلاب!$A$5:$A$44,$AC28))</f>
        <v/>
      </c>
      <c r="B28" s="74" t="str">
        <f>IF($AC28="","",INDEX(الطلاب!$B$5:$B$44,$AC28))</f>
        <v/>
      </c>
      <c r="C28" s="72" t="str">
        <f>IF($AC28="","",INDEX(الطلاب!$D$5:$D$44,$AC28))</f>
        <v/>
      </c>
      <c r="D28" s="70" t="str">
        <f>IF($A28="","",IF(COUNTIFS(الإدخال!$A$5:$A$644,D$5,الإدخال!$D$5:$D$644,$A28,الإدخال!$F$5:$F$644,"غائب",الإدخال!$G$5:$G$644,"")&gt;0,"غ",IF(COUNTIFS(الإدخال!$A$5:$A$644,D$5,الإدخال!$D$5:$D$644,$A28,الإدخال!$F$5:$F$644,"معتذر",الإدخال!$G$5:$G$644,"")&gt;0,"ع",IF(SUMIFS(الإدخال!$P$5:$P$644,الإدخال!$A$5:$A$644,D$5,الإدخال!$D$5:$D$644,$A28)&gt;0,SUMIFS(الإدخال!$O$5:$O$644,الإدخال!$A$5:$A$644,D$5,الإدخال!$D$5:$D$644,$A28)/100,""))))</f>
        <v/>
      </c>
      <c r="E28" s="70" t="str">
        <f>IF($A28="","",IF(COUNTIFS(الإدخال!$A$5:$A$644,E$5,الإدخال!$D$5:$D$644,$A28,الإدخال!$F$5:$F$644,"غائب",الإدخال!$G$5:$G$644,"")&gt;0,"غ",IF(COUNTIFS(الإدخال!$A$5:$A$644,E$5,الإدخال!$D$5:$D$644,$A28,الإدخال!$F$5:$F$644,"معتذر",الإدخال!$G$5:$G$644,"")&gt;0,"ع",IF(SUMIFS(الإدخال!$P$5:$P$644,الإدخال!$A$5:$A$644,E$5,الإدخال!$D$5:$D$644,$A28)&gt;0,SUMIFS(الإدخال!$O$5:$O$644,الإدخال!$A$5:$A$644,E$5,الإدخال!$D$5:$D$644,$A28)/100,""))))</f>
        <v/>
      </c>
      <c r="F28" s="70" t="str">
        <f>IF($A28="","",IF(COUNTIFS(الإدخال!$A$5:$A$644,F$5,الإدخال!$D$5:$D$644,$A28,الإدخال!$F$5:$F$644,"غائب",الإدخال!$G$5:$G$644,"")&gt;0,"غ",IF(COUNTIFS(الإدخال!$A$5:$A$644,F$5,الإدخال!$D$5:$D$644,$A28,الإدخال!$F$5:$F$644,"معتذر",الإدخال!$G$5:$G$644,"")&gt;0,"ع",IF(SUMIFS(الإدخال!$P$5:$P$644,الإدخال!$A$5:$A$644,F$5,الإدخال!$D$5:$D$644,$A28)&gt;0,SUMIFS(الإدخال!$O$5:$O$644,الإدخال!$A$5:$A$644,F$5,الإدخال!$D$5:$D$644,$A28)/100,""))))</f>
        <v/>
      </c>
      <c r="G28" s="70" t="str">
        <f>IF($A28="","",IF(COUNTIFS(الإدخال!$A$5:$A$644,G$5,الإدخال!$D$5:$D$644,$A28,الإدخال!$F$5:$F$644,"غائب",الإدخال!$G$5:$G$644,"")&gt;0,"غ",IF(COUNTIFS(الإدخال!$A$5:$A$644,G$5,الإدخال!$D$5:$D$644,$A28,الإدخال!$F$5:$F$644,"معتذر",الإدخال!$G$5:$G$644,"")&gt;0,"ع",IF(SUMIFS(الإدخال!$P$5:$P$644,الإدخال!$A$5:$A$644,G$5,الإدخال!$D$5:$D$644,$A28)&gt;0,SUMIFS(الإدخال!$O$5:$O$644,الإدخال!$A$5:$A$644,G$5,الإدخال!$D$5:$D$644,$A28)/100,""))))</f>
        <v/>
      </c>
      <c r="H28" s="70" t="str">
        <f>IF($A28="","",IF(COUNTIFS(الإدخال!$A$5:$A$644,H$5,الإدخال!$D$5:$D$644,$A28,الإدخال!$F$5:$F$644,"غائب",الإدخال!$G$5:$G$644,"")&gt;0,"غ",IF(COUNTIFS(الإدخال!$A$5:$A$644,H$5,الإدخال!$D$5:$D$644,$A28,الإدخال!$F$5:$F$644,"معتذر",الإدخال!$G$5:$G$644,"")&gt;0,"ع",IF(SUMIFS(الإدخال!$P$5:$P$644,الإدخال!$A$5:$A$644,H$5,الإدخال!$D$5:$D$644,$A28)&gt;0,SUMIFS(الإدخال!$O$5:$O$644,الإدخال!$A$5:$A$644,H$5,الإدخال!$D$5:$D$644,$A28)/100,""))))</f>
        <v/>
      </c>
      <c r="I28" s="70" t="str">
        <f>IF($A28="","",IF(COUNTIFS(الإدخال!$A$5:$A$644,I$5,الإدخال!$D$5:$D$644,$A28,الإدخال!$F$5:$F$644,"غائب",الإدخال!$G$5:$G$644,"")&gt;0,"غ",IF(COUNTIFS(الإدخال!$A$5:$A$644,I$5,الإدخال!$D$5:$D$644,$A28,الإدخال!$F$5:$F$644,"معتذر",الإدخال!$G$5:$G$644,"")&gt;0,"ع",IF(SUMIFS(الإدخال!$P$5:$P$644,الإدخال!$A$5:$A$644,I$5,الإدخال!$D$5:$D$644,$A28)&gt;0,SUMIFS(الإدخال!$O$5:$O$644,الإدخال!$A$5:$A$644,I$5,الإدخال!$D$5:$D$644,$A28)/100,""))))</f>
        <v/>
      </c>
      <c r="J28" s="70" t="str">
        <f>IF($A28="","",IF(COUNTIFS(الإدخال!$A$5:$A$644,J$5,الإدخال!$D$5:$D$644,$A28,الإدخال!$F$5:$F$644,"غائب",الإدخال!$G$5:$G$644,"")&gt;0,"غ",IF(COUNTIFS(الإدخال!$A$5:$A$644,J$5,الإدخال!$D$5:$D$644,$A28,الإدخال!$F$5:$F$644,"معتذر",الإدخال!$G$5:$G$644,"")&gt;0,"ع",IF(SUMIFS(الإدخال!$P$5:$P$644,الإدخال!$A$5:$A$644,J$5,الإدخال!$D$5:$D$644,$A28)&gt;0,SUMIFS(الإدخال!$O$5:$O$644,الإدخال!$A$5:$A$644,J$5,الإدخال!$D$5:$D$644,$A28)/100,""))))</f>
        <v/>
      </c>
      <c r="K28" s="70" t="str">
        <f>IF($A28="","",IF(COUNTIFS(الإدخال!$A$5:$A$644,K$5,الإدخال!$D$5:$D$644,$A28,الإدخال!$F$5:$F$644,"غائب",الإدخال!$G$5:$G$644,"")&gt;0,"غ",IF(COUNTIFS(الإدخال!$A$5:$A$644,K$5,الإدخال!$D$5:$D$644,$A28,الإدخال!$F$5:$F$644,"معتذر",الإدخال!$G$5:$G$644,"")&gt;0,"ع",IF(SUMIFS(الإدخال!$P$5:$P$644,الإدخال!$A$5:$A$644,K$5,الإدخال!$D$5:$D$644,$A28)&gt;0,SUMIFS(الإدخال!$O$5:$O$644,الإدخال!$A$5:$A$644,K$5,الإدخال!$D$5:$D$644,$A28)/100,""))))</f>
        <v/>
      </c>
      <c r="L28" s="70" t="str">
        <f>IF($A28="","",IF(COUNTIFS(الإدخال!$A$5:$A$644,L$5,الإدخال!$D$5:$D$644,$A28,الإدخال!$F$5:$F$644,"غائب",الإدخال!$G$5:$G$644,"")&gt;0,"غ",IF(COUNTIFS(الإدخال!$A$5:$A$644,L$5,الإدخال!$D$5:$D$644,$A28,الإدخال!$F$5:$F$644,"معتذر",الإدخال!$G$5:$G$644,"")&gt;0,"ع",IF(SUMIFS(الإدخال!$P$5:$P$644,الإدخال!$A$5:$A$644,L$5,الإدخال!$D$5:$D$644,$A28)&gt;0,SUMIFS(الإدخال!$O$5:$O$644,الإدخال!$A$5:$A$644,L$5,الإدخال!$D$5:$D$644,$A28)/100,""))))</f>
        <v/>
      </c>
      <c r="M28" s="70" t="str">
        <f>IF($A28="","",IF(COUNTIFS(الإدخال!$A$5:$A$644,M$5,الإدخال!$D$5:$D$644,$A28,الإدخال!$F$5:$F$644,"غائب",الإدخال!$G$5:$G$644,"")&gt;0,"غ",IF(COUNTIFS(الإدخال!$A$5:$A$644,M$5,الإدخال!$D$5:$D$644,$A28,الإدخال!$F$5:$F$644,"معتذر",الإدخال!$G$5:$G$644,"")&gt;0,"ع",IF(SUMIFS(الإدخال!$P$5:$P$644,الإدخال!$A$5:$A$644,M$5,الإدخال!$D$5:$D$644,$A28)&gt;0,SUMIFS(الإدخال!$O$5:$O$644,الإدخال!$A$5:$A$644,M$5,الإدخال!$D$5:$D$644,$A28)/100,""))))</f>
        <v/>
      </c>
      <c r="N28" s="70" t="str">
        <f>IF($A28="","",IF(COUNTIFS(الإدخال!$A$5:$A$644,N$5,الإدخال!$D$5:$D$644,$A28,الإدخال!$F$5:$F$644,"غائب",الإدخال!$G$5:$G$644,"")&gt;0,"غ",IF(COUNTIFS(الإدخال!$A$5:$A$644,N$5,الإدخال!$D$5:$D$644,$A28,الإدخال!$F$5:$F$644,"معتذر",الإدخال!$G$5:$G$644,"")&gt;0,"ع",IF(SUMIFS(الإدخال!$P$5:$P$644,الإدخال!$A$5:$A$644,N$5,الإدخال!$D$5:$D$644,$A28)&gt;0,SUMIFS(الإدخال!$O$5:$O$644,الإدخال!$A$5:$A$644,N$5,الإدخال!$D$5:$D$644,$A28)/100,""))))</f>
        <v/>
      </c>
      <c r="O28" s="70" t="str">
        <f>IF($A28="","",IF(COUNTIFS(الإدخال!$A$5:$A$644,O$5,الإدخال!$D$5:$D$644,$A28,الإدخال!$F$5:$F$644,"غائب",الإدخال!$G$5:$G$644,"")&gt;0,"غ",IF(COUNTIFS(الإدخال!$A$5:$A$644,O$5,الإدخال!$D$5:$D$644,$A28,الإدخال!$F$5:$F$644,"معتذر",الإدخال!$G$5:$G$644,"")&gt;0,"ع",IF(SUMIFS(الإدخال!$P$5:$P$644,الإدخال!$A$5:$A$644,O$5,الإدخال!$D$5:$D$644,$A28)&gt;0,SUMIFS(الإدخال!$O$5:$O$644,الإدخال!$A$5:$A$644,O$5,الإدخال!$D$5:$D$644,$A28)/100,""))))</f>
        <v/>
      </c>
      <c r="P28" s="70" t="str">
        <f>IF($A28="","",IF(COUNTIFS(الإدخال!$A$5:$A$644,P$5,الإدخال!$D$5:$D$644,$A28,الإدخال!$F$5:$F$644,"غائب",الإدخال!$G$5:$G$644,"")&gt;0,"غ",IF(COUNTIFS(الإدخال!$A$5:$A$644,P$5,الإدخال!$D$5:$D$644,$A28,الإدخال!$F$5:$F$644,"معتذر",الإدخال!$G$5:$G$644,"")&gt;0,"ع",IF(SUMIFS(الإدخال!$P$5:$P$644,الإدخال!$A$5:$A$644,P$5,الإدخال!$D$5:$D$644,$A28)&gt;0,SUMIFS(الإدخال!$O$5:$O$644,الإدخال!$A$5:$A$644,P$5,الإدخال!$D$5:$D$644,$A28)/100,""))))</f>
        <v/>
      </c>
      <c r="Q28" s="70" t="str">
        <f>IF($A28="","",IF(COUNTIFS(الإدخال!$A$5:$A$644,Q$5,الإدخال!$D$5:$D$644,$A28,الإدخال!$F$5:$F$644,"غائب",الإدخال!$G$5:$G$644,"")&gt;0,"غ",IF(COUNTIFS(الإدخال!$A$5:$A$644,Q$5,الإدخال!$D$5:$D$644,$A28,الإدخال!$F$5:$F$644,"معتذر",الإدخال!$G$5:$G$644,"")&gt;0,"ع",IF(SUMIFS(الإدخال!$P$5:$P$644,الإدخال!$A$5:$A$644,Q$5,الإدخال!$D$5:$D$644,$A28)&gt;0,SUMIFS(الإدخال!$O$5:$O$644,الإدخال!$A$5:$A$644,Q$5,الإدخال!$D$5:$D$644,$A28)/100,""))))</f>
        <v/>
      </c>
      <c r="R28" s="70" t="str">
        <f>IF($A28="","",IF(COUNTIFS(الإدخال!$A$5:$A$644,R$5,الإدخال!$D$5:$D$644,$A28,الإدخال!$F$5:$F$644,"غائب",الإدخال!$G$5:$G$644,"")&gt;0,"غ",IF(COUNTIFS(الإدخال!$A$5:$A$644,R$5,الإدخال!$D$5:$D$644,$A28,الإدخال!$F$5:$F$644,"معتذر",الإدخال!$G$5:$G$644,"")&gt;0,"ع",IF(SUMIFS(الإدخال!$P$5:$P$644,الإدخال!$A$5:$A$644,R$5,الإدخال!$D$5:$D$644,$A28)&gt;0,SUMIFS(الإدخال!$O$5:$O$644,الإدخال!$A$5:$A$644,R$5,الإدخال!$D$5:$D$644,$A28)/100,""))))</f>
        <v/>
      </c>
      <c r="S28" s="70" t="str">
        <f>IF($A28="","",IF(COUNTIFS(الإدخال!$A$5:$A$644,S$5,الإدخال!$D$5:$D$644,$A28,الإدخال!$F$5:$F$644,"غائب",الإدخال!$G$5:$G$644,"")&gt;0,"غ",IF(COUNTIFS(الإدخال!$A$5:$A$644,S$5,الإدخال!$D$5:$D$644,$A28,الإدخال!$F$5:$F$644,"معتذر",الإدخال!$G$5:$G$644,"")&gt;0,"ع",IF(SUMIFS(الإدخال!$P$5:$P$644,الإدخال!$A$5:$A$644,S$5,الإدخال!$D$5:$D$644,$A28)&gt;0,SUMIFS(الإدخال!$O$5:$O$644,الإدخال!$A$5:$A$644,S$5,الإدخال!$D$5:$D$644,$A28)/100,""))))</f>
        <v/>
      </c>
      <c r="T28" s="71" t="str">
        <f>IF($A28="","",IFERROR(SUMIFS(الإدخال!$O$5:$O$644,الإدخال!$D$5:$D$644,$A28)/SUMIFS(الإدخال!$P$5:$P$644,الإدخال!$D$5:$D$644,$A28)/100,""))</f>
        <v/>
      </c>
      <c r="U28" s="72" t="str">
        <f t="shared" si="0"/>
        <v/>
      </c>
      <c r="V28" s="72" t="str">
        <f>IF($A28="","",SUMIFS(الإدخال!$N$5:$N$644,الإدخال!$D$5:$D$644,$A28))</f>
        <v/>
      </c>
      <c r="W28" s="73" t="str">
        <f>IF($A28="","",COUNTIFS(الإدخال!$D$5:$D$644,$A28,الإدخال!$F$5:$F$644,"متأخر"))</f>
        <v/>
      </c>
      <c r="X28" s="73" t="str">
        <f>IF($A28="","",COUNTIFS(الإدخال!$D$5:$D$644,$A28,الإدخال!$F$5:$F$644,"غائب"))</f>
        <v/>
      </c>
      <c r="Y28" s="73" t="str">
        <f>IF($A28="","",COUNTIFS(الإدخال!$D$5:$D$644,$A28,الإدخال!$F$5:$F$644,"معتذر"))</f>
        <v/>
      </c>
      <c r="Z28" s="73" t="str">
        <f>IF($A28="","",SUMIFS(الإدخال!$H$5:$H$644,الإدخال!$D$5:$D$644,$A28,الإدخال!$N$5:$N$644,1))</f>
        <v/>
      </c>
      <c r="AA28" s="73" t="str">
        <f>IF($A28="","",SUMIFS(الإدخال!$I$5:$I$644,الإدخال!$D$5:$D$644,$A28,الإدخال!$N$5:$N$644,1))</f>
        <v/>
      </c>
      <c r="AB28" s="73" t="str">
        <f>IF($A28="","",SUMIFS(الإدخال!$J$5:$J$644,الإدخال!$D$5:$D$644,$A28,الإدخال!$N$5:$N$644,1))</f>
        <v/>
      </c>
      <c r="AC28" s="36" t="str">
        <f>IFERROR(MATCH($C$3&amp;"|23",الطلاب!$E$5:$E$44,0),"")</f>
        <v/>
      </c>
    </row>
    <row r="29" spans="1:29">
      <c r="A29" s="18" t="str">
        <f>IF($AC29="","",INDEX(الطلاب!$A$5:$A$44,$AC29))</f>
        <v/>
      </c>
      <c r="B29" s="74" t="str">
        <f>IF($AC29="","",INDEX(الطلاب!$B$5:$B$44,$AC29))</f>
        <v/>
      </c>
      <c r="C29" s="72" t="str">
        <f>IF($AC29="","",INDEX(الطلاب!$D$5:$D$44,$AC29))</f>
        <v/>
      </c>
      <c r="D29" s="70" t="str">
        <f>IF($A29="","",IF(COUNTIFS(الإدخال!$A$5:$A$644,D$5,الإدخال!$D$5:$D$644,$A29,الإدخال!$F$5:$F$644,"غائب",الإدخال!$G$5:$G$644,"")&gt;0,"غ",IF(COUNTIFS(الإدخال!$A$5:$A$644,D$5,الإدخال!$D$5:$D$644,$A29,الإدخال!$F$5:$F$644,"معتذر",الإدخال!$G$5:$G$644,"")&gt;0,"ع",IF(SUMIFS(الإدخال!$P$5:$P$644,الإدخال!$A$5:$A$644,D$5,الإدخال!$D$5:$D$644,$A29)&gt;0,SUMIFS(الإدخال!$O$5:$O$644,الإدخال!$A$5:$A$644,D$5,الإدخال!$D$5:$D$644,$A29)/100,""))))</f>
        <v/>
      </c>
      <c r="E29" s="70" t="str">
        <f>IF($A29="","",IF(COUNTIFS(الإدخال!$A$5:$A$644,E$5,الإدخال!$D$5:$D$644,$A29,الإدخال!$F$5:$F$644,"غائب",الإدخال!$G$5:$G$644,"")&gt;0,"غ",IF(COUNTIFS(الإدخال!$A$5:$A$644,E$5,الإدخال!$D$5:$D$644,$A29,الإدخال!$F$5:$F$644,"معتذر",الإدخال!$G$5:$G$644,"")&gt;0,"ع",IF(SUMIFS(الإدخال!$P$5:$P$644,الإدخال!$A$5:$A$644,E$5,الإدخال!$D$5:$D$644,$A29)&gt;0,SUMIFS(الإدخال!$O$5:$O$644,الإدخال!$A$5:$A$644,E$5,الإدخال!$D$5:$D$644,$A29)/100,""))))</f>
        <v/>
      </c>
      <c r="F29" s="70" t="str">
        <f>IF($A29="","",IF(COUNTIFS(الإدخال!$A$5:$A$644,F$5,الإدخال!$D$5:$D$644,$A29,الإدخال!$F$5:$F$644,"غائب",الإدخال!$G$5:$G$644,"")&gt;0,"غ",IF(COUNTIFS(الإدخال!$A$5:$A$644,F$5,الإدخال!$D$5:$D$644,$A29,الإدخال!$F$5:$F$644,"معتذر",الإدخال!$G$5:$G$644,"")&gt;0,"ع",IF(SUMIFS(الإدخال!$P$5:$P$644,الإدخال!$A$5:$A$644,F$5,الإدخال!$D$5:$D$644,$A29)&gt;0,SUMIFS(الإدخال!$O$5:$O$644,الإدخال!$A$5:$A$644,F$5,الإدخال!$D$5:$D$644,$A29)/100,""))))</f>
        <v/>
      </c>
      <c r="G29" s="70" t="str">
        <f>IF($A29="","",IF(COUNTIFS(الإدخال!$A$5:$A$644,G$5,الإدخال!$D$5:$D$644,$A29,الإدخال!$F$5:$F$644,"غائب",الإدخال!$G$5:$G$644,"")&gt;0,"غ",IF(COUNTIFS(الإدخال!$A$5:$A$644,G$5,الإدخال!$D$5:$D$644,$A29,الإدخال!$F$5:$F$644,"معتذر",الإدخال!$G$5:$G$644,"")&gt;0,"ع",IF(SUMIFS(الإدخال!$P$5:$P$644,الإدخال!$A$5:$A$644,G$5,الإدخال!$D$5:$D$644,$A29)&gt;0,SUMIFS(الإدخال!$O$5:$O$644,الإدخال!$A$5:$A$644,G$5,الإدخال!$D$5:$D$644,$A29)/100,""))))</f>
        <v/>
      </c>
      <c r="H29" s="70" t="str">
        <f>IF($A29="","",IF(COUNTIFS(الإدخال!$A$5:$A$644,H$5,الإدخال!$D$5:$D$644,$A29,الإدخال!$F$5:$F$644,"غائب",الإدخال!$G$5:$G$644,"")&gt;0,"غ",IF(COUNTIFS(الإدخال!$A$5:$A$644,H$5,الإدخال!$D$5:$D$644,$A29,الإدخال!$F$5:$F$644,"معتذر",الإدخال!$G$5:$G$644,"")&gt;0,"ع",IF(SUMIFS(الإدخال!$P$5:$P$644,الإدخال!$A$5:$A$644,H$5,الإدخال!$D$5:$D$644,$A29)&gt;0,SUMIFS(الإدخال!$O$5:$O$644,الإدخال!$A$5:$A$644,H$5,الإدخال!$D$5:$D$644,$A29)/100,""))))</f>
        <v/>
      </c>
      <c r="I29" s="70" t="str">
        <f>IF($A29="","",IF(COUNTIFS(الإدخال!$A$5:$A$644,I$5,الإدخال!$D$5:$D$644,$A29,الإدخال!$F$5:$F$644,"غائب",الإدخال!$G$5:$G$644,"")&gt;0,"غ",IF(COUNTIFS(الإدخال!$A$5:$A$644,I$5,الإدخال!$D$5:$D$644,$A29,الإدخال!$F$5:$F$644,"معتذر",الإدخال!$G$5:$G$644,"")&gt;0,"ع",IF(SUMIFS(الإدخال!$P$5:$P$644,الإدخال!$A$5:$A$644,I$5,الإدخال!$D$5:$D$644,$A29)&gt;0,SUMIFS(الإدخال!$O$5:$O$644,الإدخال!$A$5:$A$644,I$5,الإدخال!$D$5:$D$644,$A29)/100,""))))</f>
        <v/>
      </c>
      <c r="J29" s="70" t="str">
        <f>IF($A29="","",IF(COUNTIFS(الإدخال!$A$5:$A$644,J$5,الإدخال!$D$5:$D$644,$A29,الإدخال!$F$5:$F$644,"غائب",الإدخال!$G$5:$G$644,"")&gt;0,"غ",IF(COUNTIFS(الإدخال!$A$5:$A$644,J$5,الإدخال!$D$5:$D$644,$A29,الإدخال!$F$5:$F$644,"معتذر",الإدخال!$G$5:$G$644,"")&gt;0,"ع",IF(SUMIFS(الإدخال!$P$5:$P$644,الإدخال!$A$5:$A$644,J$5,الإدخال!$D$5:$D$644,$A29)&gt;0,SUMIFS(الإدخال!$O$5:$O$644,الإدخال!$A$5:$A$644,J$5,الإدخال!$D$5:$D$644,$A29)/100,""))))</f>
        <v/>
      </c>
      <c r="K29" s="70" t="str">
        <f>IF($A29="","",IF(COUNTIFS(الإدخال!$A$5:$A$644,K$5,الإدخال!$D$5:$D$644,$A29,الإدخال!$F$5:$F$644,"غائب",الإدخال!$G$5:$G$644,"")&gt;0,"غ",IF(COUNTIFS(الإدخال!$A$5:$A$644,K$5,الإدخال!$D$5:$D$644,$A29,الإدخال!$F$5:$F$644,"معتذر",الإدخال!$G$5:$G$644,"")&gt;0,"ع",IF(SUMIFS(الإدخال!$P$5:$P$644,الإدخال!$A$5:$A$644,K$5,الإدخال!$D$5:$D$644,$A29)&gt;0,SUMIFS(الإدخال!$O$5:$O$644,الإدخال!$A$5:$A$644,K$5,الإدخال!$D$5:$D$644,$A29)/100,""))))</f>
        <v/>
      </c>
      <c r="L29" s="70" t="str">
        <f>IF($A29="","",IF(COUNTIFS(الإدخال!$A$5:$A$644,L$5,الإدخال!$D$5:$D$644,$A29,الإدخال!$F$5:$F$644,"غائب",الإدخال!$G$5:$G$644,"")&gt;0,"غ",IF(COUNTIFS(الإدخال!$A$5:$A$644,L$5,الإدخال!$D$5:$D$644,$A29,الإدخال!$F$5:$F$644,"معتذر",الإدخال!$G$5:$G$644,"")&gt;0,"ع",IF(SUMIFS(الإدخال!$P$5:$P$644,الإدخال!$A$5:$A$644,L$5,الإدخال!$D$5:$D$644,$A29)&gt;0,SUMIFS(الإدخال!$O$5:$O$644,الإدخال!$A$5:$A$644,L$5,الإدخال!$D$5:$D$644,$A29)/100,""))))</f>
        <v/>
      </c>
      <c r="M29" s="70" t="str">
        <f>IF($A29="","",IF(COUNTIFS(الإدخال!$A$5:$A$644,M$5,الإدخال!$D$5:$D$644,$A29,الإدخال!$F$5:$F$644,"غائب",الإدخال!$G$5:$G$644,"")&gt;0,"غ",IF(COUNTIFS(الإدخال!$A$5:$A$644,M$5,الإدخال!$D$5:$D$644,$A29,الإدخال!$F$5:$F$644,"معتذر",الإدخال!$G$5:$G$644,"")&gt;0,"ع",IF(SUMIFS(الإدخال!$P$5:$P$644,الإدخال!$A$5:$A$644,M$5,الإدخال!$D$5:$D$644,$A29)&gt;0,SUMIFS(الإدخال!$O$5:$O$644,الإدخال!$A$5:$A$644,M$5,الإدخال!$D$5:$D$644,$A29)/100,""))))</f>
        <v/>
      </c>
      <c r="N29" s="70" t="str">
        <f>IF($A29="","",IF(COUNTIFS(الإدخال!$A$5:$A$644,N$5,الإدخال!$D$5:$D$644,$A29,الإدخال!$F$5:$F$644,"غائب",الإدخال!$G$5:$G$644,"")&gt;0,"غ",IF(COUNTIFS(الإدخال!$A$5:$A$644,N$5,الإدخال!$D$5:$D$644,$A29,الإدخال!$F$5:$F$644,"معتذر",الإدخال!$G$5:$G$644,"")&gt;0,"ع",IF(SUMIFS(الإدخال!$P$5:$P$644,الإدخال!$A$5:$A$644,N$5,الإدخال!$D$5:$D$644,$A29)&gt;0,SUMIFS(الإدخال!$O$5:$O$644,الإدخال!$A$5:$A$644,N$5,الإدخال!$D$5:$D$644,$A29)/100,""))))</f>
        <v/>
      </c>
      <c r="O29" s="70" t="str">
        <f>IF($A29="","",IF(COUNTIFS(الإدخال!$A$5:$A$644,O$5,الإدخال!$D$5:$D$644,$A29,الإدخال!$F$5:$F$644,"غائب",الإدخال!$G$5:$G$644,"")&gt;0,"غ",IF(COUNTIFS(الإدخال!$A$5:$A$644,O$5,الإدخال!$D$5:$D$644,$A29,الإدخال!$F$5:$F$644,"معتذر",الإدخال!$G$5:$G$644,"")&gt;0,"ع",IF(SUMIFS(الإدخال!$P$5:$P$644,الإدخال!$A$5:$A$644,O$5,الإدخال!$D$5:$D$644,$A29)&gt;0,SUMIFS(الإدخال!$O$5:$O$644,الإدخال!$A$5:$A$644,O$5,الإدخال!$D$5:$D$644,$A29)/100,""))))</f>
        <v/>
      </c>
      <c r="P29" s="70" t="str">
        <f>IF($A29="","",IF(COUNTIFS(الإدخال!$A$5:$A$644,P$5,الإدخال!$D$5:$D$644,$A29,الإدخال!$F$5:$F$644,"غائب",الإدخال!$G$5:$G$644,"")&gt;0,"غ",IF(COUNTIFS(الإدخال!$A$5:$A$644,P$5,الإدخال!$D$5:$D$644,$A29,الإدخال!$F$5:$F$644,"معتذر",الإدخال!$G$5:$G$644,"")&gt;0,"ع",IF(SUMIFS(الإدخال!$P$5:$P$644,الإدخال!$A$5:$A$644,P$5,الإدخال!$D$5:$D$644,$A29)&gt;0,SUMIFS(الإدخال!$O$5:$O$644,الإدخال!$A$5:$A$644,P$5,الإدخال!$D$5:$D$644,$A29)/100,""))))</f>
        <v/>
      </c>
      <c r="Q29" s="70" t="str">
        <f>IF($A29="","",IF(COUNTIFS(الإدخال!$A$5:$A$644,Q$5,الإدخال!$D$5:$D$644,$A29,الإدخال!$F$5:$F$644,"غائب",الإدخال!$G$5:$G$644,"")&gt;0,"غ",IF(COUNTIFS(الإدخال!$A$5:$A$644,Q$5,الإدخال!$D$5:$D$644,$A29,الإدخال!$F$5:$F$644,"معتذر",الإدخال!$G$5:$G$644,"")&gt;0,"ع",IF(SUMIFS(الإدخال!$P$5:$P$644,الإدخال!$A$5:$A$644,Q$5,الإدخال!$D$5:$D$644,$A29)&gt;0,SUMIFS(الإدخال!$O$5:$O$644,الإدخال!$A$5:$A$644,Q$5,الإدخال!$D$5:$D$644,$A29)/100,""))))</f>
        <v/>
      </c>
      <c r="R29" s="70" t="str">
        <f>IF($A29="","",IF(COUNTIFS(الإدخال!$A$5:$A$644,R$5,الإدخال!$D$5:$D$644,$A29,الإدخال!$F$5:$F$644,"غائب",الإدخال!$G$5:$G$644,"")&gt;0,"غ",IF(COUNTIFS(الإدخال!$A$5:$A$644,R$5,الإدخال!$D$5:$D$644,$A29,الإدخال!$F$5:$F$644,"معتذر",الإدخال!$G$5:$G$644,"")&gt;0,"ع",IF(SUMIFS(الإدخال!$P$5:$P$644,الإدخال!$A$5:$A$644,R$5,الإدخال!$D$5:$D$644,$A29)&gt;0,SUMIFS(الإدخال!$O$5:$O$644,الإدخال!$A$5:$A$644,R$5,الإدخال!$D$5:$D$644,$A29)/100,""))))</f>
        <v/>
      </c>
      <c r="S29" s="70" t="str">
        <f>IF($A29="","",IF(COUNTIFS(الإدخال!$A$5:$A$644,S$5,الإدخال!$D$5:$D$644,$A29,الإدخال!$F$5:$F$644,"غائب",الإدخال!$G$5:$G$644,"")&gt;0,"غ",IF(COUNTIFS(الإدخال!$A$5:$A$644,S$5,الإدخال!$D$5:$D$644,$A29,الإدخال!$F$5:$F$644,"معتذر",الإدخال!$G$5:$G$644,"")&gt;0,"ع",IF(SUMIFS(الإدخال!$P$5:$P$644,الإدخال!$A$5:$A$644,S$5,الإدخال!$D$5:$D$644,$A29)&gt;0,SUMIFS(الإدخال!$O$5:$O$644,الإدخال!$A$5:$A$644,S$5,الإدخال!$D$5:$D$644,$A29)/100,""))))</f>
        <v/>
      </c>
      <c r="T29" s="71" t="str">
        <f>IF($A29="","",IFERROR(SUMIFS(الإدخال!$O$5:$O$644,الإدخال!$D$5:$D$644,$A29)/SUMIFS(الإدخال!$P$5:$P$644,الإدخال!$D$5:$D$644,$A29)/100,""))</f>
        <v/>
      </c>
      <c r="U29" s="72" t="str">
        <f t="shared" si="0"/>
        <v/>
      </c>
      <c r="V29" s="72" t="str">
        <f>IF($A29="","",SUMIFS(الإدخال!$N$5:$N$644,الإدخال!$D$5:$D$644,$A29))</f>
        <v/>
      </c>
      <c r="W29" s="73" t="str">
        <f>IF($A29="","",COUNTIFS(الإدخال!$D$5:$D$644,$A29,الإدخال!$F$5:$F$644,"متأخر"))</f>
        <v/>
      </c>
      <c r="X29" s="73" t="str">
        <f>IF($A29="","",COUNTIFS(الإدخال!$D$5:$D$644,$A29,الإدخال!$F$5:$F$644,"غائب"))</f>
        <v/>
      </c>
      <c r="Y29" s="73" t="str">
        <f>IF($A29="","",COUNTIFS(الإدخال!$D$5:$D$644,$A29,الإدخال!$F$5:$F$644,"معتذر"))</f>
        <v/>
      </c>
      <c r="Z29" s="73" t="str">
        <f>IF($A29="","",SUMIFS(الإدخال!$H$5:$H$644,الإدخال!$D$5:$D$644,$A29,الإدخال!$N$5:$N$644,1))</f>
        <v/>
      </c>
      <c r="AA29" s="73" t="str">
        <f>IF($A29="","",SUMIFS(الإدخال!$I$5:$I$644,الإدخال!$D$5:$D$644,$A29,الإدخال!$N$5:$N$644,1))</f>
        <v/>
      </c>
      <c r="AB29" s="73" t="str">
        <f>IF($A29="","",SUMIFS(الإدخال!$J$5:$J$644,الإدخال!$D$5:$D$644,$A29,الإدخال!$N$5:$N$644,1))</f>
        <v/>
      </c>
      <c r="AC29" s="36" t="str">
        <f>IFERROR(MATCH($C$3&amp;"|24",الطلاب!$E$5:$E$44,0),"")</f>
        <v/>
      </c>
    </row>
    <row r="30" spans="1:29">
      <c r="A30" s="18" t="str">
        <f>IF($AC30="","",INDEX(الطلاب!$A$5:$A$44,$AC30))</f>
        <v/>
      </c>
      <c r="B30" s="74" t="str">
        <f>IF($AC30="","",INDEX(الطلاب!$B$5:$B$44,$AC30))</f>
        <v/>
      </c>
      <c r="C30" s="72" t="str">
        <f>IF($AC30="","",INDEX(الطلاب!$D$5:$D$44,$AC30))</f>
        <v/>
      </c>
      <c r="D30" s="70" t="str">
        <f>IF($A30="","",IF(COUNTIFS(الإدخال!$A$5:$A$644,D$5,الإدخال!$D$5:$D$644,$A30,الإدخال!$F$5:$F$644,"غائب",الإدخال!$G$5:$G$644,"")&gt;0,"غ",IF(COUNTIFS(الإدخال!$A$5:$A$644,D$5,الإدخال!$D$5:$D$644,$A30,الإدخال!$F$5:$F$644,"معتذر",الإدخال!$G$5:$G$644,"")&gt;0,"ع",IF(SUMIFS(الإدخال!$P$5:$P$644,الإدخال!$A$5:$A$644,D$5,الإدخال!$D$5:$D$644,$A30)&gt;0,SUMIFS(الإدخال!$O$5:$O$644,الإدخال!$A$5:$A$644,D$5,الإدخال!$D$5:$D$644,$A30)/100,""))))</f>
        <v/>
      </c>
      <c r="E30" s="70" t="str">
        <f>IF($A30="","",IF(COUNTIFS(الإدخال!$A$5:$A$644,E$5,الإدخال!$D$5:$D$644,$A30,الإدخال!$F$5:$F$644,"غائب",الإدخال!$G$5:$G$644,"")&gt;0,"غ",IF(COUNTIFS(الإدخال!$A$5:$A$644,E$5,الإدخال!$D$5:$D$644,$A30,الإدخال!$F$5:$F$644,"معتذر",الإدخال!$G$5:$G$644,"")&gt;0,"ع",IF(SUMIFS(الإدخال!$P$5:$P$644,الإدخال!$A$5:$A$644,E$5,الإدخال!$D$5:$D$644,$A30)&gt;0,SUMIFS(الإدخال!$O$5:$O$644,الإدخال!$A$5:$A$644,E$5,الإدخال!$D$5:$D$644,$A30)/100,""))))</f>
        <v/>
      </c>
      <c r="F30" s="70" t="str">
        <f>IF($A30="","",IF(COUNTIFS(الإدخال!$A$5:$A$644,F$5,الإدخال!$D$5:$D$644,$A30,الإدخال!$F$5:$F$644,"غائب",الإدخال!$G$5:$G$644,"")&gt;0,"غ",IF(COUNTIFS(الإدخال!$A$5:$A$644,F$5,الإدخال!$D$5:$D$644,$A30,الإدخال!$F$5:$F$644,"معتذر",الإدخال!$G$5:$G$644,"")&gt;0,"ع",IF(SUMIFS(الإدخال!$P$5:$P$644,الإدخال!$A$5:$A$644,F$5,الإدخال!$D$5:$D$644,$A30)&gt;0,SUMIFS(الإدخال!$O$5:$O$644,الإدخال!$A$5:$A$644,F$5,الإدخال!$D$5:$D$644,$A30)/100,""))))</f>
        <v/>
      </c>
      <c r="G30" s="70" t="str">
        <f>IF($A30="","",IF(COUNTIFS(الإدخال!$A$5:$A$644,G$5,الإدخال!$D$5:$D$644,$A30,الإدخال!$F$5:$F$644,"غائب",الإدخال!$G$5:$G$644,"")&gt;0,"غ",IF(COUNTIFS(الإدخال!$A$5:$A$644,G$5,الإدخال!$D$5:$D$644,$A30,الإدخال!$F$5:$F$644,"معتذر",الإدخال!$G$5:$G$644,"")&gt;0,"ع",IF(SUMIFS(الإدخال!$P$5:$P$644,الإدخال!$A$5:$A$644,G$5,الإدخال!$D$5:$D$644,$A30)&gt;0,SUMIFS(الإدخال!$O$5:$O$644,الإدخال!$A$5:$A$644,G$5,الإدخال!$D$5:$D$644,$A30)/100,""))))</f>
        <v/>
      </c>
      <c r="H30" s="70" t="str">
        <f>IF($A30="","",IF(COUNTIFS(الإدخال!$A$5:$A$644,H$5,الإدخال!$D$5:$D$644,$A30,الإدخال!$F$5:$F$644,"غائب",الإدخال!$G$5:$G$644,"")&gt;0,"غ",IF(COUNTIFS(الإدخال!$A$5:$A$644,H$5,الإدخال!$D$5:$D$644,$A30,الإدخال!$F$5:$F$644,"معتذر",الإدخال!$G$5:$G$644,"")&gt;0,"ع",IF(SUMIFS(الإدخال!$P$5:$P$644,الإدخال!$A$5:$A$644,H$5,الإدخال!$D$5:$D$644,$A30)&gt;0,SUMIFS(الإدخال!$O$5:$O$644,الإدخال!$A$5:$A$644,H$5,الإدخال!$D$5:$D$644,$A30)/100,""))))</f>
        <v/>
      </c>
      <c r="I30" s="70" t="str">
        <f>IF($A30="","",IF(COUNTIFS(الإدخال!$A$5:$A$644,I$5,الإدخال!$D$5:$D$644,$A30,الإدخال!$F$5:$F$644,"غائب",الإدخال!$G$5:$G$644,"")&gt;0,"غ",IF(COUNTIFS(الإدخال!$A$5:$A$644,I$5,الإدخال!$D$5:$D$644,$A30,الإدخال!$F$5:$F$644,"معتذر",الإدخال!$G$5:$G$644,"")&gt;0,"ع",IF(SUMIFS(الإدخال!$P$5:$P$644,الإدخال!$A$5:$A$644,I$5,الإدخال!$D$5:$D$644,$A30)&gt;0,SUMIFS(الإدخال!$O$5:$O$644,الإدخال!$A$5:$A$644,I$5,الإدخال!$D$5:$D$644,$A30)/100,""))))</f>
        <v/>
      </c>
      <c r="J30" s="70" t="str">
        <f>IF($A30="","",IF(COUNTIFS(الإدخال!$A$5:$A$644,J$5,الإدخال!$D$5:$D$644,$A30,الإدخال!$F$5:$F$644,"غائب",الإدخال!$G$5:$G$644,"")&gt;0,"غ",IF(COUNTIFS(الإدخال!$A$5:$A$644,J$5,الإدخال!$D$5:$D$644,$A30,الإدخال!$F$5:$F$644,"معتذر",الإدخال!$G$5:$G$644,"")&gt;0,"ع",IF(SUMIFS(الإدخال!$P$5:$P$644,الإدخال!$A$5:$A$644,J$5,الإدخال!$D$5:$D$644,$A30)&gt;0,SUMIFS(الإدخال!$O$5:$O$644,الإدخال!$A$5:$A$644,J$5,الإدخال!$D$5:$D$644,$A30)/100,""))))</f>
        <v/>
      </c>
      <c r="K30" s="70" t="str">
        <f>IF($A30="","",IF(COUNTIFS(الإدخال!$A$5:$A$644,K$5,الإدخال!$D$5:$D$644,$A30,الإدخال!$F$5:$F$644,"غائب",الإدخال!$G$5:$G$644,"")&gt;0,"غ",IF(COUNTIFS(الإدخال!$A$5:$A$644,K$5,الإدخال!$D$5:$D$644,$A30,الإدخال!$F$5:$F$644,"معتذر",الإدخال!$G$5:$G$644,"")&gt;0,"ع",IF(SUMIFS(الإدخال!$P$5:$P$644,الإدخال!$A$5:$A$644,K$5,الإدخال!$D$5:$D$644,$A30)&gt;0,SUMIFS(الإدخال!$O$5:$O$644,الإدخال!$A$5:$A$644,K$5,الإدخال!$D$5:$D$644,$A30)/100,""))))</f>
        <v/>
      </c>
      <c r="L30" s="70" t="str">
        <f>IF($A30="","",IF(COUNTIFS(الإدخال!$A$5:$A$644,L$5,الإدخال!$D$5:$D$644,$A30,الإدخال!$F$5:$F$644,"غائب",الإدخال!$G$5:$G$644,"")&gt;0,"غ",IF(COUNTIFS(الإدخال!$A$5:$A$644,L$5,الإدخال!$D$5:$D$644,$A30,الإدخال!$F$5:$F$644,"معتذر",الإدخال!$G$5:$G$644,"")&gt;0,"ع",IF(SUMIFS(الإدخال!$P$5:$P$644,الإدخال!$A$5:$A$644,L$5,الإدخال!$D$5:$D$644,$A30)&gt;0,SUMIFS(الإدخال!$O$5:$O$644,الإدخال!$A$5:$A$644,L$5,الإدخال!$D$5:$D$644,$A30)/100,""))))</f>
        <v/>
      </c>
      <c r="M30" s="70" t="str">
        <f>IF($A30="","",IF(COUNTIFS(الإدخال!$A$5:$A$644,M$5,الإدخال!$D$5:$D$644,$A30,الإدخال!$F$5:$F$644,"غائب",الإدخال!$G$5:$G$644,"")&gt;0,"غ",IF(COUNTIFS(الإدخال!$A$5:$A$644,M$5,الإدخال!$D$5:$D$644,$A30,الإدخال!$F$5:$F$644,"معتذر",الإدخال!$G$5:$G$644,"")&gt;0,"ع",IF(SUMIFS(الإدخال!$P$5:$P$644,الإدخال!$A$5:$A$644,M$5,الإدخال!$D$5:$D$644,$A30)&gt;0,SUMIFS(الإدخال!$O$5:$O$644,الإدخال!$A$5:$A$644,M$5,الإدخال!$D$5:$D$644,$A30)/100,""))))</f>
        <v/>
      </c>
      <c r="N30" s="70" t="str">
        <f>IF($A30="","",IF(COUNTIFS(الإدخال!$A$5:$A$644,N$5,الإدخال!$D$5:$D$644,$A30,الإدخال!$F$5:$F$644,"غائب",الإدخال!$G$5:$G$644,"")&gt;0,"غ",IF(COUNTIFS(الإدخال!$A$5:$A$644,N$5,الإدخال!$D$5:$D$644,$A30,الإدخال!$F$5:$F$644,"معتذر",الإدخال!$G$5:$G$644,"")&gt;0,"ع",IF(SUMIFS(الإدخال!$P$5:$P$644,الإدخال!$A$5:$A$644,N$5,الإدخال!$D$5:$D$644,$A30)&gt;0,SUMIFS(الإدخال!$O$5:$O$644,الإدخال!$A$5:$A$644,N$5,الإدخال!$D$5:$D$644,$A30)/100,""))))</f>
        <v/>
      </c>
      <c r="O30" s="70" t="str">
        <f>IF($A30="","",IF(COUNTIFS(الإدخال!$A$5:$A$644,O$5,الإدخال!$D$5:$D$644,$A30,الإدخال!$F$5:$F$644,"غائب",الإدخال!$G$5:$G$644,"")&gt;0,"غ",IF(COUNTIFS(الإدخال!$A$5:$A$644,O$5,الإدخال!$D$5:$D$644,$A30,الإدخال!$F$5:$F$644,"معتذر",الإدخال!$G$5:$G$644,"")&gt;0,"ع",IF(SUMIFS(الإدخال!$P$5:$P$644,الإدخال!$A$5:$A$644,O$5,الإدخال!$D$5:$D$644,$A30)&gt;0,SUMIFS(الإدخال!$O$5:$O$644,الإدخال!$A$5:$A$644,O$5,الإدخال!$D$5:$D$644,$A30)/100,""))))</f>
        <v/>
      </c>
      <c r="P30" s="70" t="str">
        <f>IF($A30="","",IF(COUNTIFS(الإدخال!$A$5:$A$644,P$5,الإدخال!$D$5:$D$644,$A30,الإدخال!$F$5:$F$644,"غائب",الإدخال!$G$5:$G$644,"")&gt;0,"غ",IF(COUNTIFS(الإدخال!$A$5:$A$644,P$5,الإدخال!$D$5:$D$644,$A30,الإدخال!$F$5:$F$644,"معتذر",الإدخال!$G$5:$G$644,"")&gt;0,"ع",IF(SUMIFS(الإدخال!$P$5:$P$644,الإدخال!$A$5:$A$644,P$5,الإدخال!$D$5:$D$644,$A30)&gt;0,SUMIFS(الإدخال!$O$5:$O$644,الإدخال!$A$5:$A$644,P$5,الإدخال!$D$5:$D$644,$A30)/100,""))))</f>
        <v/>
      </c>
      <c r="Q30" s="70" t="str">
        <f>IF($A30="","",IF(COUNTIFS(الإدخال!$A$5:$A$644,Q$5,الإدخال!$D$5:$D$644,$A30,الإدخال!$F$5:$F$644,"غائب",الإدخال!$G$5:$G$644,"")&gt;0,"غ",IF(COUNTIFS(الإدخال!$A$5:$A$644,Q$5,الإدخال!$D$5:$D$644,$A30,الإدخال!$F$5:$F$644,"معتذر",الإدخال!$G$5:$G$644,"")&gt;0,"ع",IF(SUMIFS(الإدخال!$P$5:$P$644,الإدخال!$A$5:$A$644,Q$5,الإدخال!$D$5:$D$644,$A30)&gt;0,SUMIFS(الإدخال!$O$5:$O$644,الإدخال!$A$5:$A$644,Q$5,الإدخال!$D$5:$D$644,$A30)/100,""))))</f>
        <v/>
      </c>
      <c r="R30" s="70" t="str">
        <f>IF($A30="","",IF(COUNTIFS(الإدخال!$A$5:$A$644,R$5,الإدخال!$D$5:$D$644,$A30,الإدخال!$F$5:$F$644,"غائب",الإدخال!$G$5:$G$644,"")&gt;0,"غ",IF(COUNTIFS(الإدخال!$A$5:$A$644,R$5,الإدخال!$D$5:$D$644,$A30,الإدخال!$F$5:$F$644,"معتذر",الإدخال!$G$5:$G$644,"")&gt;0,"ع",IF(SUMIFS(الإدخال!$P$5:$P$644,الإدخال!$A$5:$A$644,R$5,الإدخال!$D$5:$D$644,$A30)&gt;0,SUMIFS(الإدخال!$O$5:$O$644,الإدخال!$A$5:$A$644,R$5,الإدخال!$D$5:$D$644,$A30)/100,""))))</f>
        <v/>
      </c>
      <c r="S30" s="70" t="str">
        <f>IF($A30="","",IF(COUNTIFS(الإدخال!$A$5:$A$644,S$5,الإدخال!$D$5:$D$644,$A30,الإدخال!$F$5:$F$644,"غائب",الإدخال!$G$5:$G$644,"")&gt;0,"غ",IF(COUNTIFS(الإدخال!$A$5:$A$644,S$5,الإدخال!$D$5:$D$644,$A30,الإدخال!$F$5:$F$644,"معتذر",الإدخال!$G$5:$G$644,"")&gt;0,"ع",IF(SUMIFS(الإدخال!$P$5:$P$644,الإدخال!$A$5:$A$644,S$5,الإدخال!$D$5:$D$644,$A30)&gt;0,SUMIFS(الإدخال!$O$5:$O$644,الإدخال!$A$5:$A$644,S$5,الإدخال!$D$5:$D$644,$A30)/100,""))))</f>
        <v/>
      </c>
      <c r="T30" s="71" t="str">
        <f>IF($A30="","",IFERROR(SUMIFS(الإدخال!$O$5:$O$644,الإدخال!$D$5:$D$644,$A30)/SUMIFS(الإدخال!$P$5:$P$644,الإدخال!$D$5:$D$644,$A30)/100,""))</f>
        <v/>
      </c>
      <c r="U30" s="72" t="str">
        <f t="shared" si="0"/>
        <v/>
      </c>
      <c r="V30" s="72" t="str">
        <f>IF($A30="","",SUMIFS(الإدخال!$N$5:$N$644,الإدخال!$D$5:$D$644,$A30))</f>
        <v/>
      </c>
      <c r="W30" s="73" t="str">
        <f>IF($A30="","",COUNTIFS(الإدخال!$D$5:$D$644,$A30,الإدخال!$F$5:$F$644,"متأخر"))</f>
        <v/>
      </c>
      <c r="X30" s="73" t="str">
        <f>IF($A30="","",COUNTIFS(الإدخال!$D$5:$D$644,$A30,الإدخال!$F$5:$F$644,"غائب"))</f>
        <v/>
      </c>
      <c r="Y30" s="73" t="str">
        <f>IF($A30="","",COUNTIFS(الإدخال!$D$5:$D$644,$A30,الإدخال!$F$5:$F$644,"معتذر"))</f>
        <v/>
      </c>
      <c r="Z30" s="73" t="str">
        <f>IF($A30="","",SUMIFS(الإدخال!$H$5:$H$644,الإدخال!$D$5:$D$644,$A30,الإدخال!$N$5:$N$644,1))</f>
        <v/>
      </c>
      <c r="AA30" s="73" t="str">
        <f>IF($A30="","",SUMIFS(الإدخال!$I$5:$I$644,الإدخال!$D$5:$D$644,$A30,الإدخال!$N$5:$N$644,1))</f>
        <v/>
      </c>
      <c r="AB30" s="73" t="str">
        <f>IF($A30="","",SUMIFS(الإدخال!$J$5:$J$644,الإدخال!$D$5:$D$644,$A30,الإدخال!$N$5:$N$644,1))</f>
        <v/>
      </c>
      <c r="AC30" s="36" t="str">
        <f>IFERROR(MATCH($C$3&amp;"|25",الطلاب!$E$5:$E$44,0),"")</f>
        <v/>
      </c>
    </row>
    <row r="31" spans="1:29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75" t="s">
        <v>123</v>
      </c>
      <c r="U31" s="12"/>
      <c r="V31" s="12"/>
      <c r="W31" s="12"/>
      <c r="X31" s="12"/>
      <c r="Y31" s="12"/>
      <c r="Z31" s="12"/>
      <c r="AA31" s="12"/>
      <c r="AB31" s="12"/>
      <c r="AC31" s="2"/>
    </row>
    <row r="32" spans="1:29">
      <c r="A32" s="165" t="s">
        <v>124</v>
      </c>
      <c r="B32" s="165"/>
      <c r="C32" s="165"/>
      <c r="D32" s="76">
        <f>IFERROR(SUMIFS(الإدخال!$O$5:$O$644,الإدخال!$A$5:$A$644,D$5,الإدخال!$B$5:$B$644,$C$3)/SUMIFS(الإدخال!$P$5:$P$644,الإدخال!$A$5:$A$644,D$5,الإدخال!$B$5:$B$644,$C$3)/100,"")</f>
        <v>0.70578947368421052</v>
      </c>
      <c r="E32" s="76">
        <f>IFERROR(SUMIFS(الإدخال!$O$5:$O$644,الإدخال!$A$5:$A$644,E$5,الإدخال!$B$5:$B$644,$C$3)/SUMIFS(الإدخال!$P$5:$P$644,الإدخال!$A$5:$A$644,E$5,الإدخال!$B$5:$B$644,$C$3)/100,"")</f>
        <v>0.77142857142857135</v>
      </c>
      <c r="F32" s="76" t="str">
        <f>IFERROR(SUMIFS(الإدخال!$O$5:$O$644,الإدخال!$A$5:$A$644,F$5,الإدخال!$B$5:$B$644,$C$3)/SUMIFS(الإدخال!$P$5:$P$644,الإدخال!$A$5:$A$644,F$5,الإدخال!$B$5:$B$644,$C$3)/100,"")</f>
        <v/>
      </c>
      <c r="G32" s="76" t="str">
        <f>IFERROR(SUMIFS(الإدخال!$O$5:$O$644,الإدخال!$A$5:$A$644,G$5,الإدخال!$B$5:$B$644,$C$3)/SUMIFS(الإدخال!$P$5:$P$644,الإدخال!$A$5:$A$644,G$5,الإدخال!$B$5:$B$644,$C$3)/100,"")</f>
        <v/>
      </c>
      <c r="H32" s="76" t="str">
        <f>IFERROR(SUMIFS(الإدخال!$O$5:$O$644,الإدخال!$A$5:$A$644,H$5,الإدخال!$B$5:$B$644,$C$3)/SUMIFS(الإدخال!$P$5:$P$644,الإدخال!$A$5:$A$644,H$5,الإدخال!$B$5:$B$644,$C$3)/100,"")</f>
        <v/>
      </c>
      <c r="I32" s="76" t="str">
        <f>IFERROR(SUMIFS(الإدخال!$O$5:$O$644,الإدخال!$A$5:$A$644,I$5,الإدخال!$B$5:$B$644,$C$3)/SUMIFS(الإدخال!$P$5:$P$644,الإدخال!$A$5:$A$644,I$5,الإدخال!$B$5:$B$644,$C$3)/100,"")</f>
        <v/>
      </c>
      <c r="J32" s="76" t="str">
        <f>IFERROR(SUMIFS(الإدخال!$O$5:$O$644,الإدخال!$A$5:$A$644,J$5,الإدخال!$B$5:$B$644,$C$3)/SUMIFS(الإدخال!$P$5:$P$644,الإدخال!$A$5:$A$644,J$5,الإدخال!$B$5:$B$644,$C$3)/100,"")</f>
        <v/>
      </c>
      <c r="K32" s="76" t="str">
        <f>IFERROR(SUMIFS(الإدخال!$O$5:$O$644,الإدخال!$A$5:$A$644,K$5,الإدخال!$B$5:$B$644,$C$3)/SUMIFS(الإدخال!$P$5:$P$644,الإدخال!$A$5:$A$644,K$5,الإدخال!$B$5:$B$644,$C$3)/100,"")</f>
        <v/>
      </c>
      <c r="L32" s="76" t="str">
        <f>IFERROR(SUMIFS(الإدخال!$O$5:$O$644,الإدخال!$A$5:$A$644,L$5,الإدخال!$B$5:$B$644,$C$3)/SUMIFS(الإدخال!$P$5:$P$644,الإدخال!$A$5:$A$644,L$5,الإدخال!$B$5:$B$644,$C$3)/100,"")</f>
        <v/>
      </c>
      <c r="M32" s="76" t="str">
        <f>IFERROR(SUMIFS(الإدخال!$O$5:$O$644,الإدخال!$A$5:$A$644,M$5,الإدخال!$B$5:$B$644,$C$3)/SUMIFS(الإدخال!$P$5:$P$644,الإدخال!$A$5:$A$644,M$5,الإدخال!$B$5:$B$644,$C$3)/100,"")</f>
        <v/>
      </c>
      <c r="N32" s="76" t="str">
        <f>IFERROR(SUMIFS(الإدخال!$O$5:$O$644,الإدخال!$A$5:$A$644,N$5,الإدخال!$B$5:$B$644,$C$3)/SUMIFS(الإدخال!$P$5:$P$644,الإدخال!$A$5:$A$644,N$5,الإدخال!$B$5:$B$644,$C$3)/100,"")</f>
        <v/>
      </c>
      <c r="O32" s="76" t="str">
        <f>IFERROR(SUMIFS(الإدخال!$O$5:$O$644,الإدخال!$A$5:$A$644,O$5,الإدخال!$B$5:$B$644,$C$3)/SUMIFS(الإدخال!$P$5:$P$644,الإدخال!$A$5:$A$644,O$5,الإدخال!$B$5:$B$644,$C$3)/100,"")</f>
        <v/>
      </c>
      <c r="P32" s="76" t="str">
        <f>IFERROR(SUMIFS(الإدخال!$O$5:$O$644,الإدخال!$A$5:$A$644,P$5,الإدخال!$B$5:$B$644,$C$3)/SUMIFS(الإدخال!$P$5:$P$644,الإدخال!$A$5:$A$644,P$5,الإدخال!$B$5:$B$644,$C$3)/100,"")</f>
        <v/>
      </c>
      <c r="Q32" s="76" t="str">
        <f>IFERROR(SUMIFS(الإدخال!$O$5:$O$644,الإدخال!$A$5:$A$644,Q$5,الإدخال!$B$5:$B$644,$C$3)/SUMIFS(الإدخال!$P$5:$P$644,الإدخال!$A$5:$A$644,Q$5,الإدخال!$B$5:$B$644,$C$3)/100,"")</f>
        <v/>
      </c>
      <c r="R32" s="76" t="str">
        <f>IFERROR(SUMIFS(الإدخال!$O$5:$O$644,الإدخال!$A$5:$A$644,R$5,الإدخال!$B$5:$B$644,$C$3)/SUMIFS(الإدخال!$P$5:$P$644,الإدخال!$A$5:$A$644,R$5,الإدخال!$B$5:$B$644,$C$3)/100,"")</f>
        <v/>
      </c>
      <c r="S32" s="76" t="str">
        <f>IFERROR(SUMIFS(الإدخال!$O$5:$O$644,الإدخال!$A$5:$A$644,S$5,الإدخال!$B$5:$B$644,$C$3)/SUMIFS(الإدخال!$P$5:$P$644,الإدخال!$A$5:$A$644,S$5,الإدخال!$B$5:$B$644,$C$3)/100,"")</f>
        <v/>
      </c>
      <c r="T32" s="77">
        <f>IFERROR(SUMIFS(الإدخال!$O$5:$O$644,الإدخال!$B$5:$B$644,$C$3)/SUMIFS(الإدخال!$P$5:$P$644,الإدخال!$B$5:$B$644,$C$3)/100,"")</f>
        <v>0.74025000000000007</v>
      </c>
      <c r="U32" s="36"/>
      <c r="V32" s="2"/>
      <c r="W32" s="2"/>
      <c r="X32" s="2"/>
      <c r="Y32" s="2"/>
      <c r="Z32" s="2"/>
      <c r="AA32" s="2"/>
      <c r="AB32" s="2"/>
      <c r="AC32" s="2"/>
    </row>
    <row r="33" spans="1:29">
      <c r="A33" s="165" t="s">
        <v>125</v>
      </c>
      <c r="B33" s="165"/>
      <c r="C33" s="165"/>
      <c r="D33" s="78">
        <f>SUMIFS(الإدخال!$N$5:$N$644,الإدخال!$A$5:$A$644,D$5,الإدخال!$B$5:$B$644,$C$3)</f>
        <v>17</v>
      </c>
      <c r="E33" s="78">
        <f>SUMIFS(الإدخال!$N$5:$N$644,الإدخال!$A$5:$A$644,E$5,الإدخال!$B$5:$B$644,$C$3)</f>
        <v>16</v>
      </c>
      <c r="F33" s="78">
        <f>SUMIFS(الإدخال!$N$5:$N$644,الإدخال!$A$5:$A$644,F$5,الإدخال!$B$5:$B$644,$C$3)</f>
        <v>0</v>
      </c>
      <c r="G33" s="78">
        <f>SUMIFS(الإدخال!$N$5:$N$644,الإدخال!$A$5:$A$644,G$5,الإدخال!$B$5:$B$644,$C$3)</f>
        <v>0</v>
      </c>
      <c r="H33" s="78">
        <f>SUMIFS(الإدخال!$N$5:$N$644,الإدخال!$A$5:$A$644,H$5,الإدخال!$B$5:$B$644,$C$3)</f>
        <v>0</v>
      </c>
      <c r="I33" s="78">
        <f>SUMIFS(الإدخال!$N$5:$N$644,الإدخال!$A$5:$A$644,I$5,الإدخال!$B$5:$B$644,$C$3)</f>
        <v>0</v>
      </c>
      <c r="J33" s="78">
        <f>SUMIFS(الإدخال!$N$5:$N$644,الإدخال!$A$5:$A$644,J$5,الإدخال!$B$5:$B$644,$C$3)</f>
        <v>0</v>
      </c>
      <c r="K33" s="78">
        <f>SUMIFS(الإدخال!$N$5:$N$644,الإدخال!$A$5:$A$644,K$5,الإدخال!$B$5:$B$644,$C$3)</f>
        <v>0</v>
      </c>
      <c r="L33" s="78">
        <f>SUMIFS(الإدخال!$N$5:$N$644,الإدخال!$A$5:$A$644,L$5,الإدخال!$B$5:$B$644,$C$3)</f>
        <v>0</v>
      </c>
      <c r="M33" s="78">
        <f>SUMIFS(الإدخال!$N$5:$N$644,الإدخال!$A$5:$A$644,M$5,الإدخال!$B$5:$B$644,$C$3)</f>
        <v>0</v>
      </c>
      <c r="N33" s="78">
        <f>SUMIFS(الإدخال!$N$5:$N$644,الإدخال!$A$5:$A$644,N$5,الإدخال!$B$5:$B$644,$C$3)</f>
        <v>0</v>
      </c>
      <c r="O33" s="78">
        <f>SUMIFS(الإدخال!$N$5:$N$644,الإدخال!$A$5:$A$644,O$5,الإدخال!$B$5:$B$644,$C$3)</f>
        <v>0</v>
      </c>
      <c r="P33" s="78">
        <f>SUMIFS(الإدخال!$N$5:$N$644,الإدخال!$A$5:$A$644,P$5,الإدخال!$B$5:$B$644,$C$3)</f>
        <v>0</v>
      </c>
      <c r="Q33" s="78">
        <f>SUMIFS(الإدخال!$N$5:$N$644,الإدخال!$A$5:$A$644,Q$5,الإدخال!$B$5:$B$644,$C$3)</f>
        <v>0</v>
      </c>
      <c r="R33" s="78">
        <f>SUMIFS(الإدخال!$N$5:$N$644,الإدخال!$A$5:$A$644,R$5,الإدخال!$B$5:$B$644,$C$3)</f>
        <v>0</v>
      </c>
      <c r="S33" s="78">
        <f>SUMIFS(الإدخال!$N$5:$N$644,الإدخال!$A$5:$A$644,S$5,الإدخال!$B$5:$B$644,$C$3)</f>
        <v>0</v>
      </c>
      <c r="T33" s="79">
        <f>SUMIFS(الإدخال!$N$5:$N$644,الإدخال!$B$5:$B$644,$C$3)</f>
        <v>33</v>
      </c>
      <c r="U33" s="36"/>
      <c r="V33" s="2"/>
      <c r="W33" s="2"/>
      <c r="X33" s="2"/>
      <c r="Y33" s="2"/>
      <c r="Z33" s="2"/>
      <c r="AA33" s="2"/>
      <c r="AB33" s="2"/>
      <c r="AC33" s="2"/>
    </row>
    <row r="34" spans="1:29">
      <c r="A34" s="165" t="s">
        <v>126</v>
      </c>
      <c r="B34" s="165"/>
      <c r="C34" s="165"/>
      <c r="D34" s="78">
        <f>COUNTIFS(الإدخال!$A$5:$A$644,D$5,الإدخال!$B$5:$B$644,$C$3,الإدخال!$F$5:$F$644,"متأخر")</f>
        <v>0</v>
      </c>
      <c r="E34" s="78">
        <f>COUNTIFS(الإدخال!$A$5:$A$644,E$5,الإدخال!$B$5:$B$644,$C$3,الإدخال!$F$5:$F$644,"متأخر")</f>
        <v>0</v>
      </c>
      <c r="F34" s="78">
        <f>COUNTIFS(الإدخال!$A$5:$A$644,F$5,الإدخال!$B$5:$B$644,$C$3,الإدخال!$F$5:$F$644,"متأخر")</f>
        <v>0</v>
      </c>
      <c r="G34" s="78">
        <f>COUNTIFS(الإدخال!$A$5:$A$644,G$5,الإدخال!$B$5:$B$644,$C$3,الإدخال!$F$5:$F$644,"متأخر")</f>
        <v>0</v>
      </c>
      <c r="H34" s="78">
        <f>COUNTIFS(الإدخال!$A$5:$A$644,H$5,الإدخال!$B$5:$B$644,$C$3,الإدخال!$F$5:$F$644,"متأخر")</f>
        <v>0</v>
      </c>
      <c r="I34" s="78">
        <f>COUNTIFS(الإدخال!$A$5:$A$644,I$5,الإدخال!$B$5:$B$644,$C$3,الإدخال!$F$5:$F$644,"متأخر")</f>
        <v>0</v>
      </c>
      <c r="J34" s="78">
        <f>COUNTIFS(الإدخال!$A$5:$A$644,J$5,الإدخال!$B$5:$B$644,$C$3,الإدخال!$F$5:$F$644,"متأخر")</f>
        <v>0</v>
      </c>
      <c r="K34" s="78">
        <f>COUNTIFS(الإدخال!$A$5:$A$644,K$5,الإدخال!$B$5:$B$644,$C$3,الإدخال!$F$5:$F$644,"متأخر")</f>
        <v>0</v>
      </c>
      <c r="L34" s="78">
        <f>COUNTIFS(الإدخال!$A$5:$A$644,L$5,الإدخال!$B$5:$B$644,$C$3,الإدخال!$F$5:$F$644,"متأخر")</f>
        <v>0</v>
      </c>
      <c r="M34" s="78">
        <f>COUNTIFS(الإدخال!$A$5:$A$644,M$5,الإدخال!$B$5:$B$644,$C$3,الإدخال!$F$5:$F$644,"متأخر")</f>
        <v>0</v>
      </c>
      <c r="N34" s="78">
        <f>COUNTIFS(الإدخال!$A$5:$A$644,N$5,الإدخال!$B$5:$B$644,$C$3,الإدخال!$F$5:$F$644,"متأخر")</f>
        <v>0</v>
      </c>
      <c r="O34" s="78">
        <f>COUNTIFS(الإدخال!$A$5:$A$644,O$5,الإدخال!$B$5:$B$644,$C$3,الإدخال!$F$5:$F$644,"متأخر")</f>
        <v>0</v>
      </c>
      <c r="P34" s="78">
        <f>COUNTIFS(الإدخال!$A$5:$A$644,P$5,الإدخال!$B$5:$B$644,$C$3,الإدخال!$F$5:$F$644,"متأخر")</f>
        <v>0</v>
      </c>
      <c r="Q34" s="78">
        <f>COUNTIFS(الإدخال!$A$5:$A$644,Q$5,الإدخال!$B$5:$B$644,$C$3,الإدخال!$F$5:$F$644,"متأخر")</f>
        <v>0</v>
      </c>
      <c r="R34" s="78">
        <f>COUNTIFS(الإدخال!$A$5:$A$644,R$5,الإدخال!$B$5:$B$644,$C$3,الإدخال!$F$5:$F$644,"متأخر")</f>
        <v>0</v>
      </c>
      <c r="S34" s="78">
        <f>COUNTIFS(الإدخال!$A$5:$A$644,S$5,الإدخال!$B$5:$B$644,$C$3,الإدخال!$F$5:$F$644,"متأخر")</f>
        <v>0</v>
      </c>
      <c r="T34" s="79">
        <f>COUNTIFS(الإدخال!$B$5:$B$644,$C$3,الإدخال!$F$5:$F$644,"متأخر")</f>
        <v>0</v>
      </c>
      <c r="U34" s="36"/>
      <c r="V34" s="2"/>
      <c r="W34" s="2"/>
      <c r="X34" s="2"/>
      <c r="Y34" s="2"/>
      <c r="Z34" s="2"/>
      <c r="AA34" s="2"/>
      <c r="AB34" s="2"/>
      <c r="AC34" s="2"/>
    </row>
    <row r="35" spans="1:29">
      <c r="A35" s="165" t="s">
        <v>127</v>
      </c>
      <c r="B35" s="165"/>
      <c r="C35" s="165"/>
      <c r="D35" s="78">
        <f>COUNTIFS(الإدخال!$A$5:$A$644,D$5,الإدخال!$B$5:$B$644,$C$3,الإدخال!$F$5:$F$644,"غائب")</f>
        <v>0</v>
      </c>
      <c r="E35" s="78">
        <f>COUNTIFS(الإدخال!$A$5:$A$644,E$5,الإدخال!$B$5:$B$644,$C$3,الإدخال!$F$5:$F$644,"غائب")</f>
        <v>0</v>
      </c>
      <c r="F35" s="78">
        <f>COUNTIFS(الإدخال!$A$5:$A$644,F$5,الإدخال!$B$5:$B$644,$C$3,الإدخال!$F$5:$F$644,"غائب")</f>
        <v>0</v>
      </c>
      <c r="G35" s="78">
        <f>COUNTIFS(الإدخال!$A$5:$A$644,G$5,الإدخال!$B$5:$B$644,$C$3,الإدخال!$F$5:$F$644,"غائب")</f>
        <v>0</v>
      </c>
      <c r="H35" s="78">
        <f>COUNTIFS(الإدخال!$A$5:$A$644,H$5,الإدخال!$B$5:$B$644,$C$3,الإدخال!$F$5:$F$644,"غائب")</f>
        <v>0</v>
      </c>
      <c r="I35" s="78">
        <f>COUNTIFS(الإدخال!$A$5:$A$644,I$5,الإدخال!$B$5:$B$644,$C$3,الإدخال!$F$5:$F$644,"غائب")</f>
        <v>0</v>
      </c>
      <c r="J35" s="78">
        <f>COUNTIFS(الإدخال!$A$5:$A$644,J$5,الإدخال!$B$5:$B$644,$C$3,الإدخال!$F$5:$F$644,"غائب")</f>
        <v>0</v>
      </c>
      <c r="K35" s="78">
        <f>COUNTIFS(الإدخال!$A$5:$A$644,K$5,الإدخال!$B$5:$B$644,$C$3,الإدخال!$F$5:$F$644,"غائب")</f>
        <v>0</v>
      </c>
      <c r="L35" s="78">
        <f>COUNTIFS(الإدخال!$A$5:$A$644,L$5,الإدخال!$B$5:$B$644,$C$3,الإدخال!$F$5:$F$644,"غائب")</f>
        <v>0</v>
      </c>
      <c r="M35" s="78">
        <f>COUNTIFS(الإدخال!$A$5:$A$644,M$5,الإدخال!$B$5:$B$644,$C$3,الإدخال!$F$5:$F$644,"غائب")</f>
        <v>0</v>
      </c>
      <c r="N35" s="78">
        <f>COUNTIFS(الإدخال!$A$5:$A$644,N$5,الإدخال!$B$5:$B$644,$C$3,الإدخال!$F$5:$F$644,"غائب")</f>
        <v>0</v>
      </c>
      <c r="O35" s="78">
        <f>COUNTIFS(الإدخال!$A$5:$A$644,O$5,الإدخال!$B$5:$B$644,$C$3,الإدخال!$F$5:$F$644,"غائب")</f>
        <v>0</v>
      </c>
      <c r="P35" s="78">
        <f>COUNTIFS(الإدخال!$A$5:$A$644,P$5,الإدخال!$B$5:$B$644,$C$3,الإدخال!$F$5:$F$644,"غائب")</f>
        <v>0</v>
      </c>
      <c r="Q35" s="78">
        <f>COUNTIFS(الإدخال!$A$5:$A$644,Q$5,الإدخال!$B$5:$B$644,$C$3,الإدخال!$F$5:$F$644,"غائب")</f>
        <v>0</v>
      </c>
      <c r="R35" s="78">
        <f>COUNTIFS(الإدخال!$A$5:$A$644,R$5,الإدخال!$B$5:$B$644,$C$3,الإدخال!$F$5:$F$644,"غائب")</f>
        <v>0</v>
      </c>
      <c r="S35" s="78">
        <f>COUNTIFS(الإدخال!$A$5:$A$644,S$5,الإدخال!$B$5:$B$644,$C$3,الإدخال!$F$5:$F$644,"غائب")</f>
        <v>0</v>
      </c>
      <c r="T35" s="79">
        <f>COUNTIFS(الإدخال!$B$5:$B$644,$C$3,الإدخال!$F$5:$F$644,"غائب")</f>
        <v>0</v>
      </c>
      <c r="U35" s="36"/>
      <c r="V35" s="2"/>
      <c r="W35" s="2"/>
      <c r="X35" s="2"/>
      <c r="Y35" s="2"/>
      <c r="Z35" s="2"/>
      <c r="AA35" s="2"/>
      <c r="AB35" s="2"/>
      <c r="AC35" s="2"/>
    </row>
    <row r="36" spans="1:29">
      <c r="A36" s="165" t="s">
        <v>128</v>
      </c>
      <c r="B36" s="165"/>
      <c r="C36" s="165"/>
      <c r="D36" s="78">
        <f>COUNTIFS(الإدخال!$A$5:$A$644,D$5,الإدخال!$B$5:$B$644,$C$3,الإدخال!$F$5:$F$644,"معتذر")</f>
        <v>2</v>
      </c>
      <c r="E36" s="78">
        <f>COUNTIFS(الإدخال!$A$5:$A$644,E$5,الإدخال!$B$5:$B$644,$C$3,الإدخال!$F$5:$F$644,"معتذر")</f>
        <v>5</v>
      </c>
      <c r="F36" s="78">
        <f>COUNTIFS(الإدخال!$A$5:$A$644,F$5,الإدخال!$B$5:$B$644,$C$3,الإدخال!$F$5:$F$644,"معتذر")</f>
        <v>0</v>
      </c>
      <c r="G36" s="78">
        <f>COUNTIFS(الإدخال!$A$5:$A$644,G$5,الإدخال!$B$5:$B$644,$C$3,الإدخال!$F$5:$F$644,"معتذر")</f>
        <v>0</v>
      </c>
      <c r="H36" s="78">
        <f>COUNTIFS(الإدخال!$A$5:$A$644,H$5,الإدخال!$B$5:$B$644,$C$3,الإدخال!$F$5:$F$644,"معتذر")</f>
        <v>0</v>
      </c>
      <c r="I36" s="78">
        <f>COUNTIFS(الإدخال!$A$5:$A$644,I$5,الإدخال!$B$5:$B$644,$C$3,الإدخال!$F$5:$F$644,"معتذر")</f>
        <v>0</v>
      </c>
      <c r="J36" s="78">
        <f>COUNTIFS(الإدخال!$A$5:$A$644,J$5,الإدخال!$B$5:$B$644,$C$3,الإدخال!$F$5:$F$644,"معتذر")</f>
        <v>0</v>
      </c>
      <c r="K36" s="78">
        <f>COUNTIFS(الإدخال!$A$5:$A$644,K$5,الإدخال!$B$5:$B$644,$C$3,الإدخال!$F$5:$F$644,"معتذر")</f>
        <v>0</v>
      </c>
      <c r="L36" s="78">
        <f>COUNTIFS(الإدخال!$A$5:$A$644,L$5,الإدخال!$B$5:$B$644,$C$3,الإدخال!$F$5:$F$644,"معتذر")</f>
        <v>0</v>
      </c>
      <c r="M36" s="78">
        <f>COUNTIFS(الإدخال!$A$5:$A$644,M$5,الإدخال!$B$5:$B$644,$C$3,الإدخال!$F$5:$F$644,"معتذر")</f>
        <v>0</v>
      </c>
      <c r="N36" s="78">
        <f>COUNTIFS(الإدخال!$A$5:$A$644,N$5,الإدخال!$B$5:$B$644,$C$3,الإدخال!$F$5:$F$644,"معتذر")</f>
        <v>0</v>
      </c>
      <c r="O36" s="78">
        <f>COUNTIFS(الإدخال!$A$5:$A$644,O$5,الإدخال!$B$5:$B$644,$C$3,الإدخال!$F$5:$F$644,"معتذر")</f>
        <v>0</v>
      </c>
      <c r="P36" s="78">
        <f>COUNTIFS(الإدخال!$A$5:$A$644,P$5,الإدخال!$B$5:$B$644,$C$3,الإدخال!$F$5:$F$644,"معتذر")</f>
        <v>0</v>
      </c>
      <c r="Q36" s="78">
        <f>COUNTIFS(الإدخال!$A$5:$A$644,Q$5,الإدخال!$B$5:$B$644,$C$3,الإدخال!$F$5:$F$644,"معتذر")</f>
        <v>0</v>
      </c>
      <c r="R36" s="78">
        <f>COUNTIFS(الإدخال!$A$5:$A$644,R$5,الإدخال!$B$5:$B$644,$C$3,الإدخال!$F$5:$F$644,"معتذر")</f>
        <v>0</v>
      </c>
      <c r="S36" s="78">
        <f>COUNTIFS(الإدخال!$A$5:$A$644,S$5,الإدخال!$B$5:$B$644,$C$3,الإدخال!$F$5:$F$644,"معتذر")</f>
        <v>0</v>
      </c>
      <c r="T36" s="79">
        <f>COUNTIFS(الإدخال!$B$5:$B$644,$C$3,الإدخال!$F$5:$F$644,"معتذر")</f>
        <v>7</v>
      </c>
      <c r="U36" s="36"/>
      <c r="V36" s="2"/>
      <c r="W36" s="2"/>
      <c r="X36" s="2"/>
      <c r="Y36" s="2"/>
      <c r="Z36" s="2"/>
      <c r="AA36" s="2"/>
      <c r="AB36" s="2"/>
      <c r="AC36" s="2"/>
    </row>
    <row r="37" spans="1:29">
      <c r="A37" s="165" t="s">
        <v>40</v>
      </c>
      <c r="B37" s="165"/>
      <c r="C37" s="165"/>
      <c r="D37" s="76">
        <f>IFERROR(SUMIFS(الإدخال!$N$5:$N$644,الإدخال!$A$5:$A$644,D$5,الإدخال!$B$5:$B$644,$C$3)/COUNTIFS(الإدخال!$A$5:$A$644,D$5,الإدخال!$B$5:$B$644,$C$3,الإدخال!$F$5:$F$644,"&lt;&gt;"),"")</f>
        <v>0.89473684210526316</v>
      </c>
      <c r="E37" s="76">
        <f>IFERROR(SUMIFS(الإدخال!$N$5:$N$644,الإدخال!$A$5:$A$644,E$5,الإدخال!$B$5:$B$644,$C$3)/COUNTIFS(الإدخال!$A$5:$A$644,E$5,الإدخال!$B$5:$B$644,$C$3,الإدخال!$F$5:$F$644,"&lt;&gt;"),"")</f>
        <v>0.76190476190476186</v>
      </c>
      <c r="F37" s="76" t="str">
        <f>IFERROR(SUMIFS(الإدخال!$N$5:$N$644,الإدخال!$A$5:$A$644,F$5,الإدخال!$B$5:$B$644,$C$3)/COUNTIFS(الإدخال!$A$5:$A$644,F$5,الإدخال!$B$5:$B$644,$C$3,الإدخال!$F$5:$F$644,"&lt;&gt;"),"")</f>
        <v/>
      </c>
      <c r="G37" s="76" t="str">
        <f>IFERROR(SUMIFS(الإدخال!$N$5:$N$644,الإدخال!$A$5:$A$644,G$5,الإدخال!$B$5:$B$644,$C$3)/COUNTIFS(الإدخال!$A$5:$A$644,G$5,الإدخال!$B$5:$B$644,$C$3,الإدخال!$F$5:$F$644,"&lt;&gt;"),"")</f>
        <v/>
      </c>
      <c r="H37" s="76" t="str">
        <f>IFERROR(SUMIFS(الإدخال!$N$5:$N$644,الإدخال!$A$5:$A$644,H$5,الإدخال!$B$5:$B$644,$C$3)/COUNTIFS(الإدخال!$A$5:$A$644,H$5,الإدخال!$B$5:$B$644,$C$3,الإدخال!$F$5:$F$644,"&lt;&gt;"),"")</f>
        <v/>
      </c>
      <c r="I37" s="76" t="str">
        <f>IFERROR(SUMIFS(الإدخال!$N$5:$N$644,الإدخال!$A$5:$A$644,I$5,الإدخال!$B$5:$B$644,$C$3)/COUNTIFS(الإدخال!$A$5:$A$644,I$5,الإدخال!$B$5:$B$644,$C$3,الإدخال!$F$5:$F$644,"&lt;&gt;"),"")</f>
        <v/>
      </c>
      <c r="J37" s="76" t="str">
        <f>IFERROR(SUMIFS(الإدخال!$N$5:$N$644,الإدخال!$A$5:$A$644,J$5,الإدخال!$B$5:$B$644,$C$3)/COUNTIFS(الإدخال!$A$5:$A$644,J$5,الإدخال!$B$5:$B$644,$C$3,الإدخال!$F$5:$F$644,"&lt;&gt;"),"")</f>
        <v/>
      </c>
      <c r="K37" s="76" t="str">
        <f>IFERROR(SUMIFS(الإدخال!$N$5:$N$644,الإدخال!$A$5:$A$644,K$5,الإدخال!$B$5:$B$644,$C$3)/COUNTIFS(الإدخال!$A$5:$A$644,K$5,الإدخال!$B$5:$B$644,$C$3,الإدخال!$F$5:$F$644,"&lt;&gt;"),"")</f>
        <v/>
      </c>
      <c r="L37" s="76" t="str">
        <f>IFERROR(SUMIFS(الإدخال!$N$5:$N$644,الإدخال!$A$5:$A$644,L$5,الإدخال!$B$5:$B$644,$C$3)/COUNTIFS(الإدخال!$A$5:$A$644,L$5,الإدخال!$B$5:$B$644,$C$3,الإدخال!$F$5:$F$644,"&lt;&gt;"),"")</f>
        <v/>
      </c>
      <c r="M37" s="76" t="str">
        <f>IFERROR(SUMIFS(الإدخال!$N$5:$N$644,الإدخال!$A$5:$A$644,M$5,الإدخال!$B$5:$B$644,$C$3)/COUNTIFS(الإدخال!$A$5:$A$644,M$5,الإدخال!$B$5:$B$644,$C$3,الإدخال!$F$5:$F$644,"&lt;&gt;"),"")</f>
        <v/>
      </c>
      <c r="N37" s="76" t="str">
        <f>IFERROR(SUMIFS(الإدخال!$N$5:$N$644,الإدخال!$A$5:$A$644,N$5,الإدخال!$B$5:$B$644,$C$3)/COUNTIFS(الإدخال!$A$5:$A$644,N$5,الإدخال!$B$5:$B$644,$C$3,الإدخال!$F$5:$F$644,"&lt;&gt;"),"")</f>
        <v/>
      </c>
      <c r="O37" s="76" t="str">
        <f>IFERROR(SUMIFS(الإدخال!$N$5:$N$644,الإدخال!$A$5:$A$644,O$5,الإدخال!$B$5:$B$644,$C$3)/COUNTIFS(الإدخال!$A$5:$A$644,O$5,الإدخال!$B$5:$B$644,$C$3,الإدخال!$F$5:$F$644,"&lt;&gt;"),"")</f>
        <v/>
      </c>
      <c r="P37" s="76" t="str">
        <f>IFERROR(SUMIFS(الإدخال!$N$5:$N$644,الإدخال!$A$5:$A$644,P$5,الإدخال!$B$5:$B$644,$C$3)/COUNTIFS(الإدخال!$A$5:$A$644,P$5,الإدخال!$B$5:$B$644,$C$3,الإدخال!$F$5:$F$644,"&lt;&gt;"),"")</f>
        <v/>
      </c>
      <c r="Q37" s="76" t="str">
        <f>IFERROR(SUMIFS(الإدخال!$N$5:$N$644,الإدخال!$A$5:$A$644,Q$5,الإدخال!$B$5:$B$644,$C$3)/COUNTIFS(الإدخال!$A$5:$A$644,Q$5,الإدخال!$B$5:$B$644,$C$3,الإدخال!$F$5:$F$644,"&lt;&gt;"),"")</f>
        <v/>
      </c>
      <c r="R37" s="76" t="str">
        <f>IFERROR(SUMIFS(الإدخال!$N$5:$N$644,الإدخال!$A$5:$A$644,R$5,الإدخال!$B$5:$B$644,$C$3)/COUNTIFS(الإدخال!$A$5:$A$644,R$5,الإدخال!$B$5:$B$644,$C$3,الإدخال!$F$5:$F$644,"&lt;&gt;"),"")</f>
        <v/>
      </c>
      <c r="S37" s="76" t="str">
        <f>IFERROR(SUMIFS(الإدخال!$N$5:$N$644,الإدخال!$A$5:$A$644,S$5,الإدخال!$B$5:$B$644,$C$3)/COUNTIFS(الإدخال!$A$5:$A$644,S$5,الإدخال!$B$5:$B$644,$C$3,الإدخال!$F$5:$F$644,"&lt;&gt;"),"")</f>
        <v/>
      </c>
      <c r="T37" s="77">
        <f>IFERROR(SUMIFS(الإدخال!$N$5:$N$644,الإدخال!$B$5:$B$644,$C$3)/COUNTIFS(الإدخال!$B$5:$B$644,$C$3,الإدخال!$F$5:$F$644,"&lt;&gt;"),"")</f>
        <v>0.82499999999999996</v>
      </c>
      <c r="U37" s="36"/>
      <c r="V37" s="2"/>
      <c r="W37" s="2"/>
      <c r="X37" s="2"/>
      <c r="Y37" s="2"/>
      <c r="Z37" s="2"/>
      <c r="AA37" s="2"/>
      <c r="AB37" s="2"/>
      <c r="AC37" s="2"/>
    </row>
    <row r="38" spans="1:29">
      <c r="A38" s="165" t="s">
        <v>61</v>
      </c>
      <c r="B38" s="165"/>
      <c r="C38" s="165"/>
      <c r="D38" s="82">
        <f>SUMIFS(الإدخال!$H$5:$H$644,الإدخال!$A$5:$A$644,D$5,الإدخال!$B$5:$B$644,$C$3,الإدخال!$N$5:$N$644,1)</f>
        <v>25</v>
      </c>
      <c r="E38" s="82">
        <f>SUMIFS(الإدخال!$H$5:$H$644,الإدخال!$A$5:$A$644,E$5,الإدخال!$B$5:$B$644,$C$3,الإدخال!$N$5:$N$644,1)</f>
        <v>59</v>
      </c>
      <c r="F38" s="82">
        <f>SUMIFS(الإدخال!$H$5:$H$644,الإدخال!$A$5:$A$644,F$5,الإدخال!$B$5:$B$644,$C$3,الإدخال!$N$5:$N$644,1)</f>
        <v>0</v>
      </c>
      <c r="G38" s="82">
        <f>SUMIFS(الإدخال!$H$5:$H$644,الإدخال!$A$5:$A$644,G$5,الإدخال!$B$5:$B$644,$C$3,الإدخال!$N$5:$N$644,1)</f>
        <v>0</v>
      </c>
      <c r="H38" s="82">
        <f>SUMIFS(الإدخال!$H$5:$H$644,الإدخال!$A$5:$A$644,H$5,الإدخال!$B$5:$B$644,$C$3,الإدخال!$N$5:$N$644,1)</f>
        <v>0</v>
      </c>
      <c r="I38" s="82">
        <f>SUMIFS(الإدخال!$H$5:$H$644,الإدخال!$A$5:$A$644,I$5,الإدخال!$B$5:$B$644,$C$3,الإدخال!$N$5:$N$644,1)</f>
        <v>0</v>
      </c>
      <c r="J38" s="82">
        <f>SUMIFS(الإدخال!$H$5:$H$644,الإدخال!$A$5:$A$644,J$5,الإدخال!$B$5:$B$644,$C$3,الإدخال!$N$5:$N$644,1)</f>
        <v>0</v>
      </c>
      <c r="K38" s="82">
        <f>SUMIFS(الإدخال!$H$5:$H$644,الإدخال!$A$5:$A$644,K$5,الإدخال!$B$5:$B$644,$C$3,الإدخال!$N$5:$N$644,1)</f>
        <v>0</v>
      </c>
      <c r="L38" s="82">
        <f>SUMIFS(الإدخال!$H$5:$H$644,الإدخال!$A$5:$A$644,L$5,الإدخال!$B$5:$B$644,$C$3,الإدخال!$N$5:$N$644,1)</f>
        <v>0</v>
      </c>
      <c r="M38" s="82">
        <f>SUMIFS(الإدخال!$H$5:$H$644,الإدخال!$A$5:$A$644,M$5,الإدخال!$B$5:$B$644,$C$3,الإدخال!$N$5:$N$644,1)</f>
        <v>0</v>
      </c>
      <c r="N38" s="82">
        <f>SUMIFS(الإدخال!$H$5:$H$644,الإدخال!$A$5:$A$644,N$5,الإدخال!$B$5:$B$644,$C$3,الإدخال!$N$5:$N$644,1)</f>
        <v>0</v>
      </c>
      <c r="O38" s="82">
        <f>SUMIFS(الإدخال!$H$5:$H$644,الإدخال!$A$5:$A$644,O$5,الإدخال!$B$5:$B$644,$C$3,الإدخال!$N$5:$N$644,1)</f>
        <v>0</v>
      </c>
      <c r="P38" s="82">
        <f>SUMIFS(الإدخال!$H$5:$H$644,الإدخال!$A$5:$A$644,P$5,الإدخال!$B$5:$B$644,$C$3,الإدخال!$N$5:$N$644,1)</f>
        <v>0</v>
      </c>
      <c r="Q38" s="82">
        <f>SUMIFS(الإدخال!$H$5:$H$644,الإدخال!$A$5:$A$644,Q$5,الإدخال!$B$5:$B$644,$C$3,الإدخال!$N$5:$N$644,1)</f>
        <v>0</v>
      </c>
      <c r="R38" s="82">
        <f>SUMIFS(الإدخال!$H$5:$H$644,الإدخال!$A$5:$A$644,R$5,الإدخال!$B$5:$B$644,$C$3,الإدخال!$N$5:$N$644,1)</f>
        <v>0</v>
      </c>
      <c r="S38" s="82">
        <f>SUMIFS(الإدخال!$H$5:$H$644,الإدخال!$A$5:$A$644,S$5,الإدخال!$B$5:$B$644,$C$3,الإدخال!$N$5:$N$644,1)</f>
        <v>0</v>
      </c>
      <c r="T38" s="83">
        <f>SUMIFS(الإدخال!$H$5:$H$644,الإدخال!$B$5:$B$644,$C$3,الإدخال!$N$5:$N$644,1)</f>
        <v>84</v>
      </c>
      <c r="U38" s="36"/>
      <c r="V38" s="2"/>
      <c r="W38" s="2"/>
      <c r="X38" s="2"/>
      <c r="Y38" s="2"/>
      <c r="Z38" s="2"/>
      <c r="AA38" s="2"/>
      <c r="AB38" s="2"/>
      <c r="AC38" s="2"/>
    </row>
    <row r="39" spans="1:29">
      <c r="A39" s="165" t="s">
        <v>62</v>
      </c>
      <c r="B39" s="165"/>
      <c r="C39" s="165"/>
      <c r="D39" s="82">
        <f>SUMIFS(الإدخال!$I$5:$I$644,الإدخال!$A$5:$A$644,D$5,الإدخال!$B$5:$B$644,$C$3,الإدخال!$N$5:$N$644,1)</f>
        <v>359</v>
      </c>
      <c r="E39" s="82">
        <f>SUMIFS(الإدخال!$I$5:$I$644,الإدخال!$A$5:$A$644,E$5,الإدخال!$B$5:$B$644,$C$3,الإدخال!$N$5:$N$644,1)</f>
        <v>418</v>
      </c>
      <c r="F39" s="82">
        <f>SUMIFS(الإدخال!$I$5:$I$644,الإدخال!$A$5:$A$644,F$5,الإدخال!$B$5:$B$644,$C$3,الإدخال!$N$5:$N$644,1)</f>
        <v>0</v>
      </c>
      <c r="G39" s="82">
        <f>SUMIFS(الإدخال!$I$5:$I$644,الإدخال!$A$5:$A$644,G$5,الإدخال!$B$5:$B$644,$C$3,الإدخال!$N$5:$N$644,1)</f>
        <v>0</v>
      </c>
      <c r="H39" s="82">
        <f>SUMIFS(الإدخال!$I$5:$I$644,الإدخال!$A$5:$A$644,H$5,الإدخال!$B$5:$B$644,$C$3,الإدخال!$N$5:$N$644,1)</f>
        <v>0</v>
      </c>
      <c r="I39" s="82">
        <f>SUMIFS(الإدخال!$I$5:$I$644,الإدخال!$A$5:$A$644,I$5,الإدخال!$B$5:$B$644,$C$3,الإدخال!$N$5:$N$644,1)</f>
        <v>0</v>
      </c>
      <c r="J39" s="82">
        <f>SUMIFS(الإدخال!$I$5:$I$644,الإدخال!$A$5:$A$644,J$5,الإدخال!$B$5:$B$644,$C$3,الإدخال!$N$5:$N$644,1)</f>
        <v>0</v>
      </c>
      <c r="K39" s="82">
        <f>SUMIFS(الإدخال!$I$5:$I$644,الإدخال!$A$5:$A$644,K$5,الإدخال!$B$5:$B$644,$C$3,الإدخال!$N$5:$N$644,1)</f>
        <v>0</v>
      </c>
      <c r="L39" s="82">
        <f>SUMIFS(الإدخال!$I$5:$I$644,الإدخال!$A$5:$A$644,L$5,الإدخال!$B$5:$B$644,$C$3,الإدخال!$N$5:$N$644,1)</f>
        <v>0</v>
      </c>
      <c r="M39" s="82">
        <f>SUMIFS(الإدخال!$I$5:$I$644,الإدخال!$A$5:$A$644,M$5,الإدخال!$B$5:$B$644,$C$3,الإدخال!$N$5:$N$644,1)</f>
        <v>0</v>
      </c>
      <c r="N39" s="82">
        <f>SUMIFS(الإدخال!$I$5:$I$644,الإدخال!$A$5:$A$644,N$5,الإدخال!$B$5:$B$644,$C$3,الإدخال!$N$5:$N$644,1)</f>
        <v>0</v>
      </c>
      <c r="O39" s="82">
        <f>SUMIFS(الإدخال!$I$5:$I$644,الإدخال!$A$5:$A$644,O$5,الإدخال!$B$5:$B$644,$C$3,الإدخال!$N$5:$N$644,1)</f>
        <v>0</v>
      </c>
      <c r="P39" s="82">
        <f>SUMIFS(الإدخال!$I$5:$I$644,الإدخال!$A$5:$A$644,P$5,الإدخال!$B$5:$B$644,$C$3,الإدخال!$N$5:$N$644,1)</f>
        <v>0</v>
      </c>
      <c r="Q39" s="82">
        <f>SUMIFS(الإدخال!$I$5:$I$644,الإدخال!$A$5:$A$644,Q$5,الإدخال!$B$5:$B$644,$C$3,الإدخال!$N$5:$N$644,1)</f>
        <v>0</v>
      </c>
      <c r="R39" s="82">
        <f>SUMIFS(الإدخال!$I$5:$I$644,الإدخال!$A$5:$A$644,R$5,الإدخال!$B$5:$B$644,$C$3,الإدخال!$N$5:$N$644,1)</f>
        <v>0</v>
      </c>
      <c r="S39" s="82">
        <f>SUMIFS(الإدخال!$I$5:$I$644,الإدخال!$A$5:$A$644,S$5,الإدخال!$B$5:$B$644,$C$3,الإدخال!$N$5:$N$644,1)</f>
        <v>0</v>
      </c>
      <c r="T39" s="83">
        <f>SUMIFS(الإدخال!$I$5:$I$644,الإدخال!$B$5:$B$644,$C$3,الإدخال!$N$5:$N$644,1)</f>
        <v>777</v>
      </c>
      <c r="U39" s="36"/>
      <c r="V39" s="2"/>
      <c r="W39" s="2"/>
      <c r="X39" s="2"/>
      <c r="Y39" s="2"/>
      <c r="Z39" s="2"/>
      <c r="AA39" s="2"/>
      <c r="AB39" s="2"/>
      <c r="AC39" s="2"/>
    </row>
    <row r="40" spans="1:29">
      <c r="A40" s="166" t="s">
        <v>63</v>
      </c>
      <c r="B40" s="166"/>
      <c r="C40" s="166"/>
      <c r="D40" s="80">
        <f>SUMIFS(الإدخال!$J$5:$J$644,الإدخال!$A$5:$A$644,D$5,الإدخال!$B$5:$B$644,$C$3,الإدخال!$N$5:$N$644,1)</f>
        <v>0</v>
      </c>
      <c r="E40" s="80">
        <f>SUMIFS(الإدخال!$J$5:$J$644,الإدخال!$A$5:$A$644,E$5,الإدخال!$B$5:$B$644,$C$3,الإدخال!$N$5:$N$644,1)</f>
        <v>0</v>
      </c>
      <c r="F40" s="80">
        <f>SUMIFS(الإدخال!$J$5:$J$644,الإدخال!$A$5:$A$644,F$5,الإدخال!$B$5:$B$644,$C$3,الإدخال!$N$5:$N$644,1)</f>
        <v>0</v>
      </c>
      <c r="G40" s="80">
        <f>SUMIFS(الإدخال!$J$5:$J$644,الإدخال!$A$5:$A$644,G$5,الإدخال!$B$5:$B$644,$C$3,الإدخال!$N$5:$N$644,1)</f>
        <v>0</v>
      </c>
      <c r="H40" s="80">
        <f>SUMIFS(الإدخال!$J$5:$J$644,الإدخال!$A$5:$A$644,H$5,الإدخال!$B$5:$B$644,$C$3,الإدخال!$N$5:$N$644,1)</f>
        <v>0</v>
      </c>
      <c r="I40" s="80">
        <f>SUMIFS(الإدخال!$J$5:$J$644,الإدخال!$A$5:$A$644,I$5,الإدخال!$B$5:$B$644,$C$3,الإدخال!$N$5:$N$644,1)</f>
        <v>0</v>
      </c>
      <c r="J40" s="80">
        <f>SUMIFS(الإدخال!$J$5:$J$644,الإدخال!$A$5:$A$644,J$5,الإدخال!$B$5:$B$644,$C$3,الإدخال!$N$5:$N$644,1)</f>
        <v>0</v>
      </c>
      <c r="K40" s="80">
        <f>SUMIFS(الإدخال!$J$5:$J$644,الإدخال!$A$5:$A$644,K$5,الإدخال!$B$5:$B$644,$C$3,الإدخال!$N$5:$N$644,1)</f>
        <v>0</v>
      </c>
      <c r="L40" s="80">
        <f>SUMIFS(الإدخال!$J$5:$J$644,الإدخال!$A$5:$A$644,L$5,الإدخال!$B$5:$B$644,$C$3,الإدخال!$N$5:$N$644,1)</f>
        <v>0</v>
      </c>
      <c r="M40" s="80">
        <f>SUMIFS(الإدخال!$J$5:$J$644,الإدخال!$A$5:$A$644,M$5,الإدخال!$B$5:$B$644,$C$3,الإدخال!$N$5:$N$644,1)</f>
        <v>0</v>
      </c>
      <c r="N40" s="80">
        <f>SUMIFS(الإدخال!$J$5:$J$644,الإدخال!$A$5:$A$644,N$5,الإدخال!$B$5:$B$644,$C$3,الإدخال!$N$5:$N$644,1)</f>
        <v>0</v>
      </c>
      <c r="O40" s="80">
        <f>SUMIFS(الإدخال!$J$5:$J$644,الإدخال!$A$5:$A$644,O$5,الإدخال!$B$5:$B$644,$C$3,الإدخال!$N$5:$N$644,1)</f>
        <v>0</v>
      </c>
      <c r="P40" s="80">
        <f>SUMIFS(الإدخال!$J$5:$J$644,الإدخال!$A$5:$A$644,P$5,الإدخال!$B$5:$B$644,$C$3,الإدخال!$N$5:$N$644,1)</f>
        <v>0</v>
      </c>
      <c r="Q40" s="80">
        <f>SUMIFS(الإدخال!$J$5:$J$644,الإدخال!$A$5:$A$644,Q$5,الإدخال!$B$5:$B$644,$C$3,الإدخال!$N$5:$N$644,1)</f>
        <v>0</v>
      </c>
      <c r="R40" s="80">
        <f>SUMIFS(الإدخال!$J$5:$J$644,الإدخال!$A$5:$A$644,R$5,الإدخال!$B$5:$B$644,$C$3,الإدخال!$N$5:$N$644,1)</f>
        <v>0</v>
      </c>
      <c r="S40" s="80">
        <f>SUMIFS(الإدخال!$J$5:$J$644,الإدخال!$A$5:$A$644,S$5,الإدخال!$B$5:$B$644,$C$3,الإدخال!$N$5:$N$644,1)</f>
        <v>0</v>
      </c>
      <c r="T40" s="81">
        <f>SUMIFS(الإدخال!$J$5:$J$644,الإدخال!$B$5:$B$644,$C$3,الإدخال!$N$5:$N$644,1)</f>
        <v>0</v>
      </c>
      <c r="U40" s="36"/>
      <c r="V40" s="2"/>
      <c r="W40" s="2"/>
      <c r="X40" s="2"/>
      <c r="Y40" s="2"/>
      <c r="Z40" s="2"/>
      <c r="AA40" s="2"/>
      <c r="AB40" s="2"/>
      <c r="AC40" s="2"/>
    </row>
  </sheetData>
  <sheetProtection algorithmName="SHA-512" hashValue="EG1HHAyGljYnLbuawq0vJZX2s4y2GRfW04dRqsdiSakftsVhztAGvPyYwvwXyfy4pcKhc8/NTRI9meDizxvJ7Q==" saltValue="ape40WHIcRCvnMeG7U9NUg==" spinCount="100000" sheet="1" objects="1" scenarios="1"/>
  <mergeCells count="9">
    <mergeCell ref="A37:C37"/>
    <mergeCell ref="A38:C38"/>
    <mergeCell ref="A39:C39"/>
    <mergeCell ref="A40:C40"/>
    <mergeCell ref="A32:C32"/>
    <mergeCell ref="A33:C33"/>
    <mergeCell ref="A34:C34"/>
    <mergeCell ref="A35:C35"/>
    <mergeCell ref="A36:C36"/>
  </mergeCells>
  <conditionalFormatting sqref="D6:S30">
    <cfRule type="expression" dxfId="15" priority="4">
      <formula>D6="غ"</formula>
    </cfRule>
    <cfRule type="expression" dxfId="14" priority="5">
      <formula>D6="ع"</formula>
    </cfRule>
  </conditionalFormatting>
  <conditionalFormatting sqref="D6:T30">
    <cfRule type="colorScale" priority="2">
      <colorScale>
        <cfvo type="num" val="0.5"/>
        <cfvo type="num" val="0.75"/>
        <cfvo type="num" val="1"/>
        <color rgb="FFF7DBD8"/>
        <color rgb="FFF9EACB"/>
        <color rgb="FFCFE0D2"/>
      </colorScale>
    </cfRule>
  </conditionalFormatting>
  <conditionalFormatting sqref="D32:T32">
    <cfRule type="colorScale" priority="3">
      <colorScale>
        <cfvo type="num" val="0.5"/>
        <cfvo type="num" val="0.75"/>
        <cfvo type="num" val="1"/>
        <color rgb="FFF7DBD8"/>
        <color rgb="FFF9EACB"/>
        <color rgb="FFCFE0D2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ورقة6">
    <pageSetUpPr fitToPage="1"/>
  </sheetPr>
  <dimension ref="A1:AC39"/>
  <sheetViews>
    <sheetView showGridLines="0" rightToLeft="1" zoomScale="115" zoomScaleNormal="100" workbookViewId="0">
      <pane xSplit="3" ySplit="5" topLeftCell="E18" activePane="bottomRight" state="frozen"/>
      <selection pane="bottomRight" activeCell="D6" sqref="D6:D20"/>
      <selection pane="bottomLeft" activeCell="A6" sqref="A6"/>
      <selection pane="topRight" activeCell="D1" sqref="D1"/>
    </sheetView>
  </sheetViews>
  <sheetFormatPr defaultColWidth="8.7109375" defaultRowHeight="15"/>
  <cols>
    <col min="1" max="1" width="5" customWidth="1"/>
    <col min="2" max="2" width="24" customWidth="1"/>
    <col min="3" max="3" width="15" customWidth="1"/>
    <col min="4" max="12" width="8.42578125" customWidth="1"/>
    <col min="13" max="19" width="9.140625" bestFit="1" customWidth="1"/>
    <col min="20" max="20" width="12" customWidth="1"/>
    <col min="21" max="21" width="13" customWidth="1"/>
    <col min="22" max="22" width="8" customWidth="1"/>
    <col min="23" max="23" width="9" customWidth="1"/>
    <col min="24" max="24" width="8" customWidth="1"/>
    <col min="25" max="25" width="9" customWidth="1"/>
    <col min="26" max="27" width="10" customWidth="1"/>
    <col min="28" max="28" width="11" customWidth="1"/>
    <col min="29" max="29" width="13" hidden="1" customWidth="1"/>
  </cols>
  <sheetData>
    <row r="1" spans="1:29" ht="30" customHeight="1">
      <c r="A1" s="4" t="str">
        <f>"تقرير "&amp;الإعدادات!$C$9&amp;" — نسبة إنجاز الطلاب أسبوعيًا"</f>
        <v>تقرير المقرأة الثانية — نسبة إنجاز الطلاب أسبوعيًا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8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95">
      <c r="A3" s="2"/>
      <c r="B3" s="85" t="s">
        <v>116</v>
      </c>
      <c r="C3" s="21" t="str">
        <f>الإعدادات!$C$9</f>
        <v>المقرأة الثانية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s="3" customFormat="1" ht="36" customHeight="1">
      <c r="A5" s="86" t="s">
        <v>117</v>
      </c>
      <c r="B5" s="142" t="s">
        <v>58</v>
      </c>
      <c r="C5" s="88" t="s">
        <v>12</v>
      </c>
      <c r="D5" s="89">
        <v>1</v>
      </c>
      <c r="E5" s="89">
        <v>2</v>
      </c>
      <c r="F5" s="89">
        <v>3</v>
      </c>
      <c r="G5" s="89">
        <v>4</v>
      </c>
      <c r="H5" s="89">
        <v>5</v>
      </c>
      <c r="I5" s="89">
        <v>6</v>
      </c>
      <c r="J5" s="89">
        <v>7</v>
      </c>
      <c r="K5" s="89">
        <v>8</v>
      </c>
      <c r="L5" s="89">
        <v>9</v>
      </c>
      <c r="M5" s="89">
        <v>10</v>
      </c>
      <c r="N5" s="89">
        <v>11</v>
      </c>
      <c r="O5" s="89">
        <v>12</v>
      </c>
      <c r="P5" s="89">
        <v>13</v>
      </c>
      <c r="Q5" s="89">
        <v>14</v>
      </c>
      <c r="R5" s="89">
        <v>15</v>
      </c>
      <c r="S5" s="89">
        <v>16</v>
      </c>
      <c r="T5" s="88" t="s">
        <v>118</v>
      </c>
      <c r="U5" s="88" t="s">
        <v>44</v>
      </c>
      <c r="V5" s="88" t="s">
        <v>119</v>
      </c>
      <c r="W5" s="88" t="s">
        <v>120</v>
      </c>
      <c r="X5" s="88" t="s">
        <v>121</v>
      </c>
      <c r="Y5" s="88" t="s">
        <v>122</v>
      </c>
      <c r="Z5" s="88" t="s">
        <v>61</v>
      </c>
      <c r="AA5" s="88" t="s">
        <v>62</v>
      </c>
      <c r="AB5" s="88" t="s">
        <v>63</v>
      </c>
      <c r="AC5" s="87"/>
    </row>
    <row r="6" spans="1:29">
      <c r="A6" s="33">
        <f>IF($AC6="","",INDEX(الطلاب!$A$5:$A$44,$AC6))</f>
        <v>20</v>
      </c>
      <c r="B6" s="68" t="str">
        <f>IF($AC6="","",INDEX(الطلاب!$B$5:$B$44,$AC6))</f>
        <v xml:space="preserve">اصيل التويجري </v>
      </c>
      <c r="C6" s="69" t="str">
        <f>IF($AC6="","",INDEX(الطلاب!$D$5:$D$44,$AC6))</f>
        <v xml:space="preserve">ابن رجب </v>
      </c>
      <c r="D6" s="70">
        <f>IF($A6="","",IF(COUNTIFS(الإدخال!$A$5:$A$644,D$5,الإدخال!$D$5:$D$644,$A6,الإدخال!$F$5:$F$644,"غائب",الإدخال!$G$5:$G$644,"")&gt;0,"غ",IF(COUNTIFS(الإدخال!$A$5:$A$644,D$5,الإدخال!$D$5:$D$644,$A6,الإدخال!$F$5:$F$644,"معتذر",الإدخال!$G$5:$G$644,"")&gt;0,"ع",IF(SUMIFS(الإدخال!$P$5:$P$644,الإدخال!$A$5:$A$644,D$5,الإدخال!$D$5:$D$644,$A6)&gt;0,SUMIFS(الإدخال!$O$5:$O$644,الإدخال!$A$5:$A$644,D$5,الإدخال!$D$5:$D$644,$A6)/100,""))))</f>
        <v>0.99</v>
      </c>
      <c r="E6" s="70" t="str">
        <f>IF($A6="","",IF(COUNTIFS(الإدخال!$A$5:$A$644,E$5,الإدخال!$D$5:$D$644,$A6,الإدخال!$F$5:$F$644,"غائب",الإدخال!$G$5:$G$644,"")&gt;0,"غ",IF(COUNTIFS(الإدخال!$A$5:$A$644,E$5,الإدخال!$D$5:$D$644,$A6,الإدخال!$F$5:$F$644,"معتذر",الإدخال!$G$5:$G$644,"")&gt;0,"ع",IF(SUMIFS(الإدخال!$P$5:$P$644,الإدخال!$A$5:$A$644,E$5,الإدخال!$D$5:$D$644,$A6)&gt;0,SUMIFS(الإدخال!$O$5:$O$644,الإدخال!$A$5:$A$644,E$5,الإدخال!$D$5:$D$644,$A6)/100,""))))</f>
        <v>غ</v>
      </c>
      <c r="F6" s="70" t="str">
        <f>IF($A6="","",IF(COUNTIFS(الإدخال!$A$5:$A$644,F$5,الإدخال!$D$5:$D$644,$A6,الإدخال!$F$5:$F$644,"غائب",الإدخال!$G$5:$G$644,"")&gt;0,"غ",IF(COUNTIFS(الإدخال!$A$5:$A$644,F$5,الإدخال!$D$5:$D$644,$A6,الإدخال!$F$5:$F$644,"معتذر",الإدخال!$G$5:$G$644,"")&gt;0,"ع",IF(SUMIFS(الإدخال!$P$5:$P$644,الإدخال!$A$5:$A$644,F$5,الإدخال!$D$5:$D$644,$A6)&gt;0,SUMIFS(الإدخال!$O$5:$O$644,الإدخال!$A$5:$A$644,F$5,الإدخال!$D$5:$D$644,$A6)/100,""))))</f>
        <v/>
      </c>
      <c r="G6" s="70" t="str">
        <f>IF($A6="","",IF(COUNTIFS(الإدخال!$A$5:$A$644,G$5,الإدخال!$D$5:$D$644,$A6,الإدخال!$F$5:$F$644,"غائب",الإدخال!$G$5:$G$644,"")&gt;0,"غ",IF(COUNTIFS(الإدخال!$A$5:$A$644,G$5,الإدخال!$D$5:$D$644,$A6,الإدخال!$F$5:$F$644,"معتذر",الإدخال!$G$5:$G$644,"")&gt;0,"ع",IF(SUMIFS(الإدخال!$P$5:$P$644,الإدخال!$A$5:$A$644,G$5,الإدخال!$D$5:$D$644,$A6)&gt;0,SUMIFS(الإدخال!$O$5:$O$644,الإدخال!$A$5:$A$644,G$5,الإدخال!$D$5:$D$644,$A6)/100,""))))</f>
        <v/>
      </c>
      <c r="H6" s="70" t="str">
        <f>IF($A6="","",IF(COUNTIFS(الإدخال!$A$5:$A$644,H$5,الإدخال!$D$5:$D$644,$A6,الإدخال!$F$5:$F$644,"غائب",الإدخال!$G$5:$G$644,"")&gt;0,"غ",IF(COUNTIFS(الإدخال!$A$5:$A$644,H$5,الإدخال!$D$5:$D$644,$A6,الإدخال!$F$5:$F$644,"معتذر",الإدخال!$G$5:$G$644,"")&gt;0,"ع",IF(SUMIFS(الإدخال!$P$5:$P$644,الإدخال!$A$5:$A$644,H$5,الإدخال!$D$5:$D$644,$A6)&gt;0,SUMIFS(الإدخال!$O$5:$O$644,الإدخال!$A$5:$A$644,H$5,الإدخال!$D$5:$D$644,$A6)/100,""))))</f>
        <v/>
      </c>
      <c r="I6" s="70" t="str">
        <f>IF($A6="","",IF(COUNTIFS(الإدخال!$A$5:$A$644,I$5,الإدخال!$D$5:$D$644,$A6,الإدخال!$F$5:$F$644,"غائب",الإدخال!$G$5:$G$644,"")&gt;0,"غ",IF(COUNTIFS(الإدخال!$A$5:$A$644,I$5,الإدخال!$D$5:$D$644,$A6,الإدخال!$F$5:$F$644,"معتذر",الإدخال!$G$5:$G$644,"")&gt;0,"ع",IF(SUMIFS(الإدخال!$P$5:$P$644,الإدخال!$A$5:$A$644,I$5,الإدخال!$D$5:$D$644,$A6)&gt;0,SUMIFS(الإدخال!$O$5:$O$644,الإدخال!$A$5:$A$644,I$5,الإدخال!$D$5:$D$644,$A6)/100,""))))</f>
        <v/>
      </c>
      <c r="J6" s="70" t="str">
        <f>IF($A6="","",IF(COUNTIFS(الإدخال!$A$5:$A$644,J$5,الإدخال!$D$5:$D$644,$A6,الإدخال!$F$5:$F$644,"غائب",الإدخال!$G$5:$G$644,"")&gt;0,"غ",IF(COUNTIFS(الإدخال!$A$5:$A$644,J$5,الإدخال!$D$5:$D$644,$A6,الإدخال!$F$5:$F$644,"معتذر",الإدخال!$G$5:$G$644,"")&gt;0,"ع",IF(SUMIFS(الإدخال!$P$5:$P$644,الإدخال!$A$5:$A$644,J$5,الإدخال!$D$5:$D$644,$A6)&gt;0,SUMIFS(الإدخال!$O$5:$O$644,الإدخال!$A$5:$A$644,J$5,الإدخال!$D$5:$D$644,$A6)/100,""))))</f>
        <v/>
      </c>
      <c r="K6" s="70" t="str">
        <f>IF($A6="","",IF(COUNTIFS(الإدخال!$A$5:$A$644,K$5,الإدخال!$D$5:$D$644,$A6,الإدخال!$F$5:$F$644,"غائب",الإدخال!$G$5:$G$644,"")&gt;0,"غ",IF(COUNTIFS(الإدخال!$A$5:$A$644,K$5,الإدخال!$D$5:$D$644,$A6,الإدخال!$F$5:$F$644,"معتذر",الإدخال!$G$5:$G$644,"")&gt;0,"ع",IF(SUMIFS(الإدخال!$P$5:$P$644,الإدخال!$A$5:$A$644,K$5,الإدخال!$D$5:$D$644,$A6)&gt;0,SUMIFS(الإدخال!$O$5:$O$644,الإدخال!$A$5:$A$644,K$5,الإدخال!$D$5:$D$644,$A6)/100,""))))</f>
        <v/>
      </c>
      <c r="L6" s="70" t="str">
        <f>IF($A6="","",IF(COUNTIFS(الإدخال!$A$5:$A$644,L$5,الإدخال!$D$5:$D$644,$A6,الإدخال!$F$5:$F$644,"غائب",الإدخال!$G$5:$G$644,"")&gt;0,"غ",IF(COUNTIFS(الإدخال!$A$5:$A$644,L$5,الإدخال!$D$5:$D$644,$A6,الإدخال!$F$5:$F$644,"معتذر",الإدخال!$G$5:$G$644,"")&gt;0,"ع",IF(SUMIFS(الإدخال!$P$5:$P$644,الإدخال!$A$5:$A$644,L$5,الإدخال!$D$5:$D$644,$A6)&gt;0,SUMIFS(الإدخال!$O$5:$O$644,الإدخال!$A$5:$A$644,L$5,الإدخال!$D$5:$D$644,$A6)/100,""))))</f>
        <v/>
      </c>
      <c r="M6" s="70" t="str">
        <f>IF($A6="","",IF(COUNTIFS(الإدخال!$A$5:$A$644,M$5,الإدخال!$D$5:$D$644,$A6,الإدخال!$F$5:$F$644,"غائب",الإدخال!$G$5:$G$644,"")&gt;0,"غ",IF(COUNTIFS(الإدخال!$A$5:$A$644,M$5,الإدخال!$D$5:$D$644,$A6,الإدخال!$F$5:$F$644,"معتذر",الإدخال!$G$5:$G$644,"")&gt;0,"ع",IF(SUMIFS(الإدخال!$P$5:$P$644,الإدخال!$A$5:$A$644,M$5,الإدخال!$D$5:$D$644,$A6)&gt;0,SUMIFS(الإدخال!$O$5:$O$644,الإدخال!$A$5:$A$644,M$5,الإدخال!$D$5:$D$644,$A6)/100,""))))</f>
        <v/>
      </c>
      <c r="N6" s="70" t="str">
        <f>IF($A6="","",IF(COUNTIFS(الإدخال!$A$5:$A$644,N$5,الإدخال!$D$5:$D$644,$A6,الإدخال!$F$5:$F$644,"غائب",الإدخال!$G$5:$G$644,"")&gt;0,"غ",IF(COUNTIFS(الإدخال!$A$5:$A$644,N$5,الإدخال!$D$5:$D$644,$A6,الإدخال!$F$5:$F$644,"معتذر",الإدخال!$G$5:$G$644,"")&gt;0,"ع",IF(SUMIFS(الإدخال!$P$5:$P$644,الإدخال!$A$5:$A$644,N$5,الإدخال!$D$5:$D$644,$A6)&gt;0,SUMIFS(الإدخال!$O$5:$O$644,الإدخال!$A$5:$A$644,N$5,الإدخال!$D$5:$D$644,$A6)/100,""))))</f>
        <v/>
      </c>
      <c r="O6" s="70" t="str">
        <f>IF($A6="","",IF(COUNTIFS(الإدخال!$A$5:$A$644,O$5,الإدخال!$D$5:$D$644,$A6,الإدخال!$F$5:$F$644,"غائب",الإدخال!$G$5:$G$644,"")&gt;0,"غ",IF(COUNTIFS(الإدخال!$A$5:$A$644,O$5,الإدخال!$D$5:$D$644,$A6,الإدخال!$F$5:$F$644,"معتذر",الإدخال!$G$5:$G$644,"")&gt;0,"ع",IF(SUMIFS(الإدخال!$P$5:$P$644,الإدخال!$A$5:$A$644,O$5,الإدخال!$D$5:$D$644,$A6)&gt;0,SUMIFS(الإدخال!$O$5:$O$644,الإدخال!$A$5:$A$644,O$5,الإدخال!$D$5:$D$644,$A6)/100,""))))</f>
        <v/>
      </c>
      <c r="P6" s="70" t="str">
        <f>IF($A6="","",IF(COUNTIFS(الإدخال!$A$5:$A$644,P$5,الإدخال!$D$5:$D$644,$A6,الإدخال!$F$5:$F$644,"غائب",الإدخال!$G$5:$G$644,"")&gt;0,"غ",IF(COUNTIFS(الإدخال!$A$5:$A$644,P$5,الإدخال!$D$5:$D$644,$A6,الإدخال!$F$5:$F$644,"معتذر",الإدخال!$G$5:$G$644,"")&gt;0,"ع",IF(SUMIFS(الإدخال!$P$5:$P$644,الإدخال!$A$5:$A$644,P$5,الإدخال!$D$5:$D$644,$A6)&gt;0,SUMIFS(الإدخال!$O$5:$O$644,الإدخال!$A$5:$A$644,P$5,الإدخال!$D$5:$D$644,$A6)/100,""))))</f>
        <v/>
      </c>
      <c r="Q6" s="70" t="str">
        <f>IF($A6="","",IF(COUNTIFS(الإدخال!$A$5:$A$644,Q$5,الإدخال!$D$5:$D$644,$A6,الإدخال!$F$5:$F$644,"غائب",الإدخال!$G$5:$G$644,"")&gt;0,"غ",IF(COUNTIFS(الإدخال!$A$5:$A$644,Q$5,الإدخال!$D$5:$D$644,$A6,الإدخال!$F$5:$F$644,"معتذر",الإدخال!$G$5:$G$644,"")&gt;0,"ع",IF(SUMIFS(الإدخال!$P$5:$P$644,الإدخال!$A$5:$A$644,Q$5,الإدخال!$D$5:$D$644,$A6)&gt;0,SUMIFS(الإدخال!$O$5:$O$644,الإدخال!$A$5:$A$644,Q$5,الإدخال!$D$5:$D$644,$A6)/100,""))))</f>
        <v/>
      </c>
      <c r="R6" s="70" t="str">
        <f>IF($A6="","",IF(COUNTIFS(الإدخال!$A$5:$A$644,R$5,الإدخال!$D$5:$D$644,$A6,الإدخال!$F$5:$F$644,"غائب",الإدخال!$G$5:$G$644,"")&gt;0,"غ",IF(COUNTIFS(الإدخال!$A$5:$A$644,R$5,الإدخال!$D$5:$D$644,$A6,الإدخال!$F$5:$F$644,"معتذر",الإدخال!$G$5:$G$644,"")&gt;0,"ع",IF(SUMIFS(الإدخال!$P$5:$P$644,الإدخال!$A$5:$A$644,R$5,الإدخال!$D$5:$D$644,$A6)&gt;0,SUMIFS(الإدخال!$O$5:$O$644,الإدخال!$A$5:$A$644,R$5,الإدخال!$D$5:$D$644,$A6)/100,""))))</f>
        <v/>
      </c>
      <c r="S6" s="70" t="str">
        <f>IF($A6="","",IF(COUNTIFS(الإدخال!$A$5:$A$644,S$5,الإدخال!$D$5:$D$644,$A6,الإدخال!$F$5:$F$644,"غائب",الإدخال!$G$5:$G$644,"")&gt;0,"غ",IF(COUNTIFS(الإدخال!$A$5:$A$644,S$5,الإدخال!$D$5:$D$644,$A6,الإدخال!$F$5:$F$644,"معتذر",الإدخال!$G$5:$G$644,"")&gt;0,"ع",IF(SUMIFS(الإدخال!$P$5:$P$644,الإدخال!$A$5:$A$644,S$5,الإدخال!$D$5:$D$644,$A6)&gt;0,SUMIFS(الإدخال!$O$5:$O$644,الإدخال!$A$5:$A$644,S$5,الإدخال!$D$5:$D$644,$A6)/100,""))))</f>
        <v/>
      </c>
      <c r="T6" s="71">
        <f>IF($A6="","",IFERROR(SUMIFS(الإدخال!$O$5:$O$644,الإدخال!$D$5:$D$644,$A6)/SUMIFS(الإدخال!$P$5:$P$644,الإدخال!$D$5:$D$644,$A6)/100,""))</f>
        <v>0.495</v>
      </c>
      <c r="U6" s="72" t="str">
        <f t="shared" ref="U6:U29" si="0">IF(T6="","",IF(T6&gt;=0.9,"ممتاز",IF(T6&gt;=0.8,"جيد جدًا",IF(T6&gt;=0.7,"جيد",IF(T6&gt;=0.6,"مقبول","يحتاج متابعة")))))</f>
        <v>يحتاج متابعة</v>
      </c>
      <c r="V6" s="72">
        <f>IF($A6="","",SUMIFS(الإدخال!$N$5:$N$644,الإدخال!$D$5:$D$644,$A6))</f>
        <v>1</v>
      </c>
      <c r="W6" s="73">
        <f>IF($A6="","",COUNTIFS(الإدخال!$D$5:$D$644,$A6,الإدخال!$F$5:$F$644,"متأخر"))</f>
        <v>0</v>
      </c>
      <c r="X6" s="73">
        <f>IF($A6="","",COUNTIFS(الإدخال!$D$5:$D$644,$A6,الإدخال!$F$5:$F$644,"غائب"))</f>
        <v>1</v>
      </c>
      <c r="Y6" s="73">
        <f>IF($A6="","",COUNTIFS(الإدخال!$D$5:$D$644,$A6,الإدخال!$F$5:$F$644,"معتذر"))</f>
        <v>0</v>
      </c>
      <c r="Z6" s="73">
        <f>IF($A6="","",SUMIFS(الإدخال!$H$5:$H$644,الإدخال!$D$5:$D$644,$A6,الإدخال!$N$5:$N$644,1))</f>
        <v>4</v>
      </c>
      <c r="AA6" s="73">
        <f>IF($A6="","",SUMIFS(الإدخال!$I$5:$I$644,الإدخال!$D$5:$D$644,$A6,الإدخال!$N$5:$N$644,1))</f>
        <v>20</v>
      </c>
      <c r="AB6" s="73">
        <f>IF($A6="","",SUMIFS(الإدخال!$J$5:$J$644,الإدخال!$D$5:$D$644,$A6,الإدخال!$N$5:$N$644,1))</f>
        <v>0</v>
      </c>
      <c r="AC6" s="36">
        <f>IFERROR(MATCH($C$3&amp;"|1",الطلاب!$E$5:$E$44,0),"")</f>
        <v>20</v>
      </c>
    </row>
    <row r="7" spans="1:29">
      <c r="A7" s="18">
        <f>IF($AC7="","",INDEX(الطلاب!$A$5:$A$44,$AC7))</f>
        <v>21</v>
      </c>
      <c r="B7" s="68" t="str">
        <f>IF($AC7="","",INDEX(الطلاب!$B$5:$B$44,$AC7))</f>
        <v xml:space="preserve">جواد الرفيعي </v>
      </c>
      <c r="C7" s="69" t="str">
        <f>IF($AC7="","",INDEX(الطلاب!$D$5:$D$44,$AC7))</f>
        <v xml:space="preserve">ابن رجب </v>
      </c>
      <c r="D7" s="70">
        <f>IF($A7="","",IF(COUNTIFS(الإدخال!$A$5:$A$644,D$5,الإدخال!$D$5:$D$644,$A7,الإدخال!$F$5:$F$644,"غائب",الإدخال!$G$5:$G$644,"")&gt;0,"غ",IF(COUNTIFS(الإدخال!$A$5:$A$644,D$5,الإدخال!$D$5:$D$644,$A7,الإدخال!$F$5:$F$644,"معتذر",الإدخال!$G$5:$G$644,"")&gt;0,"ع",IF(SUMIFS(الإدخال!$P$5:$P$644,الإدخال!$A$5:$A$644,D$5,الإدخال!$D$5:$D$644,$A7)&gt;0,SUMIFS(الإدخال!$O$5:$O$644,الإدخال!$A$5:$A$644,D$5,الإدخال!$D$5:$D$644,$A7)/100,""))))</f>
        <v>0</v>
      </c>
      <c r="E7" s="70">
        <f>IF($A7="","",IF(COUNTIFS(الإدخال!$A$5:$A$644,E$5,الإدخال!$D$5:$D$644,$A7,الإدخال!$F$5:$F$644,"غائب",الإدخال!$G$5:$G$644,"")&gt;0,"غ",IF(COUNTIFS(الإدخال!$A$5:$A$644,E$5,الإدخال!$D$5:$D$644,$A7,الإدخال!$F$5:$F$644,"معتذر",الإدخال!$G$5:$G$644,"")&gt;0,"ع",IF(SUMIFS(الإدخال!$P$5:$P$644,الإدخال!$A$5:$A$644,E$5,الإدخال!$D$5:$D$644,$A7)&gt;0,SUMIFS(الإدخال!$O$5:$O$644,الإدخال!$A$5:$A$644,E$5,الإدخال!$D$5:$D$644,$A7)/100,""))))</f>
        <v>0.92</v>
      </c>
      <c r="F7" s="70" t="str">
        <f>IF($A7="","",IF(COUNTIFS(الإدخال!$A$5:$A$644,F$5,الإدخال!$D$5:$D$644,$A7,الإدخال!$F$5:$F$644,"غائب",الإدخال!$G$5:$G$644,"")&gt;0,"غ",IF(COUNTIFS(الإدخال!$A$5:$A$644,F$5,الإدخال!$D$5:$D$644,$A7,الإدخال!$F$5:$F$644,"معتذر",الإدخال!$G$5:$G$644,"")&gt;0,"ع",IF(SUMIFS(الإدخال!$P$5:$P$644,الإدخال!$A$5:$A$644,F$5,الإدخال!$D$5:$D$644,$A7)&gt;0,SUMIFS(الإدخال!$O$5:$O$644,الإدخال!$A$5:$A$644,F$5,الإدخال!$D$5:$D$644,$A7)/100,""))))</f>
        <v/>
      </c>
      <c r="G7" s="70" t="str">
        <f>IF($A7="","",IF(COUNTIFS(الإدخال!$A$5:$A$644,G$5,الإدخال!$D$5:$D$644,$A7,الإدخال!$F$5:$F$644,"غائب",الإدخال!$G$5:$G$644,"")&gt;0,"غ",IF(COUNTIFS(الإدخال!$A$5:$A$644,G$5,الإدخال!$D$5:$D$644,$A7,الإدخال!$F$5:$F$644,"معتذر",الإدخال!$G$5:$G$644,"")&gt;0,"ع",IF(SUMIFS(الإدخال!$P$5:$P$644,الإدخال!$A$5:$A$644,G$5,الإدخال!$D$5:$D$644,$A7)&gt;0,SUMIFS(الإدخال!$O$5:$O$644,الإدخال!$A$5:$A$644,G$5,الإدخال!$D$5:$D$644,$A7)/100,""))))</f>
        <v/>
      </c>
      <c r="H7" s="70" t="str">
        <f>IF($A7="","",IF(COUNTIFS(الإدخال!$A$5:$A$644,H$5,الإدخال!$D$5:$D$644,$A7,الإدخال!$F$5:$F$644,"غائب",الإدخال!$G$5:$G$644,"")&gt;0,"غ",IF(COUNTIFS(الإدخال!$A$5:$A$644,H$5,الإدخال!$D$5:$D$644,$A7,الإدخال!$F$5:$F$644,"معتذر",الإدخال!$G$5:$G$644,"")&gt;0,"ع",IF(SUMIFS(الإدخال!$P$5:$P$644,الإدخال!$A$5:$A$644,H$5,الإدخال!$D$5:$D$644,$A7)&gt;0,SUMIFS(الإدخال!$O$5:$O$644,الإدخال!$A$5:$A$644,H$5,الإدخال!$D$5:$D$644,$A7)/100,""))))</f>
        <v/>
      </c>
      <c r="I7" s="70" t="str">
        <f>IF($A7="","",IF(COUNTIFS(الإدخال!$A$5:$A$644,I$5,الإدخال!$D$5:$D$644,$A7,الإدخال!$F$5:$F$644,"غائب",الإدخال!$G$5:$G$644,"")&gt;0,"غ",IF(COUNTIFS(الإدخال!$A$5:$A$644,I$5,الإدخال!$D$5:$D$644,$A7,الإدخال!$F$5:$F$644,"معتذر",الإدخال!$G$5:$G$644,"")&gt;0,"ع",IF(SUMIFS(الإدخال!$P$5:$P$644,الإدخال!$A$5:$A$644,I$5,الإدخال!$D$5:$D$644,$A7)&gt;0,SUMIFS(الإدخال!$O$5:$O$644,الإدخال!$A$5:$A$644,I$5,الإدخال!$D$5:$D$644,$A7)/100,""))))</f>
        <v/>
      </c>
      <c r="J7" s="70" t="str">
        <f>IF($A7="","",IF(COUNTIFS(الإدخال!$A$5:$A$644,J$5,الإدخال!$D$5:$D$644,$A7,الإدخال!$F$5:$F$644,"غائب",الإدخال!$G$5:$G$644,"")&gt;0,"غ",IF(COUNTIFS(الإدخال!$A$5:$A$644,J$5,الإدخال!$D$5:$D$644,$A7,الإدخال!$F$5:$F$644,"معتذر",الإدخال!$G$5:$G$644,"")&gt;0,"ع",IF(SUMIFS(الإدخال!$P$5:$P$644,الإدخال!$A$5:$A$644,J$5,الإدخال!$D$5:$D$644,$A7)&gt;0,SUMIFS(الإدخال!$O$5:$O$644,الإدخال!$A$5:$A$644,J$5,الإدخال!$D$5:$D$644,$A7)/100,""))))</f>
        <v/>
      </c>
      <c r="K7" s="70" t="str">
        <f>IF($A7="","",IF(COUNTIFS(الإدخال!$A$5:$A$644,K$5,الإدخال!$D$5:$D$644,$A7,الإدخال!$F$5:$F$644,"غائب",الإدخال!$G$5:$G$644,"")&gt;0,"غ",IF(COUNTIFS(الإدخال!$A$5:$A$644,K$5,الإدخال!$D$5:$D$644,$A7,الإدخال!$F$5:$F$644,"معتذر",الإدخال!$G$5:$G$644,"")&gt;0,"ع",IF(SUMIFS(الإدخال!$P$5:$P$644,الإدخال!$A$5:$A$644,K$5,الإدخال!$D$5:$D$644,$A7)&gt;0,SUMIFS(الإدخال!$O$5:$O$644,الإدخال!$A$5:$A$644,K$5,الإدخال!$D$5:$D$644,$A7)/100,""))))</f>
        <v/>
      </c>
      <c r="L7" s="70" t="str">
        <f>IF($A7="","",IF(COUNTIFS(الإدخال!$A$5:$A$644,L$5,الإدخال!$D$5:$D$644,$A7,الإدخال!$F$5:$F$644,"غائب",الإدخال!$G$5:$G$644,"")&gt;0,"غ",IF(COUNTIFS(الإدخال!$A$5:$A$644,L$5,الإدخال!$D$5:$D$644,$A7,الإدخال!$F$5:$F$644,"معتذر",الإدخال!$G$5:$G$644,"")&gt;0,"ع",IF(SUMIFS(الإدخال!$P$5:$P$644,الإدخال!$A$5:$A$644,L$5,الإدخال!$D$5:$D$644,$A7)&gt;0,SUMIFS(الإدخال!$O$5:$O$644,الإدخال!$A$5:$A$644,L$5,الإدخال!$D$5:$D$644,$A7)/100,""))))</f>
        <v/>
      </c>
      <c r="M7" s="70" t="str">
        <f>IF($A7="","",IF(COUNTIFS(الإدخال!$A$5:$A$644,M$5,الإدخال!$D$5:$D$644,$A7,الإدخال!$F$5:$F$644,"غائب",الإدخال!$G$5:$G$644,"")&gt;0,"غ",IF(COUNTIFS(الإدخال!$A$5:$A$644,M$5,الإدخال!$D$5:$D$644,$A7,الإدخال!$F$5:$F$644,"معتذر",الإدخال!$G$5:$G$644,"")&gt;0,"ع",IF(SUMIFS(الإدخال!$P$5:$P$644,الإدخال!$A$5:$A$644,M$5,الإدخال!$D$5:$D$644,$A7)&gt;0,SUMIFS(الإدخال!$O$5:$O$644,الإدخال!$A$5:$A$644,M$5,الإدخال!$D$5:$D$644,$A7)/100,""))))</f>
        <v/>
      </c>
      <c r="N7" s="70" t="str">
        <f>IF($A7="","",IF(COUNTIFS(الإدخال!$A$5:$A$644,N$5,الإدخال!$D$5:$D$644,$A7,الإدخال!$F$5:$F$644,"غائب",الإدخال!$G$5:$G$644,"")&gt;0,"غ",IF(COUNTIFS(الإدخال!$A$5:$A$644,N$5,الإدخال!$D$5:$D$644,$A7,الإدخال!$F$5:$F$644,"معتذر",الإدخال!$G$5:$G$644,"")&gt;0,"ع",IF(SUMIFS(الإدخال!$P$5:$P$644,الإدخال!$A$5:$A$644,N$5,الإدخال!$D$5:$D$644,$A7)&gt;0,SUMIFS(الإدخال!$O$5:$O$644,الإدخال!$A$5:$A$644,N$5,الإدخال!$D$5:$D$644,$A7)/100,""))))</f>
        <v/>
      </c>
      <c r="O7" s="70" t="str">
        <f>IF($A7="","",IF(COUNTIFS(الإدخال!$A$5:$A$644,O$5,الإدخال!$D$5:$D$644,$A7,الإدخال!$F$5:$F$644,"غائب",الإدخال!$G$5:$G$644,"")&gt;0,"غ",IF(COUNTIFS(الإدخال!$A$5:$A$644,O$5,الإدخال!$D$5:$D$644,$A7,الإدخال!$F$5:$F$644,"معتذر",الإدخال!$G$5:$G$644,"")&gt;0,"ع",IF(SUMIFS(الإدخال!$P$5:$P$644,الإدخال!$A$5:$A$644,O$5,الإدخال!$D$5:$D$644,$A7)&gt;0,SUMIFS(الإدخال!$O$5:$O$644,الإدخال!$A$5:$A$644,O$5,الإدخال!$D$5:$D$644,$A7)/100,""))))</f>
        <v/>
      </c>
      <c r="P7" s="70" t="str">
        <f>IF($A7="","",IF(COUNTIFS(الإدخال!$A$5:$A$644,P$5,الإدخال!$D$5:$D$644,$A7,الإدخال!$F$5:$F$644,"غائب",الإدخال!$G$5:$G$644,"")&gt;0,"غ",IF(COUNTIFS(الإدخال!$A$5:$A$644,P$5,الإدخال!$D$5:$D$644,$A7,الإدخال!$F$5:$F$644,"معتذر",الإدخال!$G$5:$G$644,"")&gt;0,"ع",IF(SUMIFS(الإدخال!$P$5:$P$644,الإدخال!$A$5:$A$644,P$5,الإدخال!$D$5:$D$644,$A7)&gt;0,SUMIFS(الإدخال!$O$5:$O$644,الإدخال!$A$5:$A$644,P$5,الإدخال!$D$5:$D$644,$A7)/100,""))))</f>
        <v/>
      </c>
      <c r="Q7" s="70" t="str">
        <f>IF($A7="","",IF(COUNTIFS(الإدخال!$A$5:$A$644,Q$5,الإدخال!$D$5:$D$644,$A7,الإدخال!$F$5:$F$644,"غائب",الإدخال!$G$5:$G$644,"")&gt;0,"غ",IF(COUNTIFS(الإدخال!$A$5:$A$644,Q$5,الإدخال!$D$5:$D$644,$A7,الإدخال!$F$5:$F$644,"معتذر",الإدخال!$G$5:$G$644,"")&gt;0,"ع",IF(SUMIFS(الإدخال!$P$5:$P$644,الإدخال!$A$5:$A$644,Q$5,الإدخال!$D$5:$D$644,$A7)&gt;0,SUMIFS(الإدخال!$O$5:$O$644,الإدخال!$A$5:$A$644,Q$5,الإدخال!$D$5:$D$644,$A7)/100,""))))</f>
        <v/>
      </c>
      <c r="R7" s="70" t="str">
        <f>IF($A7="","",IF(COUNTIFS(الإدخال!$A$5:$A$644,R$5,الإدخال!$D$5:$D$644,$A7,الإدخال!$F$5:$F$644,"غائب",الإدخال!$G$5:$G$644,"")&gt;0,"غ",IF(COUNTIFS(الإدخال!$A$5:$A$644,R$5,الإدخال!$D$5:$D$644,$A7,الإدخال!$F$5:$F$644,"معتذر",الإدخال!$G$5:$G$644,"")&gt;0,"ع",IF(SUMIFS(الإدخال!$P$5:$P$644,الإدخال!$A$5:$A$644,R$5,الإدخال!$D$5:$D$644,$A7)&gt;0,SUMIFS(الإدخال!$O$5:$O$644,الإدخال!$A$5:$A$644,R$5,الإدخال!$D$5:$D$644,$A7)/100,""))))</f>
        <v/>
      </c>
      <c r="S7" s="70" t="str">
        <f>IF($A7="","",IF(COUNTIFS(الإدخال!$A$5:$A$644,S$5,الإدخال!$D$5:$D$644,$A7,الإدخال!$F$5:$F$644,"غائب",الإدخال!$G$5:$G$644,"")&gt;0,"غ",IF(COUNTIFS(الإدخال!$A$5:$A$644,S$5,الإدخال!$D$5:$D$644,$A7,الإدخال!$F$5:$F$644,"معتذر",الإدخال!$G$5:$G$644,"")&gt;0,"ع",IF(SUMIFS(الإدخال!$P$5:$P$644,الإدخال!$A$5:$A$644,S$5,الإدخال!$D$5:$D$644,$A7)&gt;0,SUMIFS(الإدخال!$O$5:$O$644,الإدخال!$A$5:$A$644,S$5,الإدخال!$D$5:$D$644,$A7)/100,""))))</f>
        <v/>
      </c>
      <c r="T7" s="71">
        <f>IF($A7="","",IFERROR(SUMIFS(الإدخال!$O$5:$O$644,الإدخال!$D$5:$D$644,$A7)/SUMIFS(الإدخال!$P$5:$P$644,الإدخال!$D$5:$D$644,$A7)/100,""))</f>
        <v>0.46</v>
      </c>
      <c r="U7" s="72" t="str">
        <f t="shared" si="0"/>
        <v>يحتاج متابعة</v>
      </c>
      <c r="V7" s="72">
        <f>IF($A7="","",SUMIFS(الإدخال!$N$5:$N$644,الإدخال!$D$5:$D$644,$A7))</f>
        <v>1</v>
      </c>
      <c r="W7" s="73">
        <f>IF($A7="","",COUNTIFS(الإدخال!$D$5:$D$644,$A7,الإدخال!$F$5:$F$644,"متأخر"))</f>
        <v>0</v>
      </c>
      <c r="X7" s="73">
        <f>IF($A7="","",COUNTIFS(الإدخال!$D$5:$D$644,$A7,الإدخال!$F$5:$F$644,"غائب"))</f>
        <v>0</v>
      </c>
      <c r="Y7" s="73">
        <f>IF($A7="","",COUNTIFS(الإدخال!$D$5:$D$644,$A7,الإدخال!$F$5:$F$644,"معتذر"))</f>
        <v>1</v>
      </c>
      <c r="Z7" s="73">
        <f>IF($A7="","",SUMIFS(الإدخال!$H$5:$H$644,الإدخال!$D$5:$D$644,$A7,الإدخال!$N$5:$N$644,1))</f>
        <v>2</v>
      </c>
      <c r="AA7" s="73">
        <f>IF($A7="","",SUMIFS(الإدخال!$I$5:$I$644,الإدخال!$D$5:$D$644,$A7,الإدخال!$N$5:$N$644,1))</f>
        <v>18</v>
      </c>
      <c r="AB7" s="73">
        <f>IF($A7="","",SUMIFS(الإدخال!$J$5:$J$644,الإدخال!$D$5:$D$644,$A7,الإدخال!$N$5:$N$644,1))</f>
        <v>0</v>
      </c>
      <c r="AC7" s="36">
        <f>IFERROR(MATCH($C$3&amp;"|2",الطلاب!$E$5:$E$44,0),"")</f>
        <v>21</v>
      </c>
    </row>
    <row r="8" spans="1:29">
      <c r="A8" s="18">
        <f>IF($AC8="","",INDEX(الطلاب!$A$5:$A$44,$AC8))</f>
        <v>22</v>
      </c>
      <c r="B8" s="68" t="str">
        <f>IF($AC8="","",INDEX(الطلاب!$B$5:$B$44,$AC8))</f>
        <v xml:space="preserve">سفيان السبيعي </v>
      </c>
      <c r="C8" s="69" t="str">
        <f>IF($AC8="","",INDEX(الطلاب!$D$5:$D$44,$AC8))</f>
        <v xml:space="preserve">ابن رجب </v>
      </c>
      <c r="D8" s="70">
        <f>IF($A8="","",IF(COUNTIFS(الإدخال!$A$5:$A$644,D$5,الإدخال!$D$5:$D$644,$A8,الإدخال!$F$5:$F$644,"غائب",الإدخال!$G$5:$G$644,"")&gt;0,"غ",IF(COUNTIFS(الإدخال!$A$5:$A$644,D$5,الإدخال!$D$5:$D$644,$A8,الإدخال!$F$5:$F$644,"معتذر",الإدخال!$G$5:$G$644,"")&gt;0,"ع",IF(SUMIFS(الإدخال!$P$5:$P$644,الإدخال!$A$5:$A$644,D$5,الإدخال!$D$5:$D$644,$A8)&gt;0,SUMIFS(الإدخال!$O$5:$O$644,الإدخال!$A$5:$A$644,D$5,الإدخال!$D$5:$D$644,$A8)/100,""))))</f>
        <v>0.95</v>
      </c>
      <c r="E8" s="70" t="str">
        <f>IF($A8="","",IF(COUNTIFS(الإدخال!$A$5:$A$644,E$5,الإدخال!$D$5:$D$644,$A8,الإدخال!$F$5:$F$644,"غائب",الإدخال!$G$5:$G$644,"")&gt;0,"غ",IF(COUNTIFS(الإدخال!$A$5:$A$644,E$5,الإدخال!$D$5:$D$644,$A8,الإدخال!$F$5:$F$644,"معتذر",الإدخال!$G$5:$G$644,"")&gt;0,"ع",IF(SUMIFS(الإدخال!$P$5:$P$644,الإدخال!$A$5:$A$644,E$5,الإدخال!$D$5:$D$644,$A8)&gt;0,SUMIFS(الإدخال!$O$5:$O$644,الإدخال!$A$5:$A$644,E$5,الإدخال!$D$5:$D$644,$A8)/100,""))))</f>
        <v>غ</v>
      </c>
      <c r="F8" s="70" t="str">
        <f>IF($A8="","",IF(COUNTIFS(الإدخال!$A$5:$A$644,F$5,الإدخال!$D$5:$D$644,$A8,الإدخال!$F$5:$F$644,"غائب",الإدخال!$G$5:$G$644,"")&gt;0,"غ",IF(COUNTIFS(الإدخال!$A$5:$A$644,F$5,الإدخال!$D$5:$D$644,$A8,الإدخال!$F$5:$F$644,"معتذر",الإدخال!$G$5:$G$644,"")&gt;0,"ع",IF(SUMIFS(الإدخال!$P$5:$P$644,الإدخال!$A$5:$A$644,F$5,الإدخال!$D$5:$D$644,$A8)&gt;0,SUMIFS(الإدخال!$O$5:$O$644,الإدخال!$A$5:$A$644,F$5,الإدخال!$D$5:$D$644,$A8)/100,""))))</f>
        <v/>
      </c>
      <c r="G8" s="70" t="str">
        <f>IF($A8="","",IF(COUNTIFS(الإدخال!$A$5:$A$644,G$5,الإدخال!$D$5:$D$644,$A8,الإدخال!$F$5:$F$644,"غائب",الإدخال!$G$5:$G$644,"")&gt;0,"غ",IF(COUNTIFS(الإدخال!$A$5:$A$644,G$5,الإدخال!$D$5:$D$644,$A8,الإدخال!$F$5:$F$644,"معتذر",الإدخال!$G$5:$G$644,"")&gt;0,"ع",IF(SUMIFS(الإدخال!$P$5:$P$644,الإدخال!$A$5:$A$644,G$5,الإدخال!$D$5:$D$644,$A8)&gt;0,SUMIFS(الإدخال!$O$5:$O$644,الإدخال!$A$5:$A$644,G$5,الإدخال!$D$5:$D$644,$A8)/100,""))))</f>
        <v/>
      </c>
      <c r="H8" s="70" t="str">
        <f>IF($A8="","",IF(COUNTIFS(الإدخال!$A$5:$A$644,H$5,الإدخال!$D$5:$D$644,$A8,الإدخال!$F$5:$F$644,"غائب",الإدخال!$G$5:$G$644,"")&gt;0,"غ",IF(COUNTIFS(الإدخال!$A$5:$A$644,H$5,الإدخال!$D$5:$D$644,$A8,الإدخال!$F$5:$F$644,"معتذر",الإدخال!$G$5:$G$644,"")&gt;0,"ع",IF(SUMIFS(الإدخال!$P$5:$P$644,الإدخال!$A$5:$A$644,H$5,الإدخال!$D$5:$D$644,$A8)&gt;0,SUMIFS(الإدخال!$O$5:$O$644,الإدخال!$A$5:$A$644,H$5,الإدخال!$D$5:$D$644,$A8)/100,""))))</f>
        <v/>
      </c>
      <c r="I8" s="70" t="str">
        <f>IF($A8="","",IF(COUNTIFS(الإدخال!$A$5:$A$644,I$5,الإدخال!$D$5:$D$644,$A8,الإدخال!$F$5:$F$644,"غائب",الإدخال!$G$5:$G$644,"")&gt;0,"غ",IF(COUNTIFS(الإدخال!$A$5:$A$644,I$5,الإدخال!$D$5:$D$644,$A8,الإدخال!$F$5:$F$644,"معتذر",الإدخال!$G$5:$G$644,"")&gt;0,"ع",IF(SUMIFS(الإدخال!$P$5:$P$644,الإدخال!$A$5:$A$644,I$5,الإدخال!$D$5:$D$644,$A8)&gt;0,SUMIFS(الإدخال!$O$5:$O$644,الإدخال!$A$5:$A$644,I$5,الإدخال!$D$5:$D$644,$A8)/100,""))))</f>
        <v/>
      </c>
      <c r="J8" s="70" t="str">
        <f>IF($A8="","",IF(COUNTIFS(الإدخال!$A$5:$A$644,J$5,الإدخال!$D$5:$D$644,$A8,الإدخال!$F$5:$F$644,"غائب",الإدخال!$G$5:$G$644,"")&gt;0,"غ",IF(COUNTIFS(الإدخال!$A$5:$A$644,J$5,الإدخال!$D$5:$D$644,$A8,الإدخال!$F$5:$F$644,"معتذر",الإدخال!$G$5:$G$644,"")&gt;0,"ع",IF(SUMIFS(الإدخال!$P$5:$P$644,الإدخال!$A$5:$A$644,J$5,الإدخال!$D$5:$D$644,$A8)&gt;0,SUMIFS(الإدخال!$O$5:$O$644,الإدخال!$A$5:$A$644,J$5,الإدخال!$D$5:$D$644,$A8)/100,""))))</f>
        <v/>
      </c>
      <c r="K8" s="70" t="str">
        <f>IF($A8="","",IF(COUNTIFS(الإدخال!$A$5:$A$644,K$5,الإدخال!$D$5:$D$644,$A8,الإدخال!$F$5:$F$644,"غائب",الإدخال!$G$5:$G$644,"")&gt;0,"غ",IF(COUNTIFS(الإدخال!$A$5:$A$644,K$5,الإدخال!$D$5:$D$644,$A8,الإدخال!$F$5:$F$644,"معتذر",الإدخال!$G$5:$G$644,"")&gt;0,"ع",IF(SUMIFS(الإدخال!$P$5:$P$644,الإدخال!$A$5:$A$644,K$5,الإدخال!$D$5:$D$644,$A8)&gt;0,SUMIFS(الإدخال!$O$5:$O$644,الإدخال!$A$5:$A$644,K$5,الإدخال!$D$5:$D$644,$A8)/100,""))))</f>
        <v/>
      </c>
      <c r="L8" s="70" t="str">
        <f>IF($A8="","",IF(COUNTIFS(الإدخال!$A$5:$A$644,L$5,الإدخال!$D$5:$D$644,$A8,الإدخال!$F$5:$F$644,"غائب",الإدخال!$G$5:$G$644,"")&gt;0,"غ",IF(COUNTIFS(الإدخال!$A$5:$A$644,L$5,الإدخال!$D$5:$D$644,$A8,الإدخال!$F$5:$F$644,"معتذر",الإدخال!$G$5:$G$644,"")&gt;0,"ع",IF(SUMIFS(الإدخال!$P$5:$P$644,الإدخال!$A$5:$A$644,L$5,الإدخال!$D$5:$D$644,$A8)&gt;0,SUMIFS(الإدخال!$O$5:$O$644,الإدخال!$A$5:$A$644,L$5,الإدخال!$D$5:$D$644,$A8)/100,""))))</f>
        <v/>
      </c>
      <c r="M8" s="70" t="str">
        <f>IF($A8="","",IF(COUNTIFS(الإدخال!$A$5:$A$644,M$5,الإدخال!$D$5:$D$644,$A8,الإدخال!$F$5:$F$644,"غائب",الإدخال!$G$5:$G$644,"")&gt;0,"غ",IF(COUNTIFS(الإدخال!$A$5:$A$644,M$5,الإدخال!$D$5:$D$644,$A8,الإدخال!$F$5:$F$644,"معتذر",الإدخال!$G$5:$G$644,"")&gt;0,"ع",IF(SUMIFS(الإدخال!$P$5:$P$644,الإدخال!$A$5:$A$644,M$5,الإدخال!$D$5:$D$644,$A8)&gt;0,SUMIFS(الإدخال!$O$5:$O$644,الإدخال!$A$5:$A$644,M$5,الإدخال!$D$5:$D$644,$A8)/100,""))))</f>
        <v/>
      </c>
      <c r="N8" s="70" t="str">
        <f>IF($A8="","",IF(COUNTIFS(الإدخال!$A$5:$A$644,N$5,الإدخال!$D$5:$D$644,$A8,الإدخال!$F$5:$F$644,"غائب",الإدخال!$G$5:$G$644,"")&gt;0,"غ",IF(COUNTIFS(الإدخال!$A$5:$A$644,N$5,الإدخال!$D$5:$D$644,$A8,الإدخال!$F$5:$F$644,"معتذر",الإدخال!$G$5:$G$644,"")&gt;0,"ع",IF(SUMIFS(الإدخال!$P$5:$P$644,الإدخال!$A$5:$A$644,N$5,الإدخال!$D$5:$D$644,$A8)&gt;0,SUMIFS(الإدخال!$O$5:$O$644,الإدخال!$A$5:$A$644,N$5,الإدخال!$D$5:$D$644,$A8)/100,""))))</f>
        <v/>
      </c>
      <c r="O8" s="70" t="str">
        <f>IF($A8="","",IF(COUNTIFS(الإدخال!$A$5:$A$644,O$5,الإدخال!$D$5:$D$644,$A8,الإدخال!$F$5:$F$644,"غائب",الإدخال!$G$5:$G$644,"")&gt;0,"غ",IF(COUNTIFS(الإدخال!$A$5:$A$644,O$5,الإدخال!$D$5:$D$644,$A8,الإدخال!$F$5:$F$644,"معتذر",الإدخال!$G$5:$G$644,"")&gt;0,"ع",IF(SUMIFS(الإدخال!$P$5:$P$644,الإدخال!$A$5:$A$644,O$5,الإدخال!$D$5:$D$644,$A8)&gt;0,SUMIFS(الإدخال!$O$5:$O$644,الإدخال!$A$5:$A$644,O$5,الإدخال!$D$5:$D$644,$A8)/100,""))))</f>
        <v/>
      </c>
      <c r="P8" s="70" t="str">
        <f>IF($A8="","",IF(COUNTIFS(الإدخال!$A$5:$A$644,P$5,الإدخال!$D$5:$D$644,$A8,الإدخال!$F$5:$F$644,"غائب",الإدخال!$G$5:$G$644,"")&gt;0,"غ",IF(COUNTIFS(الإدخال!$A$5:$A$644,P$5,الإدخال!$D$5:$D$644,$A8,الإدخال!$F$5:$F$644,"معتذر",الإدخال!$G$5:$G$644,"")&gt;0,"ع",IF(SUMIFS(الإدخال!$P$5:$P$644,الإدخال!$A$5:$A$644,P$5,الإدخال!$D$5:$D$644,$A8)&gt;0,SUMIFS(الإدخال!$O$5:$O$644,الإدخال!$A$5:$A$644,P$5,الإدخال!$D$5:$D$644,$A8)/100,""))))</f>
        <v/>
      </c>
      <c r="Q8" s="70" t="str">
        <f>IF($A8="","",IF(COUNTIFS(الإدخال!$A$5:$A$644,Q$5,الإدخال!$D$5:$D$644,$A8,الإدخال!$F$5:$F$644,"غائب",الإدخال!$G$5:$G$644,"")&gt;0,"غ",IF(COUNTIFS(الإدخال!$A$5:$A$644,Q$5,الإدخال!$D$5:$D$644,$A8,الإدخال!$F$5:$F$644,"معتذر",الإدخال!$G$5:$G$644,"")&gt;0,"ع",IF(SUMIFS(الإدخال!$P$5:$P$644,الإدخال!$A$5:$A$644,Q$5,الإدخال!$D$5:$D$644,$A8)&gt;0,SUMIFS(الإدخال!$O$5:$O$644,الإدخال!$A$5:$A$644,Q$5,الإدخال!$D$5:$D$644,$A8)/100,""))))</f>
        <v/>
      </c>
      <c r="R8" s="70" t="str">
        <f>IF($A8="","",IF(COUNTIFS(الإدخال!$A$5:$A$644,R$5,الإدخال!$D$5:$D$644,$A8,الإدخال!$F$5:$F$644,"غائب",الإدخال!$G$5:$G$644,"")&gt;0,"غ",IF(COUNTIFS(الإدخال!$A$5:$A$644,R$5,الإدخال!$D$5:$D$644,$A8,الإدخال!$F$5:$F$644,"معتذر",الإدخال!$G$5:$G$644,"")&gt;0,"ع",IF(SUMIFS(الإدخال!$P$5:$P$644,الإدخال!$A$5:$A$644,R$5,الإدخال!$D$5:$D$644,$A8)&gt;0,SUMIFS(الإدخال!$O$5:$O$644,الإدخال!$A$5:$A$644,R$5,الإدخال!$D$5:$D$644,$A8)/100,""))))</f>
        <v/>
      </c>
      <c r="S8" s="70" t="str">
        <f>IF($A8="","",IF(COUNTIFS(الإدخال!$A$5:$A$644,S$5,الإدخال!$D$5:$D$644,$A8,الإدخال!$F$5:$F$644,"غائب",الإدخال!$G$5:$G$644,"")&gt;0,"غ",IF(COUNTIFS(الإدخال!$A$5:$A$644,S$5,الإدخال!$D$5:$D$644,$A8,الإدخال!$F$5:$F$644,"معتذر",الإدخال!$G$5:$G$644,"")&gt;0,"ع",IF(SUMIFS(الإدخال!$P$5:$P$644,الإدخال!$A$5:$A$644,S$5,الإدخال!$D$5:$D$644,$A8)&gt;0,SUMIFS(الإدخال!$O$5:$O$644,الإدخال!$A$5:$A$644,S$5,الإدخال!$D$5:$D$644,$A8)/100,""))))</f>
        <v/>
      </c>
      <c r="T8" s="71">
        <f>IF($A8="","",IFERROR(SUMIFS(الإدخال!$O$5:$O$644,الإدخال!$D$5:$D$644,$A8)/SUMIFS(الإدخال!$P$5:$P$644,الإدخال!$D$5:$D$644,$A8)/100,""))</f>
        <v>0.47499999999999998</v>
      </c>
      <c r="U8" s="72" t="str">
        <f t="shared" si="0"/>
        <v>يحتاج متابعة</v>
      </c>
      <c r="V8" s="72">
        <f>IF($A8="","",SUMIFS(الإدخال!$N$5:$N$644,الإدخال!$D$5:$D$644,$A8))</f>
        <v>1</v>
      </c>
      <c r="W8" s="73">
        <f>IF($A8="","",COUNTIFS(الإدخال!$D$5:$D$644,$A8,الإدخال!$F$5:$F$644,"متأخر"))</f>
        <v>0</v>
      </c>
      <c r="X8" s="73">
        <f>IF($A8="","",COUNTIFS(الإدخال!$D$5:$D$644,$A8,الإدخال!$F$5:$F$644,"غائب"))</f>
        <v>1</v>
      </c>
      <c r="Y8" s="73">
        <f>IF($A8="","",COUNTIFS(الإدخال!$D$5:$D$644,$A8,الإدخال!$F$5:$F$644,"معتذر"))</f>
        <v>0</v>
      </c>
      <c r="Z8" s="73">
        <f>IF($A8="","",SUMIFS(الإدخال!$H$5:$H$644,الإدخال!$D$5:$D$644,$A8,الإدخال!$N$5:$N$644,1))</f>
        <v>5</v>
      </c>
      <c r="AA8" s="73">
        <f>IF($A8="","",SUMIFS(الإدخال!$I$5:$I$644,الإدخال!$D$5:$D$644,$A8,الإدخال!$N$5:$N$644,1))</f>
        <v>40</v>
      </c>
      <c r="AB8" s="73">
        <f>IF($A8="","",SUMIFS(الإدخال!$J$5:$J$644,الإدخال!$D$5:$D$644,$A8,الإدخال!$N$5:$N$644,1))</f>
        <v>0</v>
      </c>
      <c r="AC8" s="36">
        <f>IFERROR(MATCH($C$3&amp;"|4",الطلاب!$E$5:$E$44,0),"")</f>
        <v>22</v>
      </c>
    </row>
    <row r="9" spans="1:29">
      <c r="A9" s="18">
        <f>IF($AC9="","",INDEX(الطلاب!$A$5:$A$44,$AC9))</f>
        <v>24</v>
      </c>
      <c r="B9" s="68" t="str">
        <f>IF($AC9="","",INDEX(الطلاب!$B$5:$B$44,$AC9))</f>
        <v xml:space="preserve">مروان المهوس </v>
      </c>
      <c r="C9" s="69" t="str">
        <f>IF($AC9="","",INDEX(الطلاب!$D$5:$D$44,$AC9))</f>
        <v xml:space="preserve">ابن رجب </v>
      </c>
      <c r="D9" s="70">
        <f>IF($A9="","",IF(COUNTIFS(الإدخال!$A$5:$A$644,D$5,الإدخال!$D$5:$D$644,$A9,الإدخال!$F$5:$F$644,"غائب",الإدخال!$G$5:$G$644,"")&gt;0,"غ",IF(COUNTIFS(الإدخال!$A$5:$A$644,D$5,الإدخال!$D$5:$D$644,$A9,الإدخال!$F$5:$F$644,"معتذر",الإدخال!$G$5:$G$644,"")&gt;0,"ع",IF(SUMIFS(الإدخال!$P$5:$P$644,الإدخال!$A$5:$A$644,D$5,الإدخال!$D$5:$D$644,$A9)&gt;0,SUMIFS(الإدخال!$O$5:$O$644,الإدخال!$A$5:$A$644,D$5,الإدخال!$D$5:$D$644,$A9)/100,""))))</f>
        <v>1</v>
      </c>
      <c r="E9" s="70" t="str">
        <f>IF($A9="","",IF(COUNTIFS(الإدخال!$A$5:$A$644,E$5,الإدخال!$D$5:$D$644,$A9,الإدخال!$F$5:$F$644,"غائب",الإدخال!$G$5:$G$644,"")&gt;0,"غ",IF(COUNTIFS(الإدخال!$A$5:$A$644,E$5,الإدخال!$D$5:$D$644,$A9,الإدخال!$F$5:$F$644,"معتذر",الإدخال!$G$5:$G$644,"")&gt;0,"ع",IF(SUMIFS(الإدخال!$P$5:$P$644,الإدخال!$A$5:$A$644,E$5,الإدخال!$D$5:$D$644,$A9)&gt;0,SUMIFS(الإدخال!$O$5:$O$644,الإدخال!$A$5:$A$644,E$5,الإدخال!$D$5:$D$644,$A9)/100,""))))</f>
        <v>غ</v>
      </c>
      <c r="F9" s="70" t="str">
        <f>IF($A9="","",IF(COUNTIFS(الإدخال!$A$5:$A$644,F$5,الإدخال!$D$5:$D$644,$A9,الإدخال!$F$5:$F$644,"غائب",الإدخال!$G$5:$G$644,"")&gt;0,"غ",IF(COUNTIFS(الإدخال!$A$5:$A$644,F$5,الإدخال!$D$5:$D$644,$A9,الإدخال!$F$5:$F$644,"معتذر",الإدخال!$G$5:$G$644,"")&gt;0,"ع",IF(SUMIFS(الإدخال!$P$5:$P$644,الإدخال!$A$5:$A$644,F$5,الإدخال!$D$5:$D$644,$A9)&gt;0,SUMIFS(الإدخال!$O$5:$O$644,الإدخال!$A$5:$A$644,F$5,الإدخال!$D$5:$D$644,$A9)/100,""))))</f>
        <v/>
      </c>
      <c r="G9" s="70" t="str">
        <f>IF($A9="","",IF(COUNTIFS(الإدخال!$A$5:$A$644,G$5,الإدخال!$D$5:$D$644,$A9,الإدخال!$F$5:$F$644,"غائب",الإدخال!$G$5:$G$644,"")&gt;0,"غ",IF(COUNTIFS(الإدخال!$A$5:$A$644,G$5,الإدخال!$D$5:$D$644,$A9,الإدخال!$F$5:$F$644,"معتذر",الإدخال!$G$5:$G$644,"")&gt;0,"ع",IF(SUMIFS(الإدخال!$P$5:$P$644,الإدخال!$A$5:$A$644,G$5,الإدخال!$D$5:$D$644,$A9)&gt;0,SUMIFS(الإدخال!$O$5:$O$644,الإدخال!$A$5:$A$644,G$5,الإدخال!$D$5:$D$644,$A9)/100,""))))</f>
        <v/>
      </c>
      <c r="H9" s="70" t="str">
        <f>IF($A9="","",IF(COUNTIFS(الإدخال!$A$5:$A$644,H$5,الإدخال!$D$5:$D$644,$A9,الإدخال!$F$5:$F$644,"غائب",الإدخال!$G$5:$G$644,"")&gt;0,"غ",IF(COUNTIFS(الإدخال!$A$5:$A$644,H$5,الإدخال!$D$5:$D$644,$A9,الإدخال!$F$5:$F$644,"معتذر",الإدخال!$G$5:$G$644,"")&gt;0,"ع",IF(SUMIFS(الإدخال!$P$5:$P$644,الإدخال!$A$5:$A$644,H$5,الإدخال!$D$5:$D$644,$A9)&gt;0,SUMIFS(الإدخال!$O$5:$O$644,الإدخال!$A$5:$A$644,H$5,الإدخال!$D$5:$D$644,$A9)/100,""))))</f>
        <v/>
      </c>
      <c r="I9" s="70" t="str">
        <f>IF($A9="","",IF(COUNTIFS(الإدخال!$A$5:$A$644,I$5,الإدخال!$D$5:$D$644,$A9,الإدخال!$F$5:$F$644,"غائب",الإدخال!$G$5:$G$644,"")&gt;0,"غ",IF(COUNTIFS(الإدخال!$A$5:$A$644,I$5,الإدخال!$D$5:$D$644,$A9,الإدخال!$F$5:$F$644,"معتذر",الإدخال!$G$5:$G$644,"")&gt;0,"ع",IF(SUMIFS(الإدخال!$P$5:$P$644,الإدخال!$A$5:$A$644,I$5,الإدخال!$D$5:$D$644,$A9)&gt;0,SUMIFS(الإدخال!$O$5:$O$644,الإدخال!$A$5:$A$644,I$5,الإدخال!$D$5:$D$644,$A9)/100,""))))</f>
        <v/>
      </c>
      <c r="J9" s="70" t="str">
        <f>IF($A9="","",IF(COUNTIFS(الإدخال!$A$5:$A$644,J$5,الإدخال!$D$5:$D$644,$A9,الإدخال!$F$5:$F$644,"غائب",الإدخال!$G$5:$G$644,"")&gt;0,"غ",IF(COUNTIFS(الإدخال!$A$5:$A$644,J$5,الإدخال!$D$5:$D$644,$A9,الإدخال!$F$5:$F$644,"معتذر",الإدخال!$G$5:$G$644,"")&gt;0,"ع",IF(SUMIFS(الإدخال!$P$5:$P$644,الإدخال!$A$5:$A$644,J$5,الإدخال!$D$5:$D$644,$A9)&gt;0,SUMIFS(الإدخال!$O$5:$O$644,الإدخال!$A$5:$A$644,J$5,الإدخال!$D$5:$D$644,$A9)/100,""))))</f>
        <v/>
      </c>
      <c r="K9" s="70" t="str">
        <f>IF($A9="","",IF(COUNTIFS(الإدخال!$A$5:$A$644,K$5,الإدخال!$D$5:$D$644,$A9,الإدخال!$F$5:$F$644,"غائب",الإدخال!$G$5:$G$644,"")&gt;0,"غ",IF(COUNTIFS(الإدخال!$A$5:$A$644,K$5,الإدخال!$D$5:$D$644,$A9,الإدخال!$F$5:$F$644,"معتذر",الإدخال!$G$5:$G$644,"")&gt;0,"ع",IF(SUMIFS(الإدخال!$P$5:$P$644,الإدخال!$A$5:$A$644,K$5,الإدخال!$D$5:$D$644,$A9)&gt;0,SUMIFS(الإدخال!$O$5:$O$644,الإدخال!$A$5:$A$644,K$5,الإدخال!$D$5:$D$644,$A9)/100,""))))</f>
        <v/>
      </c>
      <c r="L9" s="70" t="str">
        <f>IF($A9="","",IF(COUNTIFS(الإدخال!$A$5:$A$644,L$5,الإدخال!$D$5:$D$644,$A9,الإدخال!$F$5:$F$644,"غائب",الإدخال!$G$5:$G$644,"")&gt;0,"غ",IF(COUNTIFS(الإدخال!$A$5:$A$644,L$5,الإدخال!$D$5:$D$644,$A9,الإدخال!$F$5:$F$644,"معتذر",الإدخال!$G$5:$G$644,"")&gt;0,"ع",IF(SUMIFS(الإدخال!$P$5:$P$644,الإدخال!$A$5:$A$644,L$5,الإدخال!$D$5:$D$644,$A9)&gt;0,SUMIFS(الإدخال!$O$5:$O$644,الإدخال!$A$5:$A$644,L$5,الإدخال!$D$5:$D$644,$A9)/100,""))))</f>
        <v/>
      </c>
      <c r="M9" s="70" t="str">
        <f>IF($A9="","",IF(COUNTIFS(الإدخال!$A$5:$A$644,M$5,الإدخال!$D$5:$D$644,$A9,الإدخال!$F$5:$F$644,"غائب",الإدخال!$G$5:$G$644,"")&gt;0,"غ",IF(COUNTIFS(الإدخال!$A$5:$A$644,M$5,الإدخال!$D$5:$D$644,$A9,الإدخال!$F$5:$F$644,"معتذر",الإدخال!$G$5:$G$644,"")&gt;0,"ع",IF(SUMIFS(الإدخال!$P$5:$P$644,الإدخال!$A$5:$A$644,M$5,الإدخال!$D$5:$D$644,$A9)&gt;0,SUMIFS(الإدخال!$O$5:$O$644,الإدخال!$A$5:$A$644,M$5,الإدخال!$D$5:$D$644,$A9)/100,""))))</f>
        <v/>
      </c>
      <c r="N9" s="70" t="str">
        <f>IF($A9="","",IF(COUNTIFS(الإدخال!$A$5:$A$644,N$5,الإدخال!$D$5:$D$644,$A9,الإدخال!$F$5:$F$644,"غائب",الإدخال!$G$5:$G$644,"")&gt;0,"غ",IF(COUNTIFS(الإدخال!$A$5:$A$644,N$5,الإدخال!$D$5:$D$644,$A9,الإدخال!$F$5:$F$644,"معتذر",الإدخال!$G$5:$G$644,"")&gt;0,"ع",IF(SUMIFS(الإدخال!$P$5:$P$644,الإدخال!$A$5:$A$644,N$5,الإدخال!$D$5:$D$644,$A9)&gt;0,SUMIFS(الإدخال!$O$5:$O$644,الإدخال!$A$5:$A$644,N$5,الإدخال!$D$5:$D$644,$A9)/100,""))))</f>
        <v/>
      </c>
      <c r="O9" s="70" t="str">
        <f>IF($A9="","",IF(COUNTIFS(الإدخال!$A$5:$A$644,O$5,الإدخال!$D$5:$D$644,$A9,الإدخال!$F$5:$F$644,"غائب",الإدخال!$G$5:$G$644,"")&gt;0,"غ",IF(COUNTIFS(الإدخال!$A$5:$A$644,O$5,الإدخال!$D$5:$D$644,$A9,الإدخال!$F$5:$F$644,"معتذر",الإدخال!$G$5:$G$644,"")&gt;0,"ع",IF(SUMIFS(الإدخال!$P$5:$P$644,الإدخال!$A$5:$A$644,O$5,الإدخال!$D$5:$D$644,$A9)&gt;0,SUMIFS(الإدخال!$O$5:$O$644,الإدخال!$A$5:$A$644,O$5,الإدخال!$D$5:$D$644,$A9)/100,""))))</f>
        <v/>
      </c>
      <c r="P9" s="70" t="str">
        <f>IF($A9="","",IF(COUNTIFS(الإدخال!$A$5:$A$644,P$5,الإدخال!$D$5:$D$644,$A9,الإدخال!$F$5:$F$644,"غائب",الإدخال!$G$5:$G$644,"")&gt;0,"غ",IF(COUNTIFS(الإدخال!$A$5:$A$644,P$5,الإدخال!$D$5:$D$644,$A9,الإدخال!$F$5:$F$644,"معتذر",الإدخال!$G$5:$G$644,"")&gt;0,"ع",IF(SUMIFS(الإدخال!$P$5:$P$644,الإدخال!$A$5:$A$644,P$5,الإدخال!$D$5:$D$644,$A9)&gt;0,SUMIFS(الإدخال!$O$5:$O$644,الإدخال!$A$5:$A$644,P$5,الإدخال!$D$5:$D$644,$A9)/100,""))))</f>
        <v/>
      </c>
      <c r="Q9" s="70" t="str">
        <f>IF($A9="","",IF(COUNTIFS(الإدخال!$A$5:$A$644,Q$5,الإدخال!$D$5:$D$644,$A9,الإدخال!$F$5:$F$644,"غائب",الإدخال!$G$5:$G$644,"")&gt;0,"غ",IF(COUNTIFS(الإدخال!$A$5:$A$644,Q$5,الإدخال!$D$5:$D$644,$A9,الإدخال!$F$5:$F$644,"معتذر",الإدخال!$G$5:$G$644,"")&gt;0,"ع",IF(SUMIFS(الإدخال!$P$5:$P$644,الإدخال!$A$5:$A$644,Q$5,الإدخال!$D$5:$D$644,$A9)&gt;0,SUMIFS(الإدخال!$O$5:$O$644,الإدخال!$A$5:$A$644,Q$5,الإدخال!$D$5:$D$644,$A9)/100,""))))</f>
        <v/>
      </c>
      <c r="R9" s="70" t="str">
        <f>IF($A9="","",IF(COUNTIFS(الإدخال!$A$5:$A$644,R$5,الإدخال!$D$5:$D$644,$A9,الإدخال!$F$5:$F$644,"غائب",الإدخال!$G$5:$G$644,"")&gt;0,"غ",IF(COUNTIFS(الإدخال!$A$5:$A$644,R$5,الإدخال!$D$5:$D$644,$A9,الإدخال!$F$5:$F$644,"معتذر",الإدخال!$G$5:$G$644,"")&gt;0,"ع",IF(SUMIFS(الإدخال!$P$5:$P$644,الإدخال!$A$5:$A$644,R$5,الإدخال!$D$5:$D$644,$A9)&gt;0,SUMIFS(الإدخال!$O$5:$O$644,الإدخال!$A$5:$A$644,R$5,الإدخال!$D$5:$D$644,$A9)/100,""))))</f>
        <v/>
      </c>
      <c r="S9" s="70" t="str">
        <f>IF($A9="","",IF(COUNTIFS(الإدخال!$A$5:$A$644,S$5,الإدخال!$D$5:$D$644,$A9,الإدخال!$F$5:$F$644,"غائب",الإدخال!$G$5:$G$644,"")&gt;0,"غ",IF(COUNTIFS(الإدخال!$A$5:$A$644,S$5,الإدخال!$D$5:$D$644,$A9,الإدخال!$F$5:$F$644,"معتذر",الإدخال!$G$5:$G$644,"")&gt;0,"ع",IF(SUMIFS(الإدخال!$P$5:$P$644,الإدخال!$A$5:$A$644,S$5,الإدخال!$D$5:$D$644,$A9)&gt;0,SUMIFS(الإدخال!$O$5:$O$644,الإدخال!$A$5:$A$644,S$5,الإدخال!$D$5:$D$644,$A9)/100,""))))</f>
        <v/>
      </c>
      <c r="T9" s="71">
        <f>IF($A9="","",IFERROR(SUMIFS(الإدخال!$O$5:$O$644,الإدخال!$D$5:$D$644,$A9)/SUMIFS(الإدخال!$P$5:$P$644,الإدخال!$D$5:$D$644,$A9)/100,""))</f>
        <v>0.5</v>
      </c>
      <c r="U9" s="72" t="str">
        <f t="shared" si="0"/>
        <v>يحتاج متابعة</v>
      </c>
      <c r="V9" s="72">
        <f>IF($A9="","",SUMIFS(الإدخال!$N$5:$N$644,الإدخال!$D$5:$D$644,$A9))</f>
        <v>1</v>
      </c>
      <c r="W9" s="73">
        <f>IF($A9="","",COUNTIFS(الإدخال!$D$5:$D$644,$A9,الإدخال!$F$5:$F$644,"متأخر"))</f>
        <v>0</v>
      </c>
      <c r="X9" s="73">
        <f>IF($A9="","",COUNTIFS(الإدخال!$D$5:$D$644,$A9,الإدخال!$F$5:$F$644,"غائب"))</f>
        <v>1</v>
      </c>
      <c r="Y9" s="73">
        <f>IF($A9="","",COUNTIFS(الإدخال!$D$5:$D$644,$A9,الإدخال!$F$5:$F$644,"معتذر"))</f>
        <v>0</v>
      </c>
      <c r="Z9" s="73">
        <f>IF($A9="","",SUMIFS(الإدخال!$H$5:$H$644,الإدخال!$D$5:$D$644,$A9,الإدخال!$N$5:$N$644,1))</f>
        <v>5</v>
      </c>
      <c r="AA9" s="73">
        <f>IF($A9="","",SUMIFS(الإدخال!$I$5:$I$644,الإدخال!$D$5:$D$644,$A9,الإدخال!$N$5:$N$644,1))</f>
        <v>10</v>
      </c>
      <c r="AB9" s="73">
        <f>IF($A9="","",SUMIFS(الإدخال!$J$5:$J$644,الإدخال!$D$5:$D$644,$A9,الإدخال!$N$5:$N$644,1))</f>
        <v>0</v>
      </c>
      <c r="AC9" s="36">
        <f>IFERROR(MATCH($C$3&amp;"|5",الطلاب!$E$5:$E$44,0),"")</f>
        <v>24</v>
      </c>
    </row>
    <row r="10" spans="1:29">
      <c r="A10" s="18">
        <f>IF($AC10="","",INDEX(الطلاب!$A$5:$A$44,$AC10))</f>
        <v>25</v>
      </c>
      <c r="B10" s="68" t="str">
        <f>IF($AC10="","",INDEX(الطلاب!$B$5:$B$44,$AC10))</f>
        <v>جهاد الجدعان</v>
      </c>
      <c r="C10" s="69" t="str">
        <f>IF($AC10="","",INDEX(الطلاب!$D$5:$D$44,$AC10))</f>
        <v xml:space="preserve">ابن رجب </v>
      </c>
      <c r="D10" s="70">
        <f>IF($A10="","",IF(COUNTIFS(الإدخال!$A$5:$A$644,D$5,الإدخال!$D$5:$D$644,$A10,الإدخال!$F$5:$F$644,"غائب",الإدخال!$G$5:$G$644,"")&gt;0,"غ",IF(COUNTIFS(الإدخال!$A$5:$A$644,D$5,الإدخال!$D$5:$D$644,$A10,الإدخال!$F$5:$F$644,"معتذر",الإدخال!$G$5:$G$644,"")&gt;0,"ع",IF(SUMIFS(الإدخال!$P$5:$P$644,الإدخال!$A$5:$A$644,D$5,الإدخال!$D$5:$D$644,$A10)&gt;0,SUMIFS(الإدخال!$O$5:$O$644,الإدخال!$A$5:$A$644,D$5,الإدخال!$D$5:$D$644,$A10)/100,""))))</f>
        <v>0.88</v>
      </c>
      <c r="E10" s="70">
        <f>IF($A10="","",IF(COUNTIFS(الإدخال!$A$5:$A$644,E$5,الإدخال!$D$5:$D$644,$A10,الإدخال!$F$5:$F$644,"غائب",الإدخال!$G$5:$G$644,"")&gt;0,"غ",IF(COUNTIFS(الإدخال!$A$5:$A$644,E$5,الإدخال!$D$5:$D$644,$A10,الإدخال!$F$5:$F$644,"معتذر",الإدخال!$G$5:$G$644,"")&gt;0,"ع",IF(SUMIFS(الإدخال!$P$5:$P$644,الإدخال!$A$5:$A$644,E$5,الإدخال!$D$5:$D$644,$A10)&gt;0,SUMIFS(الإدخال!$O$5:$O$644,الإدخال!$A$5:$A$644,E$5,الإدخال!$D$5:$D$644,$A10)/100,""))))</f>
        <v>0.92</v>
      </c>
      <c r="F10" s="70" t="str">
        <f>IF($A10="","",IF(COUNTIFS(الإدخال!$A$5:$A$644,F$5,الإدخال!$D$5:$D$644,$A10,الإدخال!$F$5:$F$644,"غائب",الإدخال!$G$5:$G$644,"")&gt;0,"غ",IF(COUNTIFS(الإدخال!$A$5:$A$644,F$5,الإدخال!$D$5:$D$644,$A10,الإدخال!$F$5:$F$644,"معتذر",الإدخال!$G$5:$G$644,"")&gt;0,"ع",IF(SUMIFS(الإدخال!$P$5:$P$644,الإدخال!$A$5:$A$644,F$5,الإدخال!$D$5:$D$644,$A10)&gt;0,SUMIFS(الإدخال!$O$5:$O$644,الإدخال!$A$5:$A$644,F$5,الإدخال!$D$5:$D$644,$A10)/100,""))))</f>
        <v/>
      </c>
      <c r="G10" s="70" t="str">
        <f>IF($A10="","",IF(COUNTIFS(الإدخال!$A$5:$A$644,G$5,الإدخال!$D$5:$D$644,$A10,الإدخال!$F$5:$F$644,"غائب",الإدخال!$G$5:$G$644,"")&gt;0,"غ",IF(COUNTIFS(الإدخال!$A$5:$A$644,G$5,الإدخال!$D$5:$D$644,$A10,الإدخال!$F$5:$F$644,"معتذر",الإدخال!$G$5:$G$644,"")&gt;0,"ع",IF(SUMIFS(الإدخال!$P$5:$P$644,الإدخال!$A$5:$A$644,G$5,الإدخال!$D$5:$D$644,$A10)&gt;0,SUMIFS(الإدخال!$O$5:$O$644,الإدخال!$A$5:$A$644,G$5,الإدخال!$D$5:$D$644,$A10)/100,""))))</f>
        <v/>
      </c>
      <c r="H10" s="70" t="str">
        <f>IF($A10="","",IF(COUNTIFS(الإدخال!$A$5:$A$644,H$5,الإدخال!$D$5:$D$644,$A10,الإدخال!$F$5:$F$644,"غائب",الإدخال!$G$5:$G$644,"")&gt;0,"غ",IF(COUNTIFS(الإدخال!$A$5:$A$644,H$5,الإدخال!$D$5:$D$644,$A10,الإدخال!$F$5:$F$644,"معتذر",الإدخال!$G$5:$G$644,"")&gt;0,"ع",IF(SUMIFS(الإدخال!$P$5:$P$644,الإدخال!$A$5:$A$644,H$5,الإدخال!$D$5:$D$644,$A10)&gt;0,SUMIFS(الإدخال!$O$5:$O$644,الإدخال!$A$5:$A$644,H$5,الإدخال!$D$5:$D$644,$A10)/100,""))))</f>
        <v/>
      </c>
      <c r="I10" s="70" t="str">
        <f>IF($A10="","",IF(COUNTIFS(الإدخال!$A$5:$A$644,I$5,الإدخال!$D$5:$D$644,$A10,الإدخال!$F$5:$F$644,"غائب",الإدخال!$G$5:$G$644,"")&gt;0,"غ",IF(COUNTIFS(الإدخال!$A$5:$A$644,I$5,الإدخال!$D$5:$D$644,$A10,الإدخال!$F$5:$F$644,"معتذر",الإدخال!$G$5:$G$644,"")&gt;0,"ع",IF(SUMIFS(الإدخال!$P$5:$P$644,الإدخال!$A$5:$A$644,I$5,الإدخال!$D$5:$D$644,$A10)&gt;0,SUMIFS(الإدخال!$O$5:$O$644,الإدخال!$A$5:$A$644,I$5,الإدخال!$D$5:$D$644,$A10)/100,""))))</f>
        <v/>
      </c>
      <c r="J10" s="70" t="str">
        <f>IF($A10="","",IF(COUNTIFS(الإدخال!$A$5:$A$644,J$5,الإدخال!$D$5:$D$644,$A10,الإدخال!$F$5:$F$644,"غائب",الإدخال!$G$5:$G$644,"")&gt;0,"غ",IF(COUNTIFS(الإدخال!$A$5:$A$644,J$5,الإدخال!$D$5:$D$644,$A10,الإدخال!$F$5:$F$644,"معتذر",الإدخال!$G$5:$G$644,"")&gt;0,"ع",IF(SUMIFS(الإدخال!$P$5:$P$644,الإدخال!$A$5:$A$644,J$5,الإدخال!$D$5:$D$644,$A10)&gt;0,SUMIFS(الإدخال!$O$5:$O$644,الإدخال!$A$5:$A$644,J$5,الإدخال!$D$5:$D$644,$A10)/100,""))))</f>
        <v/>
      </c>
      <c r="K10" s="70" t="str">
        <f>IF($A10="","",IF(COUNTIFS(الإدخال!$A$5:$A$644,K$5,الإدخال!$D$5:$D$644,$A10,الإدخال!$F$5:$F$644,"غائب",الإدخال!$G$5:$G$644,"")&gt;0,"غ",IF(COUNTIFS(الإدخال!$A$5:$A$644,K$5,الإدخال!$D$5:$D$644,$A10,الإدخال!$F$5:$F$644,"معتذر",الإدخال!$G$5:$G$644,"")&gt;0,"ع",IF(SUMIFS(الإدخال!$P$5:$P$644,الإدخال!$A$5:$A$644,K$5,الإدخال!$D$5:$D$644,$A10)&gt;0,SUMIFS(الإدخال!$O$5:$O$644,الإدخال!$A$5:$A$644,K$5,الإدخال!$D$5:$D$644,$A10)/100,""))))</f>
        <v/>
      </c>
      <c r="L10" s="70" t="str">
        <f>IF($A10="","",IF(COUNTIFS(الإدخال!$A$5:$A$644,L$5,الإدخال!$D$5:$D$644,$A10,الإدخال!$F$5:$F$644,"غائب",الإدخال!$G$5:$G$644,"")&gt;0,"غ",IF(COUNTIFS(الإدخال!$A$5:$A$644,L$5,الإدخال!$D$5:$D$644,$A10,الإدخال!$F$5:$F$644,"معتذر",الإدخال!$G$5:$G$644,"")&gt;0,"ع",IF(SUMIFS(الإدخال!$P$5:$P$644,الإدخال!$A$5:$A$644,L$5,الإدخال!$D$5:$D$644,$A10)&gt;0,SUMIFS(الإدخال!$O$5:$O$644,الإدخال!$A$5:$A$644,L$5,الإدخال!$D$5:$D$644,$A10)/100,""))))</f>
        <v/>
      </c>
      <c r="M10" s="70" t="str">
        <f>IF($A10="","",IF(COUNTIFS(الإدخال!$A$5:$A$644,M$5,الإدخال!$D$5:$D$644,$A10,الإدخال!$F$5:$F$644,"غائب",الإدخال!$G$5:$G$644,"")&gt;0,"غ",IF(COUNTIFS(الإدخال!$A$5:$A$644,M$5,الإدخال!$D$5:$D$644,$A10,الإدخال!$F$5:$F$644,"معتذر",الإدخال!$G$5:$G$644,"")&gt;0,"ع",IF(SUMIFS(الإدخال!$P$5:$P$644,الإدخال!$A$5:$A$644,M$5,الإدخال!$D$5:$D$644,$A10)&gt;0,SUMIFS(الإدخال!$O$5:$O$644,الإدخال!$A$5:$A$644,M$5,الإدخال!$D$5:$D$644,$A10)/100,""))))</f>
        <v/>
      </c>
      <c r="N10" s="70" t="str">
        <f>IF($A10="","",IF(COUNTIFS(الإدخال!$A$5:$A$644,N$5,الإدخال!$D$5:$D$644,$A10,الإدخال!$F$5:$F$644,"غائب",الإدخال!$G$5:$G$644,"")&gt;0,"غ",IF(COUNTIFS(الإدخال!$A$5:$A$644,N$5,الإدخال!$D$5:$D$644,$A10,الإدخال!$F$5:$F$644,"معتذر",الإدخال!$G$5:$G$644,"")&gt;0,"ع",IF(SUMIFS(الإدخال!$P$5:$P$644,الإدخال!$A$5:$A$644,N$5,الإدخال!$D$5:$D$644,$A10)&gt;0,SUMIFS(الإدخال!$O$5:$O$644,الإدخال!$A$5:$A$644,N$5,الإدخال!$D$5:$D$644,$A10)/100,""))))</f>
        <v/>
      </c>
      <c r="O10" s="70" t="str">
        <f>IF($A10="","",IF(COUNTIFS(الإدخال!$A$5:$A$644,O$5,الإدخال!$D$5:$D$644,$A10,الإدخال!$F$5:$F$644,"غائب",الإدخال!$G$5:$G$644,"")&gt;0,"غ",IF(COUNTIFS(الإدخال!$A$5:$A$644,O$5,الإدخال!$D$5:$D$644,$A10,الإدخال!$F$5:$F$644,"معتذر",الإدخال!$G$5:$G$644,"")&gt;0,"ع",IF(SUMIFS(الإدخال!$P$5:$P$644,الإدخال!$A$5:$A$644,O$5,الإدخال!$D$5:$D$644,$A10)&gt;0,SUMIFS(الإدخال!$O$5:$O$644,الإدخال!$A$5:$A$644,O$5,الإدخال!$D$5:$D$644,$A10)/100,""))))</f>
        <v/>
      </c>
      <c r="P10" s="70" t="str">
        <f>IF($A10="","",IF(COUNTIFS(الإدخال!$A$5:$A$644,P$5,الإدخال!$D$5:$D$644,$A10,الإدخال!$F$5:$F$644,"غائب",الإدخال!$G$5:$G$644,"")&gt;0,"غ",IF(COUNTIFS(الإدخال!$A$5:$A$644,P$5,الإدخال!$D$5:$D$644,$A10,الإدخال!$F$5:$F$644,"معتذر",الإدخال!$G$5:$G$644,"")&gt;0,"ع",IF(SUMIFS(الإدخال!$P$5:$P$644,الإدخال!$A$5:$A$644,P$5,الإدخال!$D$5:$D$644,$A10)&gt;0,SUMIFS(الإدخال!$O$5:$O$644,الإدخال!$A$5:$A$644,P$5,الإدخال!$D$5:$D$644,$A10)/100,""))))</f>
        <v/>
      </c>
      <c r="Q10" s="70" t="str">
        <f>IF($A10="","",IF(COUNTIFS(الإدخال!$A$5:$A$644,Q$5,الإدخال!$D$5:$D$644,$A10,الإدخال!$F$5:$F$644,"غائب",الإدخال!$G$5:$G$644,"")&gt;0,"غ",IF(COUNTIFS(الإدخال!$A$5:$A$644,Q$5,الإدخال!$D$5:$D$644,$A10,الإدخال!$F$5:$F$644,"معتذر",الإدخال!$G$5:$G$644,"")&gt;0,"ع",IF(SUMIFS(الإدخال!$P$5:$P$644,الإدخال!$A$5:$A$644,Q$5,الإدخال!$D$5:$D$644,$A10)&gt;0,SUMIFS(الإدخال!$O$5:$O$644,الإدخال!$A$5:$A$644,Q$5,الإدخال!$D$5:$D$644,$A10)/100,""))))</f>
        <v/>
      </c>
      <c r="R10" s="70" t="str">
        <f>IF($A10="","",IF(COUNTIFS(الإدخال!$A$5:$A$644,R$5,الإدخال!$D$5:$D$644,$A10,الإدخال!$F$5:$F$644,"غائب",الإدخال!$G$5:$G$644,"")&gt;0,"غ",IF(COUNTIFS(الإدخال!$A$5:$A$644,R$5,الإدخال!$D$5:$D$644,$A10,الإدخال!$F$5:$F$644,"معتذر",الإدخال!$G$5:$G$644,"")&gt;0,"ع",IF(SUMIFS(الإدخال!$P$5:$P$644,الإدخال!$A$5:$A$644,R$5,الإدخال!$D$5:$D$644,$A10)&gt;0,SUMIFS(الإدخال!$O$5:$O$644,الإدخال!$A$5:$A$644,R$5,الإدخال!$D$5:$D$644,$A10)/100,""))))</f>
        <v/>
      </c>
      <c r="S10" s="70" t="str">
        <f>IF($A10="","",IF(COUNTIFS(الإدخال!$A$5:$A$644,S$5,الإدخال!$D$5:$D$644,$A10,الإدخال!$F$5:$F$644,"غائب",الإدخال!$G$5:$G$644,"")&gt;0,"غ",IF(COUNTIFS(الإدخال!$A$5:$A$644,S$5,الإدخال!$D$5:$D$644,$A10,الإدخال!$F$5:$F$644,"معتذر",الإدخال!$G$5:$G$644,"")&gt;0,"ع",IF(SUMIFS(الإدخال!$P$5:$P$644,الإدخال!$A$5:$A$644,S$5,الإدخال!$D$5:$D$644,$A10)&gt;0,SUMIFS(الإدخال!$O$5:$O$644,الإدخال!$A$5:$A$644,S$5,الإدخال!$D$5:$D$644,$A10)/100,""))))</f>
        <v/>
      </c>
      <c r="T10" s="71">
        <f>IF($A10="","",IFERROR(SUMIFS(الإدخال!$O$5:$O$644,الإدخال!$D$5:$D$644,$A10)/SUMIFS(الإدخال!$P$5:$P$644,الإدخال!$D$5:$D$644,$A10)/100,""))</f>
        <v>0.9</v>
      </c>
      <c r="U10" s="72" t="str">
        <f t="shared" si="0"/>
        <v>ممتاز</v>
      </c>
      <c r="V10" s="72">
        <f>IF($A10="","",SUMIFS(الإدخال!$N$5:$N$644,الإدخال!$D$5:$D$644,$A10))</f>
        <v>2</v>
      </c>
      <c r="W10" s="73">
        <f>IF($A10="","",COUNTIFS(الإدخال!$D$5:$D$644,$A10,الإدخال!$F$5:$F$644,"متأخر"))</f>
        <v>0</v>
      </c>
      <c r="X10" s="73">
        <f>IF($A10="","",COUNTIFS(الإدخال!$D$5:$D$644,$A10,الإدخال!$F$5:$F$644,"غائب"))</f>
        <v>0</v>
      </c>
      <c r="Y10" s="73">
        <f>IF($A10="","",COUNTIFS(الإدخال!$D$5:$D$644,$A10,الإدخال!$F$5:$F$644,"معتذر"))</f>
        <v>0</v>
      </c>
      <c r="Z10" s="73">
        <f>IF($A10="","",SUMIFS(الإدخال!$H$5:$H$644,الإدخال!$D$5:$D$644,$A10,الإدخال!$N$5:$N$644,1))</f>
        <v>10</v>
      </c>
      <c r="AA10" s="73">
        <f>IF($A10="","",SUMIFS(الإدخال!$I$5:$I$644,الإدخال!$D$5:$D$644,$A10,الإدخال!$N$5:$N$644,1))</f>
        <v>40</v>
      </c>
      <c r="AB10" s="73">
        <f>IF($A10="","",SUMIFS(الإدخال!$J$5:$J$644,الإدخال!$D$5:$D$644,$A10,الإدخال!$N$5:$N$644,1))</f>
        <v>0</v>
      </c>
      <c r="AC10" s="36">
        <f>IFERROR(MATCH($C$3&amp;"|6",الطلاب!$E$5:$E$44,0),"")</f>
        <v>25</v>
      </c>
    </row>
    <row r="11" spans="1:29">
      <c r="A11" s="18">
        <f>IF($AC11="","",INDEX(الطلاب!$A$5:$A$44,$AC11))</f>
        <v>26</v>
      </c>
      <c r="B11" s="68" t="str">
        <f>IF($AC11="","",INDEX(الطلاب!$B$5:$B$44,$AC11))</f>
        <v>صلاح مسعد</v>
      </c>
      <c r="C11" s="69" t="str">
        <f>IF($AC11="","",INDEX(الطلاب!$D$5:$D$44,$AC11))</f>
        <v xml:space="preserve">ابن رجب </v>
      </c>
      <c r="D11" s="70">
        <f>IF($A11="","",IF(COUNTIFS(الإدخال!$A$5:$A$644,D$5,الإدخال!$D$5:$D$644,$A11,الإدخال!$F$5:$F$644,"غائب",الإدخال!$G$5:$G$644,"")&gt;0,"غ",IF(COUNTIFS(الإدخال!$A$5:$A$644,D$5,الإدخال!$D$5:$D$644,$A11,الإدخال!$F$5:$F$644,"معتذر",الإدخال!$G$5:$G$644,"")&gt;0,"ع",IF(SUMIFS(الإدخال!$P$5:$P$644,الإدخال!$A$5:$A$644,D$5,الإدخال!$D$5:$D$644,$A11)&gt;0,SUMIFS(الإدخال!$O$5:$O$644,الإدخال!$A$5:$A$644,D$5,الإدخال!$D$5:$D$644,$A11)/100,""))))</f>
        <v>0.83</v>
      </c>
      <c r="E11" s="70">
        <f>IF($A11="","",IF(COUNTIFS(الإدخال!$A$5:$A$644,E$5,الإدخال!$D$5:$D$644,$A11,الإدخال!$F$5:$F$644,"غائب",الإدخال!$G$5:$G$644,"")&gt;0,"غ",IF(COUNTIFS(الإدخال!$A$5:$A$644,E$5,الإدخال!$D$5:$D$644,$A11,الإدخال!$F$5:$F$644,"معتذر",الإدخال!$G$5:$G$644,"")&gt;0,"ع",IF(SUMIFS(الإدخال!$P$5:$P$644,الإدخال!$A$5:$A$644,E$5,الإدخال!$D$5:$D$644,$A11)&gt;0,SUMIFS(الإدخال!$O$5:$O$644,الإدخال!$A$5:$A$644,E$5,الإدخال!$D$5:$D$644,$A11)/100,""))))</f>
        <v>0.25</v>
      </c>
      <c r="F11" s="70" t="str">
        <f>IF($A11="","",IF(COUNTIFS(الإدخال!$A$5:$A$644,F$5,الإدخال!$D$5:$D$644,$A11,الإدخال!$F$5:$F$644,"غائب",الإدخال!$G$5:$G$644,"")&gt;0,"غ",IF(COUNTIFS(الإدخال!$A$5:$A$644,F$5,الإدخال!$D$5:$D$644,$A11,الإدخال!$F$5:$F$644,"معتذر",الإدخال!$G$5:$G$644,"")&gt;0,"ع",IF(SUMIFS(الإدخال!$P$5:$P$644,الإدخال!$A$5:$A$644,F$5,الإدخال!$D$5:$D$644,$A11)&gt;0,SUMIFS(الإدخال!$O$5:$O$644,الإدخال!$A$5:$A$644,F$5,الإدخال!$D$5:$D$644,$A11)/100,""))))</f>
        <v/>
      </c>
      <c r="G11" s="70" t="str">
        <f>IF($A11="","",IF(COUNTIFS(الإدخال!$A$5:$A$644,G$5,الإدخال!$D$5:$D$644,$A11,الإدخال!$F$5:$F$644,"غائب",الإدخال!$G$5:$G$644,"")&gt;0,"غ",IF(COUNTIFS(الإدخال!$A$5:$A$644,G$5,الإدخال!$D$5:$D$644,$A11,الإدخال!$F$5:$F$644,"معتذر",الإدخال!$G$5:$G$644,"")&gt;0,"ع",IF(SUMIFS(الإدخال!$P$5:$P$644,الإدخال!$A$5:$A$644,G$5,الإدخال!$D$5:$D$644,$A11)&gt;0,SUMIFS(الإدخال!$O$5:$O$644,الإدخال!$A$5:$A$644,G$5,الإدخال!$D$5:$D$644,$A11)/100,""))))</f>
        <v/>
      </c>
      <c r="H11" s="70" t="str">
        <f>IF($A11="","",IF(COUNTIFS(الإدخال!$A$5:$A$644,H$5,الإدخال!$D$5:$D$644,$A11,الإدخال!$F$5:$F$644,"غائب",الإدخال!$G$5:$G$644,"")&gt;0,"غ",IF(COUNTIFS(الإدخال!$A$5:$A$644,H$5,الإدخال!$D$5:$D$644,$A11,الإدخال!$F$5:$F$644,"معتذر",الإدخال!$G$5:$G$644,"")&gt;0,"ع",IF(SUMIFS(الإدخال!$P$5:$P$644,الإدخال!$A$5:$A$644,H$5,الإدخال!$D$5:$D$644,$A11)&gt;0,SUMIFS(الإدخال!$O$5:$O$644,الإدخال!$A$5:$A$644,H$5,الإدخال!$D$5:$D$644,$A11)/100,""))))</f>
        <v/>
      </c>
      <c r="I11" s="70" t="str">
        <f>IF($A11="","",IF(COUNTIFS(الإدخال!$A$5:$A$644,I$5,الإدخال!$D$5:$D$644,$A11,الإدخال!$F$5:$F$644,"غائب",الإدخال!$G$5:$G$644,"")&gt;0,"غ",IF(COUNTIFS(الإدخال!$A$5:$A$644,I$5,الإدخال!$D$5:$D$644,$A11,الإدخال!$F$5:$F$644,"معتذر",الإدخال!$G$5:$G$644,"")&gt;0,"ع",IF(SUMIFS(الإدخال!$P$5:$P$644,الإدخال!$A$5:$A$644,I$5,الإدخال!$D$5:$D$644,$A11)&gt;0,SUMIFS(الإدخال!$O$5:$O$644,الإدخال!$A$5:$A$644,I$5,الإدخال!$D$5:$D$644,$A11)/100,""))))</f>
        <v/>
      </c>
      <c r="J11" s="70" t="str">
        <f>IF($A11="","",IF(COUNTIFS(الإدخال!$A$5:$A$644,J$5,الإدخال!$D$5:$D$644,$A11,الإدخال!$F$5:$F$644,"غائب",الإدخال!$G$5:$G$644,"")&gt;0,"غ",IF(COUNTIFS(الإدخال!$A$5:$A$644,J$5,الإدخال!$D$5:$D$644,$A11,الإدخال!$F$5:$F$644,"معتذر",الإدخال!$G$5:$G$644,"")&gt;0,"ع",IF(SUMIFS(الإدخال!$P$5:$P$644,الإدخال!$A$5:$A$644,J$5,الإدخال!$D$5:$D$644,$A11)&gt;0,SUMIFS(الإدخال!$O$5:$O$644,الإدخال!$A$5:$A$644,J$5,الإدخال!$D$5:$D$644,$A11)/100,""))))</f>
        <v/>
      </c>
      <c r="K11" s="70" t="str">
        <f>IF($A11="","",IF(COUNTIFS(الإدخال!$A$5:$A$644,K$5,الإدخال!$D$5:$D$644,$A11,الإدخال!$F$5:$F$644,"غائب",الإدخال!$G$5:$G$644,"")&gt;0,"غ",IF(COUNTIFS(الإدخال!$A$5:$A$644,K$5,الإدخال!$D$5:$D$644,$A11,الإدخال!$F$5:$F$644,"معتذر",الإدخال!$G$5:$G$644,"")&gt;0,"ع",IF(SUMIFS(الإدخال!$P$5:$P$644,الإدخال!$A$5:$A$644,K$5,الإدخال!$D$5:$D$644,$A11)&gt;0,SUMIFS(الإدخال!$O$5:$O$644,الإدخال!$A$5:$A$644,K$5,الإدخال!$D$5:$D$644,$A11)/100,""))))</f>
        <v/>
      </c>
      <c r="L11" s="70" t="str">
        <f>IF($A11="","",IF(COUNTIFS(الإدخال!$A$5:$A$644,L$5,الإدخال!$D$5:$D$644,$A11,الإدخال!$F$5:$F$644,"غائب",الإدخال!$G$5:$G$644,"")&gt;0,"غ",IF(COUNTIFS(الإدخال!$A$5:$A$644,L$5,الإدخال!$D$5:$D$644,$A11,الإدخال!$F$5:$F$644,"معتذر",الإدخال!$G$5:$G$644,"")&gt;0,"ع",IF(SUMIFS(الإدخال!$P$5:$P$644,الإدخال!$A$5:$A$644,L$5,الإدخال!$D$5:$D$644,$A11)&gt;0,SUMIFS(الإدخال!$O$5:$O$644,الإدخال!$A$5:$A$644,L$5,الإدخال!$D$5:$D$644,$A11)/100,""))))</f>
        <v/>
      </c>
      <c r="M11" s="70" t="str">
        <f>IF($A11="","",IF(COUNTIFS(الإدخال!$A$5:$A$644,M$5,الإدخال!$D$5:$D$644,$A11,الإدخال!$F$5:$F$644,"غائب",الإدخال!$G$5:$G$644,"")&gt;0,"غ",IF(COUNTIFS(الإدخال!$A$5:$A$644,M$5,الإدخال!$D$5:$D$644,$A11,الإدخال!$F$5:$F$644,"معتذر",الإدخال!$G$5:$G$644,"")&gt;0,"ع",IF(SUMIFS(الإدخال!$P$5:$P$644,الإدخال!$A$5:$A$644,M$5,الإدخال!$D$5:$D$644,$A11)&gt;0,SUMIFS(الإدخال!$O$5:$O$644,الإدخال!$A$5:$A$644,M$5,الإدخال!$D$5:$D$644,$A11)/100,""))))</f>
        <v/>
      </c>
      <c r="N11" s="70" t="str">
        <f>IF($A11="","",IF(COUNTIFS(الإدخال!$A$5:$A$644,N$5,الإدخال!$D$5:$D$644,$A11,الإدخال!$F$5:$F$644,"غائب",الإدخال!$G$5:$G$644,"")&gt;0,"غ",IF(COUNTIFS(الإدخال!$A$5:$A$644,N$5,الإدخال!$D$5:$D$644,$A11,الإدخال!$F$5:$F$644,"معتذر",الإدخال!$G$5:$G$644,"")&gt;0,"ع",IF(SUMIFS(الإدخال!$P$5:$P$644,الإدخال!$A$5:$A$644,N$5,الإدخال!$D$5:$D$644,$A11)&gt;0,SUMIFS(الإدخال!$O$5:$O$644,الإدخال!$A$5:$A$644,N$5,الإدخال!$D$5:$D$644,$A11)/100,""))))</f>
        <v/>
      </c>
      <c r="O11" s="70" t="str">
        <f>IF($A11="","",IF(COUNTIFS(الإدخال!$A$5:$A$644,O$5,الإدخال!$D$5:$D$644,$A11,الإدخال!$F$5:$F$644,"غائب",الإدخال!$G$5:$G$644,"")&gt;0,"غ",IF(COUNTIFS(الإدخال!$A$5:$A$644,O$5,الإدخال!$D$5:$D$644,$A11,الإدخال!$F$5:$F$644,"معتذر",الإدخال!$G$5:$G$644,"")&gt;0,"ع",IF(SUMIFS(الإدخال!$P$5:$P$644,الإدخال!$A$5:$A$644,O$5,الإدخال!$D$5:$D$644,$A11)&gt;0,SUMIFS(الإدخال!$O$5:$O$644,الإدخال!$A$5:$A$644,O$5,الإدخال!$D$5:$D$644,$A11)/100,""))))</f>
        <v/>
      </c>
      <c r="P11" s="70" t="str">
        <f>IF($A11="","",IF(COUNTIFS(الإدخال!$A$5:$A$644,P$5,الإدخال!$D$5:$D$644,$A11,الإدخال!$F$5:$F$644,"غائب",الإدخال!$G$5:$G$644,"")&gt;0,"غ",IF(COUNTIFS(الإدخال!$A$5:$A$644,P$5,الإدخال!$D$5:$D$644,$A11,الإدخال!$F$5:$F$644,"معتذر",الإدخال!$G$5:$G$644,"")&gt;0,"ع",IF(SUMIFS(الإدخال!$P$5:$P$644,الإدخال!$A$5:$A$644,P$5,الإدخال!$D$5:$D$644,$A11)&gt;0,SUMIFS(الإدخال!$O$5:$O$644,الإدخال!$A$5:$A$644,P$5,الإدخال!$D$5:$D$644,$A11)/100,""))))</f>
        <v/>
      </c>
      <c r="Q11" s="70" t="str">
        <f>IF($A11="","",IF(COUNTIFS(الإدخال!$A$5:$A$644,Q$5,الإدخال!$D$5:$D$644,$A11,الإدخال!$F$5:$F$644,"غائب",الإدخال!$G$5:$G$644,"")&gt;0,"غ",IF(COUNTIFS(الإدخال!$A$5:$A$644,Q$5,الإدخال!$D$5:$D$644,$A11,الإدخال!$F$5:$F$644,"معتذر",الإدخال!$G$5:$G$644,"")&gt;0,"ع",IF(SUMIFS(الإدخال!$P$5:$P$644,الإدخال!$A$5:$A$644,Q$5,الإدخال!$D$5:$D$644,$A11)&gt;0,SUMIFS(الإدخال!$O$5:$O$644,الإدخال!$A$5:$A$644,Q$5,الإدخال!$D$5:$D$644,$A11)/100,""))))</f>
        <v/>
      </c>
      <c r="R11" s="70" t="str">
        <f>IF($A11="","",IF(COUNTIFS(الإدخال!$A$5:$A$644,R$5,الإدخال!$D$5:$D$644,$A11,الإدخال!$F$5:$F$644,"غائب",الإدخال!$G$5:$G$644,"")&gt;0,"غ",IF(COUNTIFS(الإدخال!$A$5:$A$644,R$5,الإدخال!$D$5:$D$644,$A11,الإدخال!$F$5:$F$644,"معتذر",الإدخال!$G$5:$G$644,"")&gt;0,"ع",IF(SUMIFS(الإدخال!$P$5:$P$644,الإدخال!$A$5:$A$644,R$5,الإدخال!$D$5:$D$644,$A11)&gt;0,SUMIFS(الإدخال!$O$5:$O$644,الإدخال!$A$5:$A$644,R$5,الإدخال!$D$5:$D$644,$A11)/100,""))))</f>
        <v/>
      </c>
      <c r="S11" s="70" t="str">
        <f>IF($A11="","",IF(COUNTIFS(الإدخال!$A$5:$A$644,S$5,الإدخال!$D$5:$D$644,$A11,الإدخال!$F$5:$F$644,"غائب",الإدخال!$G$5:$G$644,"")&gt;0,"غ",IF(COUNTIFS(الإدخال!$A$5:$A$644,S$5,الإدخال!$D$5:$D$644,$A11,الإدخال!$F$5:$F$644,"معتذر",الإدخال!$G$5:$G$644,"")&gt;0,"ع",IF(SUMIFS(الإدخال!$P$5:$P$644,الإدخال!$A$5:$A$644,S$5,الإدخال!$D$5:$D$644,$A11)&gt;0,SUMIFS(الإدخال!$O$5:$O$644,الإدخال!$A$5:$A$644,S$5,الإدخال!$D$5:$D$644,$A11)/100,""))))</f>
        <v/>
      </c>
      <c r="T11" s="71">
        <f>IF($A11="","",IFERROR(SUMIFS(الإدخال!$O$5:$O$644,الإدخال!$D$5:$D$644,$A11)/SUMIFS(الإدخال!$P$5:$P$644,الإدخال!$D$5:$D$644,$A11)/100,""))</f>
        <v>0.54</v>
      </c>
      <c r="U11" s="72" t="str">
        <f t="shared" si="0"/>
        <v>يحتاج متابعة</v>
      </c>
      <c r="V11" s="72">
        <f>IF($A11="","",SUMIFS(الإدخال!$N$5:$N$644,الإدخال!$D$5:$D$644,$A11))</f>
        <v>2</v>
      </c>
      <c r="W11" s="73">
        <f>IF($A11="","",COUNTIFS(الإدخال!$D$5:$D$644,$A11,الإدخال!$F$5:$F$644,"متأخر"))</f>
        <v>0</v>
      </c>
      <c r="X11" s="73">
        <f>IF($A11="","",COUNTIFS(الإدخال!$D$5:$D$644,$A11,الإدخال!$F$5:$F$644,"غائب"))</f>
        <v>0</v>
      </c>
      <c r="Y11" s="73">
        <f>IF($A11="","",COUNTIFS(الإدخال!$D$5:$D$644,$A11,الإدخال!$F$5:$F$644,"معتذر"))</f>
        <v>0</v>
      </c>
      <c r="Z11" s="73">
        <f>IF($A11="","",SUMIFS(الإدخال!$H$5:$H$644,الإدخال!$D$5:$D$644,$A11,الإدخال!$N$5:$N$644,1))</f>
        <v>10</v>
      </c>
      <c r="AA11" s="73">
        <f>IF($A11="","",SUMIFS(الإدخال!$I$5:$I$644,الإدخال!$D$5:$D$644,$A11,الإدخال!$N$5:$N$644,1))</f>
        <v>40</v>
      </c>
      <c r="AB11" s="73">
        <f>IF($A11="","",SUMIFS(الإدخال!$J$5:$J$644,الإدخال!$D$5:$D$644,$A11,الإدخال!$N$5:$N$644,1))</f>
        <v>0</v>
      </c>
      <c r="AC11" s="36">
        <f>IFERROR(MATCH($C$3&amp;"|7",الطلاب!$E$5:$E$44,0),"")</f>
        <v>26</v>
      </c>
    </row>
    <row r="12" spans="1:29">
      <c r="A12" s="18">
        <f>IF($AC12="","",INDEX(الطلاب!$A$5:$A$44,$AC12))</f>
        <v>27</v>
      </c>
      <c r="B12" s="68" t="str">
        <f>IF($AC12="","",INDEX(الطلاب!$B$5:$B$44,$AC12))</f>
        <v>سالم بانوير</v>
      </c>
      <c r="C12" s="69" t="str">
        <f>IF($AC12="","",INDEX(الطلاب!$D$5:$D$44,$AC12))</f>
        <v xml:space="preserve">ابي بن مالك </v>
      </c>
      <c r="D12" s="70">
        <f>IF($A12="","",IF(COUNTIFS(الإدخال!$A$5:$A$644,D$5,الإدخال!$D$5:$D$644,$A12,الإدخال!$F$5:$F$644,"غائب",الإدخال!$G$5:$G$644,"")&gt;0,"غ",IF(COUNTIFS(الإدخال!$A$5:$A$644,D$5,الإدخال!$D$5:$D$644,$A12,الإدخال!$F$5:$F$644,"معتذر",الإدخال!$G$5:$G$644,"")&gt;0,"ع",IF(SUMIFS(الإدخال!$P$5:$P$644,الإدخال!$A$5:$A$644,D$5,الإدخال!$D$5:$D$644,$A12)&gt;0,SUMIFS(الإدخال!$O$5:$O$644,الإدخال!$A$5:$A$644,D$5,الإدخال!$D$5:$D$644,$A12)/100,""))))</f>
        <v>0</v>
      </c>
      <c r="E12" s="70">
        <f>IF($A12="","",IF(COUNTIFS(الإدخال!$A$5:$A$644,E$5,الإدخال!$D$5:$D$644,$A12,الإدخال!$F$5:$F$644,"غائب",الإدخال!$G$5:$G$644,"")&gt;0,"غ",IF(COUNTIFS(الإدخال!$A$5:$A$644,E$5,الإدخال!$D$5:$D$644,$A12,الإدخال!$F$5:$F$644,"معتذر",الإدخال!$G$5:$G$644,"")&gt;0,"ع",IF(SUMIFS(الإدخال!$P$5:$P$644,الإدخال!$A$5:$A$644,E$5,الإدخال!$D$5:$D$644,$A12)&gt;0,SUMIFS(الإدخال!$O$5:$O$644,الإدخال!$A$5:$A$644,E$5,الإدخال!$D$5:$D$644,$A12)/100,""))))</f>
        <v>0.67</v>
      </c>
      <c r="F12" s="70" t="str">
        <f>IF($A12="","",IF(COUNTIFS(الإدخال!$A$5:$A$644,F$5,الإدخال!$D$5:$D$644,$A12,الإدخال!$F$5:$F$644,"غائب",الإدخال!$G$5:$G$644,"")&gt;0,"غ",IF(COUNTIFS(الإدخال!$A$5:$A$644,F$5,الإدخال!$D$5:$D$644,$A12,الإدخال!$F$5:$F$644,"معتذر",الإدخال!$G$5:$G$644,"")&gt;0,"ع",IF(SUMIFS(الإدخال!$P$5:$P$644,الإدخال!$A$5:$A$644,F$5,الإدخال!$D$5:$D$644,$A12)&gt;0,SUMIFS(الإدخال!$O$5:$O$644,الإدخال!$A$5:$A$644,F$5,الإدخال!$D$5:$D$644,$A12)/100,""))))</f>
        <v/>
      </c>
      <c r="G12" s="70" t="str">
        <f>IF($A12="","",IF(COUNTIFS(الإدخال!$A$5:$A$644,G$5,الإدخال!$D$5:$D$644,$A12,الإدخال!$F$5:$F$644,"غائب",الإدخال!$G$5:$G$644,"")&gt;0,"غ",IF(COUNTIFS(الإدخال!$A$5:$A$644,G$5,الإدخال!$D$5:$D$644,$A12,الإدخال!$F$5:$F$644,"معتذر",الإدخال!$G$5:$G$644,"")&gt;0,"ع",IF(SUMIFS(الإدخال!$P$5:$P$644,الإدخال!$A$5:$A$644,G$5,الإدخال!$D$5:$D$644,$A12)&gt;0,SUMIFS(الإدخال!$O$5:$O$644,الإدخال!$A$5:$A$644,G$5,الإدخال!$D$5:$D$644,$A12)/100,""))))</f>
        <v/>
      </c>
      <c r="H12" s="70" t="str">
        <f>IF($A12="","",IF(COUNTIFS(الإدخال!$A$5:$A$644,H$5,الإدخال!$D$5:$D$644,$A12,الإدخال!$F$5:$F$644,"غائب",الإدخال!$G$5:$G$644,"")&gt;0,"غ",IF(COUNTIFS(الإدخال!$A$5:$A$644,H$5,الإدخال!$D$5:$D$644,$A12,الإدخال!$F$5:$F$644,"معتذر",الإدخال!$G$5:$G$644,"")&gt;0,"ع",IF(SUMIFS(الإدخال!$P$5:$P$644,الإدخال!$A$5:$A$644,H$5,الإدخال!$D$5:$D$644,$A12)&gt;0,SUMIFS(الإدخال!$O$5:$O$644,الإدخال!$A$5:$A$644,H$5,الإدخال!$D$5:$D$644,$A12)/100,""))))</f>
        <v/>
      </c>
      <c r="I12" s="70" t="str">
        <f>IF($A12="","",IF(COUNTIFS(الإدخال!$A$5:$A$644,I$5,الإدخال!$D$5:$D$644,$A12,الإدخال!$F$5:$F$644,"غائب",الإدخال!$G$5:$G$644,"")&gt;0,"غ",IF(COUNTIFS(الإدخال!$A$5:$A$644,I$5,الإدخال!$D$5:$D$644,$A12,الإدخال!$F$5:$F$644,"معتذر",الإدخال!$G$5:$G$644,"")&gt;0,"ع",IF(SUMIFS(الإدخال!$P$5:$P$644,الإدخال!$A$5:$A$644,I$5,الإدخال!$D$5:$D$644,$A12)&gt;0,SUMIFS(الإدخال!$O$5:$O$644,الإدخال!$A$5:$A$644,I$5,الإدخال!$D$5:$D$644,$A12)/100,""))))</f>
        <v/>
      </c>
      <c r="J12" s="70" t="str">
        <f>IF($A12="","",IF(COUNTIFS(الإدخال!$A$5:$A$644,J$5,الإدخال!$D$5:$D$644,$A12,الإدخال!$F$5:$F$644,"غائب",الإدخال!$G$5:$G$644,"")&gt;0,"غ",IF(COUNTIFS(الإدخال!$A$5:$A$644,J$5,الإدخال!$D$5:$D$644,$A12,الإدخال!$F$5:$F$644,"معتذر",الإدخال!$G$5:$G$644,"")&gt;0,"ع",IF(SUMIFS(الإدخال!$P$5:$P$644,الإدخال!$A$5:$A$644,J$5,الإدخال!$D$5:$D$644,$A12)&gt;0,SUMIFS(الإدخال!$O$5:$O$644,الإدخال!$A$5:$A$644,J$5,الإدخال!$D$5:$D$644,$A12)/100,""))))</f>
        <v/>
      </c>
      <c r="K12" s="70" t="str">
        <f>IF($A12="","",IF(COUNTIFS(الإدخال!$A$5:$A$644,K$5,الإدخال!$D$5:$D$644,$A12,الإدخال!$F$5:$F$644,"غائب",الإدخال!$G$5:$G$644,"")&gt;0,"غ",IF(COUNTIFS(الإدخال!$A$5:$A$644,K$5,الإدخال!$D$5:$D$644,$A12,الإدخال!$F$5:$F$644,"معتذر",الإدخال!$G$5:$G$644,"")&gt;0,"ع",IF(SUMIFS(الإدخال!$P$5:$P$644,الإدخال!$A$5:$A$644,K$5,الإدخال!$D$5:$D$644,$A12)&gt;0,SUMIFS(الإدخال!$O$5:$O$644,الإدخال!$A$5:$A$644,K$5,الإدخال!$D$5:$D$644,$A12)/100,""))))</f>
        <v/>
      </c>
      <c r="L12" s="70" t="str">
        <f>IF($A12="","",IF(COUNTIFS(الإدخال!$A$5:$A$644,L$5,الإدخال!$D$5:$D$644,$A12,الإدخال!$F$5:$F$644,"غائب",الإدخال!$G$5:$G$644,"")&gt;0,"غ",IF(COUNTIFS(الإدخال!$A$5:$A$644,L$5,الإدخال!$D$5:$D$644,$A12,الإدخال!$F$5:$F$644,"معتذر",الإدخال!$G$5:$G$644,"")&gt;0,"ع",IF(SUMIFS(الإدخال!$P$5:$P$644,الإدخال!$A$5:$A$644,L$5,الإدخال!$D$5:$D$644,$A12)&gt;0,SUMIFS(الإدخال!$O$5:$O$644,الإدخال!$A$5:$A$644,L$5,الإدخال!$D$5:$D$644,$A12)/100,""))))</f>
        <v/>
      </c>
      <c r="M12" s="70" t="str">
        <f>IF($A12="","",IF(COUNTIFS(الإدخال!$A$5:$A$644,M$5,الإدخال!$D$5:$D$644,$A12,الإدخال!$F$5:$F$644,"غائب",الإدخال!$G$5:$G$644,"")&gt;0,"غ",IF(COUNTIFS(الإدخال!$A$5:$A$644,M$5,الإدخال!$D$5:$D$644,$A12,الإدخال!$F$5:$F$644,"معتذر",الإدخال!$G$5:$G$644,"")&gt;0,"ع",IF(SUMIFS(الإدخال!$P$5:$P$644,الإدخال!$A$5:$A$644,M$5,الإدخال!$D$5:$D$644,$A12)&gt;0,SUMIFS(الإدخال!$O$5:$O$644,الإدخال!$A$5:$A$644,M$5,الإدخال!$D$5:$D$644,$A12)/100,""))))</f>
        <v/>
      </c>
      <c r="N12" s="70" t="str">
        <f>IF($A12="","",IF(COUNTIFS(الإدخال!$A$5:$A$644,N$5,الإدخال!$D$5:$D$644,$A12,الإدخال!$F$5:$F$644,"غائب",الإدخال!$G$5:$G$644,"")&gt;0,"غ",IF(COUNTIFS(الإدخال!$A$5:$A$644,N$5,الإدخال!$D$5:$D$644,$A12,الإدخال!$F$5:$F$644,"معتذر",الإدخال!$G$5:$G$644,"")&gt;0,"ع",IF(SUMIFS(الإدخال!$P$5:$P$644,الإدخال!$A$5:$A$644,N$5,الإدخال!$D$5:$D$644,$A12)&gt;0,SUMIFS(الإدخال!$O$5:$O$644,الإدخال!$A$5:$A$644,N$5,الإدخال!$D$5:$D$644,$A12)/100,""))))</f>
        <v/>
      </c>
      <c r="O12" s="70" t="str">
        <f>IF($A12="","",IF(COUNTIFS(الإدخال!$A$5:$A$644,O$5,الإدخال!$D$5:$D$644,$A12,الإدخال!$F$5:$F$644,"غائب",الإدخال!$G$5:$G$644,"")&gt;0,"غ",IF(COUNTIFS(الإدخال!$A$5:$A$644,O$5,الإدخال!$D$5:$D$644,$A12,الإدخال!$F$5:$F$644,"معتذر",الإدخال!$G$5:$G$644,"")&gt;0,"ع",IF(SUMIFS(الإدخال!$P$5:$P$644,الإدخال!$A$5:$A$644,O$5,الإدخال!$D$5:$D$644,$A12)&gt;0,SUMIFS(الإدخال!$O$5:$O$644,الإدخال!$A$5:$A$644,O$5,الإدخال!$D$5:$D$644,$A12)/100,""))))</f>
        <v/>
      </c>
      <c r="P12" s="70" t="str">
        <f>IF($A12="","",IF(COUNTIFS(الإدخال!$A$5:$A$644,P$5,الإدخال!$D$5:$D$644,$A12,الإدخال!$F$5:$F$644,"غائب",الإدخال!$G$5:$G$644,"")&gt;0,"غ",IF(COUNTIFS(الإدخال!$A$5:$A$644,P$5,الإدخال!$D$5:$D$644,$A12,الإدخال!$F$5:$F$644,"معتذر",الإدخال!$G$5:$G$644,"")&gt;0,"ع",IF(SUMIFS(الإدخال!$P$5:$P$644,الإدخال!$A$5:$A$644,P$5,الإدخال!$D$5:$D$644,$A12)&gt;0,SUMIFS(الإدخال!$O$5:$O$644,الإدخال!$A$5:$A$644,P$5,الإدخال!$D$5:$D$644,$A12)/100,""))))</f>
        <v/>
      </c>
      <c r="Q12" s="70" t="str">
        <f>IF($A12="","",IF(COUNTIFS(الإدخال!$A$5:$A$644,Q$5,الإدخال!$D$5:$D$644,$A12,الإدخال!$F$5:$F$644,"غائب",الإدخال!$G$5:$G$644,"")&gt;0,"غ",IF(COUNTIFS(الإدخال!$A$5:$A$644,Q$5,الإدخال!$D$5:$D$644,$A12,الإدخال!$F$5:$F$644,"معتذر",الإدخال!$G$5:$G$644,"")&gt;0,"ع",IF(SUMIFS(الإدخال!$P$5:$P$644,الإدخال!$A$5:$A$644,Q$5,الإدخال!$D$5:$D$644,$A12)&gt;0,SUMIFS(الإدخال!$O$5:$O$644,الإدخال!$A$5:$A$644,Q$5,الإدخال!$D$5:$D$644,$A12)/100,""))))</f>
        <v/>
      </c>
      <c r="R12" s="70" t="str">
        <f>IF($A12="","",IF(COUNTIFS(الإدخال!$A$5:$A$644,R$5,الإدخال!$D$5:$D$644,$A12,الإدخال!$F$5:$F$644,"غائب",الإدخال!$G$5:$G$644,"")&gt;0,"غ",IF(COUNTIFS(الإدخال!$A$5:$A$644,R$5,الإدخال!$D$5:$D$644,$A12,الإدخال!$F$5:$F$644,"معتذر",الإدخال!$G$5:$G$644,"")&gt;0,"ع",IF(SUMIFS(الإدخال!$P$5:$P$644,الإدخال!$A$5:$A$644,R$5,الإدخال!$D$5:$D$644,$A12)&gt;0,SUMIFS(الإدخال!$O$5:$O$644,الإدخال!$A$5:$A$644,R$5,الإدخال!$D$5:$D$644,$A12)/100,""))))</f>
        <v/>
      </c>
      <c r="S12" s="70" t="str">
        <f>IF($A12="","",IF(COUNTIFS(الإدخال!$A$5:$A$644,S$5,الإدخال!$D$5:$D$644,$A12,الإدخال!$F$5:$F$644,"غائب",الإدخال!$G$5:$G$644,"")&gt;0,"غ",IF(COUNTIFS(الإدخال!$A$5:$A$644,S$5,الإدخال!$D$5:$D$644,$A12,الإدخال!$F$5:$F$644,"معتذر",الإدخال!$G$5:$G$644,"")&gt;0,"ع",IF(SUMIFS(الإدخال!$P$5:$P$644,الإدخال!$A$5:$A$644,S$5,الإدخال!$D$5:$D$644,$A12)&gt;0,SUMIFS(الإدخال!$O$5:$O$644,الإدخال!$A$5:$A$644,S$5,الإدخال!$D$5:$D$644,$A12)/100,""))))</f>
        <v/>
      </c>
      <c r="T12" s="71">
        <f>IF($A12="","",IFERROR(SUMIFS(الإدخال!$O$5:$O$644,الإدخال!$D$5:$D$644,$A12)/SUMIFS(الإدخال!$P$5:$P$644,الإدخال!$D$5:$D$644,$A12)/100,""))</f>
        <v>0.33500000000000002</v>
      </c>
      <c r="U12" s="72" t="str">
        <f t="shared" si="0"/>
        <v>يحتاج متابعة</v>
      </c>
      <c r="V12" s="72">
        <f>IF($A12="","",SUMIFS(الإدخال!$N$5:$N$644,الإدخال!$D$5:$D$644,$A12))</f>
        <v>1</v>
      </c>
      <c r="W12" s="73">
        <f>IF($A12="","",COUNTIFS(الإدخال!$D$5:$D$644,$A12,الإدخال!$F$5:$F$644,"متأخر"))</f>
        <v>0</v>
      </c>
      <c r="X12" s="73">
        <f>IF($A12="","",COUNTIFS(الإدخال!$D$5:$D$644,$A12,الإدخال!$F$5:$F$644,"غائب"))</f>
        <v>0</v>
      </c>
      <c r="Y12" s="73">
        <f>IF($A12="","",COUNTIFS(الإدخال!$D$5:$D$644,$A12,الإدخال!$F$5:$F$644,"معتذر"))</f>
        <v>1</v>
      </c>
      <c r="Z12" s="73">
        <f>IF($A12="","",SUMIFS(الإدخال!$H$5:$H$644,الإدخال!$D$5:$D$644,$A12,الإدخال!$N$5:$N$644,1))</f>
        <v>0</v>
      </c>
      <c r="AA12" s="73">
        <f>IF($A12="","",SUMIFS(الإدخال!$I$5:$I$644,الإدخال!$D$5:$D$644,$A12,الإدخال!$N$5:$N$644,1))</f>
        <v>20</v>
      </c>
      <c r="AB12" s="73">
        <f>IF($A12="","",SUMIFS(الإدخال!$J$5:$J$644,الإدخال!$D$5:$D$644,$A12,الإدخال!$N$5:$N$644,1))</f>
        <v>0</v>
      </c>
      <c r="AC12" s="36">
        <f>IFERROR(MATCH($C$3&amp;"|8",الطلاب!$E$5:$E$44,0),"")</f>
        <v>27</v>
      </c>
    </row>
    <row r="13" spans="1:29">
      <c r="A13" s="18">
        <f>IF($AC13="","",INDEX(الطلاب!$A$5:$A$44,$AC13))</f>
        <v>28</v>
      </c>
      <c r="B13" s="68" t="str">
        <f>IF($AC13="","",INDEX(الطلاب!$B$5:$B$44,$AC13))</f>
        <v xml:space="preserve">عبدالعزيز الصقعبي </v>
      </c>
      <c r="C13" s="69" t="str">
        <f>IF($AC13="","",INDEX(الطلاب!$D$5:$D$44,$AC13))</f>
        <v xml:space="preserve">ابي بن مالك </v>
      </c>
      <c r="D13" s="70">
        <f>IF($A13="","",IF(COUNTIFS(الإدخال!$A$5:$A$644,D$5,الإدخال!$D$5:$D$644,$A13,الإدخال!$F$5:$F$644,"غائب",الإدخال!$G$5:$G$644,"")&gt;0,"غ",IF(COUNTIFS(الإدخال!$A$5:$A$644,D$5,الإدخال!$D$5:$D$644,$A13,الإدخال!$F$5:$F$644,"معتذر",الإدخال!$G$5:$G$644,"")&gt;0,"ع",IF(SUMIFS(الإدخال!$P$5:$P$644,الإدخال!$A$5:$A$644,D$5,الإدخال!$D$5:$D$644,$A13)&gt;0,SUMIFS(الإدخال!$O$5:$O$644,الإدخال!$A$5:$A$644,D$5,الإدخال!$D$5:$D$644,$A13)/100,""))))</f>
        <v>0.75</v>
      </c>
      <c r="E13" s="70">
        <f>IF($A13="","",IF(COUNTIFS(الإدخال!$A$5:$A$644,E$5,الإدخال!$D$5:$D$644,$A13,الإدخال!$F$5:$F$644,"غائب",الإدخال!$G$5:$G$644,"")&gt;0,"غ",IF(COUNTIFS(الإدخال!$A$5:$A$644,E$5,الإدخال!$D$5:$D$644,$A13,الإدخال!$F$5:$F$644,"معتذر",الإدخال!$G$5:$G$644,"")&gt;0,"ع",IF(SUMIFS(الإدخال!$P$5:$P$644,الإدخال!$A$5:$A$644,E$5,الإدخال!$D$5:$D$644,$A13)&gt;0,SUMIFS(الإدخال!$O$5:$O$644,الإدخال!$A$5:$A$644,E$5,الإدخال!$D$5:$D$644,$A13)/100,""))))</f>
        <v>0.97</v>
      </c>
      <c r="F13" s="70" t="str">
        <f>IF($A13="","",IF(COUNTIFS(الإدخال!$A$5:$A$644,F$5,الإدخال!$D$5:$D$644,$A13,الإدخال!$F$5:$F$644,"غائب",الإدخال!$G$5:$G$644,"")&gt;0,"غ",IF(COUNTIFS(الإدخال!$A$5:$A$644,F$5,الإدخال!$D$5:$D$644,$A13,الإدخال!$F$5:$F$644,"معتذر",الإدخال!$G$5:$G$644,"")&gt;0,"ع",IF(SUMIFS(الإدخال!$P$5:$P$644,الإدخال!$A$5:$A$644,F$5,الإدخال!$D$5:$D$644,$A13)&gt;0,SUMIFS(الإدخال!$O$5:$O$644,الإدخال!$A$5:$A$644,F$5,الإدخال!$D$5:$D$644,$A13)/100,""))))</f>
        <v/>
      </c>
      <c r="G13" s="70" t="str">
        <f>IF($A13="","",IF(COUNTIFS(الإدخال!$A$5:$A$644,G$5,الإدخال!$D$5:$D$644,$A13,الإدخال!$F$5:$F$644,"غائب",الإدخال!$G$5:$G$644,"")&gt;0,"غ",IF(COUNTIFS(الإدخال!$A$5:$A$644,G$5,الإدخال!$D$5:$D$644,$A13,الإدخال!$F$5:$F$644,"معتذر",الإدخال!$G$5:$G$644,"")&gt;0,"ع",IF(SUMIFS(الإدخال!$P$5:$P$644,الإدخال!$A$5:$A$644,G$5,الإدخال!$D$5:$D$644,$A13)&gt;0,SUMIFS(الإدخال!$O$5:$O$644,الإدخال!$A$5:$A$644,G$5,الإدخال!$D$5:$D$644,$A13)/100,""))))</f>
        <v/>
      </c>
      <c r="H13" s="70" t="str">
        <f>IF($A13="","",IF(COUNTIFS(الإدخال!$A$5:$A$644,H$5,الإدخال!$D$5:$D$644,$A13,الإدخال!$F$5:$F$644,"غائب",الإدخال!$G$5:$G$644,"")&gt;0,"غ",IF(COUNTIFS(الإدخال!$A$5:$A$644,H$5,الإدخال!$D$5:$D$644,$A13,الإدخال!$F$5:$F$644,"معتذر",الإدخال!$G$5:$G$644,"")&gt;0,"ع",IF(SUMIFS(الإدخال!$P$5:$P$644,الإدخال!$A$5:$A$644,H$5,الإدخال!$D$5:$D$644,$A13)&gt;0,SUMIFS(الإدخال!$O$5:$O$644,الإدخال!$A$5:$A$644,H$5,الإدخال!$D$5:$D$644,$A13)/100,""))))</f>
        <v/>
      </c>
      <c r="I13" s="70" t="str">
        <f>IF($A13="","",IF(COUNTIFS(الإدخال!$A$5:$A$644,I$5,الإدخال!$D$5:$D$644,$A13,الإدخال!$F$5:$F$644,"غائب",الإدخال!$G$5:$G$644,"")&gt;0,"غ",IF(COUNTIFS(الإدخال!$A$5:$A$644,I$5,الإدخال!$D$5:$D$644,$A13,الإدخال!$F$5:$F$644,"معتذر",الإدخال!$G$5:$G$644,"")&gt;0,"ع",IF(SUMIFS(الإدخال!$P$5:$P$644,الإدخال!$A$5:$A$644,I$5,الإدخال!$D$5:$D$644,$A13)&gt;0,SUMIFS(الإدخال!$O$5:$O$644,الإدخال!$A$5:$A$644,I$5,الإدخال!$D$5:$D$644,$A13)/100,""))))</f>
        <v/>
      </c>
      <c r="J13" s="70" t="str">
        <f>IF($A13="","",IF(COUNTIFS(الإدخال!$A$5:$A$644,J$5,الإدخال!$D$5:$D$644,$A13,الإدخال!$F$5:$F$644,"غائب",الإدخال!$G$5:$G$644,"")&gt;0,"غ",IF(COUNTIFS(الإدخال!$A$5:$A$644,J$5,الإدخال!$D$5:$D$644,$A13,الإدخال!$F$5:$F$644,"معتذر",الإدخال!$G$5:$G$644,"")&gt;0,"ع",IF(SUMIFS(الإدخال!$P$5:$P$644,الإدخال!$A$5:$A$644,J$5,الإدخال!$D$5:$D$644,$A13)&gt;0,SUMIFS(الإدخال!$O$5:$O$644,الإدخال!$A$5:$A$644,J$5,الإدخال!$D$5:$D$644,$A13)/100,""))))</f>
        <v/>
      </c>
      <c r="K13" s="70" t="str">
        <f>IF($A13="","",IF(COUNTIFS(الإدخال!$A$5:$A$644,K$5,الإدخال!$D$5:$D$644,$A13,الإدخال!$F$5:$F$644,"غائب",الإدخال!$G$5:$G$644,"")&gt;0,"غ",IF(COUNTIFS(الإدخال!$A$5:$A$644,K$5,الإدخال!$D$5:$D$644,$A13,الإدخال!$F$5:$F$644,"معتذر",الإدخال!$G$5:$G$644,"")&gt;0,"ع",IF(SUMIFS(الإدخال!$P$5:$P$644,الإدخال!$A$5:$A$644,K$5,الإدخال!$D$5:$D$644,$A13)&gt;0,SUMIFS(الإدخال!$O$5:$O$644,الإدخال!$A$5:$A$644,K$5,الإدخال!$D$5:$D$644,$A13)/100,""))))</f>
        <v/>
      </c>
      <c r="L13" s="70" t="str">
        <f>IF($A13="","",IF(COUNTIFS(الإدخال!$A$5:$A$644,L$5,الإدخال!$D$5:$D$644,$A13,الإدخال!$F$5:$F$644,"غائب",الإدخال!$G$5:$G$644,"")&gt;0,"غ",IF(COUNTIFS(الإدخال!$A$5:$A$644,L$5,الإدخال!$D$5:$D$644,$A13,الإدخال!$F$5:$F$644,"معتذر",الإدخال!$G$5:$G$644,"")&gt;0,"ع",IF(SUMIFS(الإدخال!$P$5:$P$644,الإدخال!$A$5:$A$644,L$5,الإدخال!$D$5:$D$644,$A13)&gt;0,SUMIFS(الإدخال!$O$5:$O$644,الإدخال!$A$5:$A$644,L$5,الإدخال!$D$5:$D$644,$A13)/100,""))))</f>
        <v/>
      </c>
      <c r="M13" s="70" t="str">
        <f>IF($A13="","",IF(COUNTIFS(الإدخال!$A$5:$A$644,M$5,الإدخال!$D$5:$D$644,$A13,الإدخال!$F$5:$F$644,"غائب",الإدخال!$G$5:$G$644,"")&gt;0,"غ",IF(COUNTIFS(الإدخال!$A$5:$A$644,M$5,الإدخال!$D$5:$D$644,$A13,الإدخال!$F$5:$F$644,"معتذر",الإدخال!$G$5:$G$644,"")&gt;0,"ع",IF(SUMIFS(الإدخال!$P$5:$P$644,الإدخال!$A$5:$A$644,M$5,الإدخال!$D$5:$D$644,$A13)&gt;0,SUMIFS(الإدخال!$O$5:$O$644,الإدخال!$A$5:$A$644,M$5,الإدخال!$D$5:$D$644,$A13)/100,""))))</f>
        <v/>
      </c>
      <c r="N13" s="70" t="str">
        <f>IF($A13="","",IF(COUNTIFS(الإدخال!$A$5:$A$644,N$5,الإدخال!$D$5:$D$644,$A13,الإدخال!$F$5:$F$644,"غائب",الإدخال!$G$5:$G$644,"")&gt;0,"غ",IF(COUNTIFS(الإدخال!$A$5:$A$644,N$5,الإدخال!$D$5:$D$644,$A13,الإدخال!$F$5:$F$644,"معتذر",الإدخال!$G$5:$G$644,"")&gt;0,"ع",IF(SUMIFS(الإدخال!$P$5:$P$644,الإدخال!$A$5:$A$644,N$5,الإدخال!$D$5:$D$644,$A13)&gt;0,SUMIFS(الإدخال!$O$5:$O$644,الإدخال!$A$5:$A$644,N$5,الإدخال!$D$5:$D$644,$A13)/100,""))))</f>
        <v/>
      </c>
      <c r="O13" s="70" t="str">
        <f>IF($A13="","",IF(COUNTIFS(الإدخال!$A$5:$A$644,O$5,الإدخال!$D$5:$D$644,$A13,الإدخال!$F$5:$F$644,"غائب",الإدخال!$G$5:$G$644,"")&gt;0,"غ",IF(COUNTIFS(الإدخال!$A$5:$A$644,O$5,الإدخال!$D$5:$D$644,$A13,الإدخال!$F$5:$F$644,"معتذر",الإدخال!$G$5:$G$644,"")&gt;0,"ع",IF(SUMIFS(الإدخال!$P$5:$P$644,الإدخال!$A$5:$A$644,O$5,الإدخال!$D$5:$D$644,$A13)&gt;0,SUMIFS(الإدخال!$O$5:$O$644,الإدخال!$A$5:$A$644,O$5,الإدخال!$D$5:$D$644,$A13)/100,""))))</f>
        <v/>
      </c>
      <c r="P13" s="70" t="str">
        <f>IF($A13="","",IF(COUNTIFS(الإدخال!$A$5:$A$644,P$5,الإدخال!$D$5:$D$644,$A13,الإدخال!$F$5:$F$644,"غائب",الإدخال!$G$5:$G$644,"")&gt;0,"غ",IF(COUNTIFS(الإدخال!$A$5:$A$644,P$5,الإدخال!$D$5:$D$644,$A13,الإدخال!$F$5:$F$644,"معتذر",الإدخال!$G$5:$G$644,"")&gt;0,"ع",IF(SUMIFS(الإدخال!$P$5:$P$644,الإدخال!$A$5:$A$644,P$5,الإدخال!$D$5:$D$644,$A13)&gt;0,SUMIFS(الإدخال!$O$5:$O$644,الإدخال!$A$5:$A$644,P$5,الإدخال!$D$5:$D$644,$A13)/100,""))))</f>
        <v/>
      </c>
      <c r="Q13" s="70" t="str">
        <f>IF($A13="","",IF(COUNTIFS(الإدخال!$A$5:$A$644,Q$5,الإدخال!$D$5:$D$644,$A13,الإدخال!$F$5:$F$644,"غائب",الإدخال!$G$5:$G$644,"")&gt;0,"غ",IF(COUNTIFS(الإدخال!$A$5:$A$644,Q$5,الإدخال!$D$5:$D$644,$A13,الإدخال!$F$5:$F$644,"معتذر",الإدخال!$G$5:$G$644,"")&gt;0,"ع",IF(SUMIFS(الإدخال!$P$5:$P$644,الإدخال!$A$5:$A$644,Q$5,الإدخال!$D$5:$D$644,$A13)&gt;0,SUMIFS(الإدخال!$O$5:$O$644,الإدخال!$A$5:$A$644,Q$5,الإدخال!$D$5:$D$644,$A13)/100,""))))</f>
        <v/>
      </c>
      <c r="R13" s="70" t="str">
        <f>IF($A13="","",IF(COUNTIFS(الإدخال!$A$5:$A$644,R$5,الإدخال!$D$5:$D$644,$A13,الإدخال!$F$5:$F$644,"غائب",الإدخال!$G$5:$G$644,"")&gt;0,"غ",IF(COUNTIFS(الإدخال!$A$5:$A$644,R$5,الإدخال!$D$5:$D$644,$A13,الإدخال!$F$5:$F$644,"معتذر",الإدخال!$G$5:$G$644,"")&gt;0,"ع",IF(SUMIFS(الإدخال!$P$5:$P$644,الإدخال!$A$5:$A$644,R$5,الإدخال!$D$5:$D$644,$A13)&gt;0,SUMIFS(الإدخال!$O$5:$O$644,الإدخال!$A$5:$A$644,R$5,الإدخال!$D$5:$D$644,$A13)/100,""))))</f>
        <v/>
      </c>
      <c r="S13" s="70" t="str">
        <f>IF($A13="","",IF(COUNTIFS(الإدخال!$A$5:$A$644,S$5,الإدخال!$D$5:$D$644,$A13,الإدخال!$F$5:$F$644,"غائب",الإدخال!$G$5:$G$644,"")&gt;0,"غ",IF(COUNTIFS(الإدخال!$A$5:$A$644,S$5,الإدخال!$D$5:$D$644,$A13,الإدخال!$F$5:$F$644,"معتذر",الإدخال!$G$5:$G$644,"")&gt;0,"ع",IF(SUMIFS(الإدخال!$P$5:$P$644,الإدخال!$A$5:$A$644,S$5,الإدخال!$D$5:$D$644,$A13)&gt;0,SUMIFS(الإدخال!$O$5:$O$644,الإدخال!$A$5:$A$644,S$5,الإدخال!$D$5:$D$644,$A13)/100,""))))</f>
        <v/>
      </c>
      <c r="T13" s="71">
        <f>IF($A13="","",IFERROR(SUMIFS(الإدخال!$O$5:$O$644,الإدخال!$D$5:$D$644,$A13)/SUMIFS(الإدخال!$P$5:$P$644,الإدخال!$D$5:$D$644,$A13)/100,""))</f>
        <v>0.86</v>
      </c>
      <c r="U13" s="72" t="str">
        <f t="shared" si="0"/>
        <v>جيد جدًا</v>
      </c>
      <c r="V13" s="72">
        <f>IF($A13="","",SUMIFS(الإدخال!$N$5:$N$644,الإدخال!$D$5:$D$644,$A13))</f>
        <v>2</v>
      </c>
      <c r="W13" s="73">
        <f>IF($A13="","",COUNTIFS(الإدخال!$D$5:$D$644,$A13,الإدخال!$F$5:$F$644,"متأخر"))</f>
        <v>0</v>
      </c>
      <c r="X13" s="73">
        <f>IF($A13="","",COUNTIFS(الإدخال!$D$5:$D$644,$A13,الإدخال!$F$5:$F$644,"غائب"))</f>
        <v>0</v>
      </c>
      <c r="Y13" s="73">
        <f>IF($A13="","",COUNTIFS(الإدخال!$D$5:$D$644,$A13,الإدخال!$F$5:$F$644,"معتذر"))</f>
        <v>0</v>
      </c>
      <c r="Z13" s="73">
        <f>IF($A13="","",SUMIFS(الإدخال!$H$5:$H$644,الإدخال!$D$5:$D$644,$A13,الإدخال!$N$5:$N$644,1))</f>
        <v>6</v>
      </c>
      <c r="AA13" s="73">
        <f>IF($A13="","",SUMIFS(الإدخال!$I$5:$I$644,الإدخال!$D$5:$D$644,$A13,الإدخال!$N$5:$N$644,1))</f>
        <v>40</v>
      </c>
      <c r="AB13" s="73">
        <f>IF($A13="","",SUMIFS(الإدخال!$J$5:$J$644,الإدخال!$D$5:$D$644,$A13,الإدخال!$N$5:$N$644,1))</f>
        <v>0</v>
      </c>
      <c r="AC13" s="36">
        <f>IFERROR(MATCH($C$3&amp;"|9",الطلاب!$E$5:$E$44,0),"")</f>
        <v>28</v>
      </c>
    </row>
    <row r="14" spans="1:29">
      <c r="A14" s="18">
        <f>IF($AC14="","",INDEX(الطلاب!$A$5:$A$44,$AC14))</f>
        <v>29</v>
      </c>
      <c r="B14" s="68" t="str">
        <f>IF($AC14="","",INDEX(الطلاب!$B$5:$B$44,$AC14))</f>
        <v xml:space="preserve">عبدالله المجيدل </v>
      </c>
      <c r="C14" s="69" t="str">
        <f>IF($AC14="","",INDEX(الطلاب!$D$5:$D$44,$AC14))</f>
        <v xml:space="preserve">ابي بن مالك </v>
      </c>
      <c r="D14" s="70">
        <f>IF($A14="","",IF(COUNTIFS(الإدخال!$A$5:$A$644,D$5,الإدخال!$D$5:$D$644,$A14,الإدخال!$F$5:$F$644,"غائب",الإدخال!$G$5:$G$644,"")&gt;0,"غ",IF(COUNTIFS(الإدخال!$A$5:$A$644,D$5,الإدخال!$D$5:$D$644,$A14,الإدخال!$F$5:$F$644,"معتذر",الإدخال!$G$5:$G$644,"")&gt;0,"ع",IF(SUMIFS(الإدخال!$P$5:$P$644,الإدخال!$A$5:$A$644,D$5,الإدخال!$D$5:$D$644,$A14)&gt;0,SUMIFS(الإدخال!$O$5:$O$644,الإدخال!$A$5:$A$644,D$5,الإدخال!$D$5:$D$644,$A14)/100,""))))</f>
        <v>0.97</v>
      </c>
      <c r="E14" s="70">
        <f>IF($A14="","",IF(COUNTIFS(الإدخال!$A$5:$A$644,E$5,الإدخال!$D$5:$D$644,$A14,الإدخال!$F$5:$F$644,"غائب",الإدخال!$G$5:$G$644,"")&gt;0,"غ",IF(COUNTIFS(الإدخال!$A$5:$A$644,E$5,الإدخال!$D$5:$D$644,$A14,الإدخال!$F$5:$F$644,"معتذر",الإدخال!$G$5:$G$644,"")&gt;0,"ع",IF(SUMIFS(الإدخال!$P$5:$P$644,الإدخال!$A$5:$A$644,E$5,الإدخال!$D$5:$D$644,$A14)&gt;0,SUMIFS(الإدخال!$O$5:$O$644,الإدخال!$A$5:$A$644,E$5,الإدخال!$D$5:$D$644,$A14)/100,""))))</f>
        <v>0.82</v>
      </c>
      <c r="F14" s="70" t="str">
        <f>IF($A14="","",IF(COUNTIFS(الإدخال!$A$5:$A$644,F$5,الإدخال!$D$5:$D$644,$A14,الإدخال!$F$5:$F$644,"غائب",الإدخال!$G$5:$G$644,"")&gt;0,"غ",IF(COUNTIFS(الإدخال!$A$5:$A$644,F$5,الإدخال!$D$5:$D$644,$A14,الإدخال!$F$5:$F$644,"معتذر",الإدخال!$G$5:$G$644,"")&gt;0,"ع",IF(SUMIFS(الإدخال!$P$5:$P$644,الإدخال!$A$5:$A$644,F$5,الإدخال!$D$5:$D$644,$A14)&gt;0,SUMIFS(الإدخال!$O$5:$O$644,الإدخال!$A$5:$A$644,F$5,الإدخال!$D$5:$D$644,$A14)/100,""))))</f>
        <v/>
      </c>
      <c r="G14" s="70" t="str">
        <f>IF($A14="","",IF(COUNTIFS(الإدخال!$A$5:$A$644,G$5,الإدخال!$D$5:$D$644,$A14,الإدخال!$F$5:$F$644,"غائب",الإدخال!$G$5:$G$644,"")&gt;0,"غ",IF(COUNTIFS(الإدخال!$A$5:$A$644,G$5,الإدخال!$D$5:$D$644,$A14,الإدخال!$F$5:$F$644,"معتذر",الإدخال!$G$5:$G$644,"")&gt;0,"ع",IF(SUMIFS(الإدخال!$P$5:$P$644,الإدخال!$A$5:$A$644,G$5,الإدخال!$D$5:$D$644,$A14)&gt;0,SUMIFS(الإدخال!$O$5:$O$644,الإدخال!$A$5:$A$644,G$5,الإدخال!$D$5:$D$644,$A14)/100,""))))</f>
        <v/>
      </c>
      <c r="H14" s="70" t="str">
        <f>IF($A14="","",IF(COUNTIFS(الإدخال!$A$5:$A$644,H$5,الإدخال!$D$5:$D$644,$A14,الإدخال!$F$5:$F$644,"غائب",الإدخال!$G$5:$G$644,"")&gt;0,"غ",IF(COUNTIFS(الإدخال!$A$5:$A$644,H$5,الإدخال!$D$5:$D$644,$A14,الإدخال!$F$5:$F$644,"معتذر",الإدخال!$G$5:$G$644,"")&gt;0,"ع",IF(SUMIFS(الإدخال!$P$5:$P$644,الإدخال!$A$5:$A$644,H$5,الإدخال!$D$5:$D$644,$A14)&gt;0,SUMIFS(الإدخال!$O$5:$O$644,الإدخال!$A$5:$A$644,H$5,الإدخال!$D$5:$D$644,$A14)/100,""))))</f>
        <v/>
      </c>
      <c r="I14" s="70" t="str">
        <f>IF($A14="","",IF(COUNTIFS(الإدخال!$A$5:$A$644,I$5,الإدخال!$D$5:$D$644,$A14,الإدخال!$F$5:$F$644,"غائب",الإدخال!$G$5:$G$644,"")&gt;0,"غ",IF(COUNTIFS(الإدخال!$A$5:$A$644,I$5,الإدخال!$D$5:$D$644,$A14,الإدخال!$F$5:$F$644,"معتذر",الإدخال!$G$5:$G$644,"")&gt;0,"ع",IF(SUMIFS(الإدخال!$P$5:$P$644,الإدخال!$A$5:$A$644,I$5,الإدخال!$D$5:$D$644,$A14)&gt;0,SUMIFS(الإدخال!$O$5:$O$644,الإدخال!$A$5:$A$644,I$5,الإدخال!$D$5:$D$644,$A14)/100,""))))</f>
        <v/>
      </c>
      <c r="J14" s="70" t="str">
        <f>IF($A14="","",IF(COUNTIFS(الإدخال!$A$5:$A$644,J$5,الإدخال!$D$5:$D$644,$A14,الإدخال!$F$5:$F$644,"غائب",الإدخال!$G$5:$G$644,"")&gt;0,"غ",IF(COUNTIFS(الإدخال!$A$5:$A$644,J$5,الإدخال!$D$5:$D$644,$A14,الإدخال!$F$5:$F$644,"معتذر",الإدخال!$G$5:$G$644,"")&gt;0,"ع",IF(SUMIFS(الإدخال!$P$5:$P$644,الإدخال!$A$5:$A$644,J$5,الإدخال!$D$5:$D$644,$A14)&gt;0,SUMIFS(الإدخال!$O$5:$O$644,الإدخال!$A$5:$A$644,J$5,الإدخال!$D$5:$D$644,$A14)/100,""))))</f>
        <v/>
      </c>
      <c r="K14" s="70" t="str">
        <f>IF($A14="","",IF(COUNTIFS(الإدخال!$A$5:$A$644,K$5,الإدخال!$D$5:$D$644,$A14,الإدخال!$F$5:$F$644,"غائب",الإدخال!$G$5:$G$644,"")&gt;0,"غ",IF(COUNTIFS(الإدخال!$A$5:$A$644,K$5,الإدخال!$D$5:$D$644,$A14,الإدخال!$F$5:$F$644,"معتذر",الإدخال!$G$5:$G$644,"")&gt;0,"ع",IF(SUMIFS(الإدخال!$P$5:$P$644,الإدخال!$A$5:$A$644,K$5,الإدخال!$D$5:$D$644,$A14)&gt;0,SUMIFS(الإدخال!$O$5:$O$644,الإدخال!$A$5:$A$644,K$5,الإدخال!$D$5:$D$644,$A14)/100,""))))</f>
        <v/>
      </c>
      <c r="L14" s="70" t="str">
        <f>IF($A14="","",IF(COUNTIFS(الإدخال!$A$5:$A$644,L$5,الإدخال!$D$5:$D$644,$A14,الإدخال!$F$5:$F$644,"غائب",الإدخال!$G$5:$G$644,"")&gt;0,"غ",IF(COUNTIFS(الإدخال!$A$5:$A$644,L$5,الإدخال!$D$5:$D$644,$A14,الإدخال!$F$5:$F$644,"معتذر",الإدخال!$G$5:$G$644,"")&gt;0,"ع",IF(SUMIFS(الإدخال!$P$5:$P$644,الإدخال!$A$5:$A$644,L$5,الإدخال!$D$5:$D$644,$A14)&gt;0,SUMIFS(الإدخال!$O$5:$O$644,الإدخال!$A$5:$A$644,L$5,الإدخال!$D$5:$D$644,$A14)/100,""))))</f>
        <v/>
      </c>
      <c r="M14" s="70" t="str">
        <f>IF($A14="","",IF(COUNTIFS(الإدخال!$A$5:$A$644,M$5,الإدخال!$D$5:$D$644,$A14,الإدخال!$F$5:$F$644,"غائب",الإدخال!$G$5:$G$644,"")&gt;0,"غ",IF(COUNTIFS(الإدخال!$A$5:$A$644,M$5,الإدخال!$D$5:$D$644,$A14,الإدخال!$F$5:$F$644,"معتذر",الإدخال!$G$5:$G$644,"")&gt;0,"ع",IF(SUMIFS(الإدخال!$P$5:$P$644,الإدخال!$A$5:$A$644,M$5,الإدخال!$D$5:$D$644,$A14)&gt;0,SUMIFS(الإدخال!$O$5:$O$644,الإدخال!$A$5:$A$644,M$5,الإدخال!$D$5:$D$644,$A14)/100,""))))</f>
        <v/>
      </c>
      <c r="N14" s="70" t="str">
        <f>IF($A14="","",IF(COUNTIFS(الإدخال!$A$5:$A$644,N$5,الإدخال!$D$5:$D$644,$A14,الإدخال!$F$5:$F$644,"غائب",الإدخال!$G$5:$G$644,"")&gt;0,"غ",IF(COUNTIFS(الإدخال!$A$5:$A$644,N$5,الإدخال!$D$5:$D$644,$A14,الإدخال!$F$5:$F$644,"معتذر",الإدخال!$G$5:$G$644,"")&gt;0,"ع",IF(SUMIFS(الإدخال!$P$5:$P$644,الإدخال!$A$5:$A$644,N$5,الإدخال!$D$5:$D$644,$A14)&gt;0,SUMIFS(الإدخال!$O$5:$O$644,الإدخال!$A$5:$A$644,N$5,الإدخال!$D$5:$D$644,$A14)/100,""))))</f>
        <v/>
      </c>
      <c r="O14" s="70" t="str">
        <f>IF($A14="","",IF(COUNTIFS(الإدخال!$A$5:$A$644,O$5,الإدخال!$D$5:$D$644,$A14,الإدخال!$F$5:$F$644,"غائب",الإدخال!$G$5:$G$644,"")&gt;0,"غ",IF(COUNTIFS(الإدخال!$A$5:$A$644,O$5,الإدخال!$D$5:$D$644,$A14,الإدخال!$F$5:$F$644,"معتذر",الإدخال!$G$5:$G$644,"")&gt;0,"ع",IF(SUMIFS(الإدخال!$P$5:$P$644,الإدخال!$A$5:$A$644,O$5,الإدخال!$D$5:$D$644,$A14)&gt;0,SUMIFS(الإدخال!$O$5:$O$644,الإدخال!$A$5:$A$644,O$5,الإدخال!$D$5:$D$644,$A14)/100,""))))</f>
        <v/>
      </c>
      <c r="P14" s="70" t="str">
        <f>IF($A14="","",IF(COUNTIFS(الإدخال!$A$5:$A$644,P$5,الإدخال!$D$5:$D$644,$A14,الإدخال!$F$5:$F$644,"غائب",الإدخال!$G$5:$G$644,"")&gt;0,"غ",IF(COUNTIFS(الإدخال!$A$5:$A$644,P$5,الإدخال!$D$5:$D$644,$A14,الإدخال!$F$5:$F$644,"معتذر",الإدخال!$G$5:$G$644,"")&gt;0,"ع",IF(SUMIFS(الإدخال!$P$5:$P$644,الإدخال!$A$5:$A$644,P$5,الإدخال!$D$5:$D$644,$A14)&gt;0,SUMIFS(الإدخال!$O$5:$O$644,الإدخال!$A$5:$A$644,P$5,الإدخال!$D$5:$D$644,$A14)/100,""))))</f>
        <v/>
      </c>
      <c r="Q14" s="70" t="str">
        <f>IF($A14="","",IF(COUNTIFS(الإدخال!$A$5:$A$644,Q$5,الإدخال!$D$5:$D$644,$A14,الإدخال!$F$5:$F$644,"غائب",الإدخال!$G$5:$G$644,"")&gt;0,"غ",IF(COUNTIFS(الإدخال!$A$5:$A$644,Q$5,الإدخال!$D$5:$D$644,$A14,الإدخال!$F$5:$F$644,"معتذر",الإدخال!$G$5:$G$644,"")&gt;0,"ع",IF(SUMIFS(الإدخال!$P$5:$P$644,الإدخال!$A$5:$A$644,Q$5,الإدخال!$D$5:$D$644,$A14)&gt;0,SUMIFS(الإدخال!$O$5:$O$644,الإدخال!$A$5:$A$644,Q$5,الإدخال!$D$5:$D$644,$A14)/100,""))))</f>
        <v/>
      </c>
      <c r="R14" s="70" t="str">
        <f>IF($A14="","",IF(COUNTIFS(الإدخال!$A$5:$A$644,R$5,الإدخال!$D$5:$D$644,$A14,الإدخال!$F$5:$F$644,"غائب",الإدخال!$G$5:$G$644,"")&gt;0,"غ",IF(COUNTIFS(الإدخال!$A$5:$A$644,R$5,الإدخال!$D$5:$D$644,$A14,الإدخال!$F$5:$F$644,"معتذر",الإدخال!$G$5:$G$644,"")&gt;0,"ع",IF(SUMIFS(الإدخال!$P$5:$P$644,الإدخال!$A$5:$A$644,R$5,الإدخال!$D$5:$D$644,$A14)&gt;0,SUMIFS(الإدخال!$O$5:$O$644,الإدخال!$A$5:$A$644,R$5,الإدخال!$D$5:$D$644,$A14)/100,""))))</f>
        <v/>
      </c>
      <c r="S14" s="70" t="str">
        <f>IF($A14="","",IF(COUNTIFS(الإدخال!$A$5:$A$644,S$5,الإدخال!$D$5:$D$644,$A14,الإدخال!$F$5:$F$644,"غائب",الإدخال!$G$5:$G$644,"")&gt;0,"غ",IF(COUNTIFS(الإدخال!$A$5:$A$644,S$5,الإدخال!$D$5:$D$644,$A14,الإدخال!$F$5:$F$644,"معتذر",الإدخال!$G$5:$G$644,"")&gt;0,"ع",IF(SUMIFS(الإدخال!$P$5:$P$644,الإدخال!$A$5:$A$644,S$5,الإدخال!$D$5:$D$644,$A14)&gt;0,SUMIFS(الإدخال!$O$5:$O$644,الإدخال!$A$5:$A$644,S$5,الإدخال!$D$5:$D$644,$A14)/100,""))))</f>
        <v/>
      </c>
      <c r="T14" s="71">
        <f>IF($A14="","",IFERROR(SUMIFS(الإدخال!$O$5:$O$644,الإدخال!$D$5:$D$644,$A14)/SUMIFS(الإدخال!$P$5:$P$644,الإدخال!$D$5:$D$644,$A14)/100,""))</f>
        <v>0.89500000000000002</v>
      </c>
      <c r="U14" s="72" t="str">
        <f t="shared" si="0"/>
        <v>جيد جدًا</v>
      </c>
      <c r="V14" s="72">
        <f>IF($A14="","",SUMIFS(الإدخال!$N$5:$N$644,الإدخال!$D$5:$D$644,$A14))</f>
        <v>2</v>
      </c>
      <c r="W14" s="73">
        <f>IF($A14="","",COUNTIFS(الإدخال!$D$5:$D$644,$A14,الإدخال!$F$5:$F$644,"متأخر"))</f>
        <v>0</v>
      </c>
      <c r="X14" s="73">
        <f>IF($A14="","",COUNTIFS(الإدخال!$D$5:$D$644,$A14,الإدخال!$F$5:$F$644,"غائب"))</f>
        <v>0</v>
      </c>
      <c r="Y14" s="73">
        <f>IF($A14="","",COUNTIFS(الإدخال!$D$5:$D$644,$A14,الإدخال!$F$5:$F$644,"معتذر"))</f>
        <v>0</v>
      </c>
      <c r="Z14" s="73">
        <f>IF($A14="","",SUMIFS(الإدخال!$H$5:$H$644,الإدخال!$D$5:$D$644,$A14,الإدخال!$N$5:$N$644,1))</f>
        <v>3</v>
      </c>
      <c r="AA14" s="73">
        <f>IF($A14="","",SUMIFS(الإدخال!$I$5:$I$644,الإدخال!$D$5:$D$644,$A14,الإدخال!$N$5:$N$644,1))</f>
        <v>30</v>
      </c>
      <c r="AB14" s="73">
        <f>IF($A14="","",SUMIFS(الإدخال!$J$5:$J$644,الإدخال!$D$5:$D$644,$A14,الإدخال!$N$5:$N$644,1))</f>
        <v>0</v>
      </c>
      <c r="AC14" s="36">
        <f>IFERROR(MATCH($C$3&amp;"|10",الطلاب!$E$5:$E$44,0),"")</f>
        <v>29</v>
      </c>
    </row>
    <row r="15" spans="1:29">
      <c r="A15" s="18">
        <f>IF($AC15="","",INDEX(الطلاب!$A$5:$A$44,$AC15))</f>
        <v>30</v>
      </c>
      <c r="B15" s="68" t="str">
        <f>IF($AC15="","",INDEX(الطلاب!$B$5:$B$44,$AC15))</f>
        <v>فواز الشدوخي</v>
      </c>
      <c r="C15" s="69" t="str">
        <f>IF($AC15="","",INDEX(الطلاب!$D$5:$D$44,$AC15))</f>
        <v xml:space="preserve">ابي بن مالك </v>
      </c>
      <c r="D15" s="70">
        <f>IF($A15="","",IF(COUNTIFS(الإدخال!$A$5:$A$644,D$5,الإدخال!$D$5:$D$644,$A15,الإدخال!$F$5:$F$644,"غائب",الإدخال!$G$5:$G$644,"")&gt;0,"غ",IF(COUNTIFS(الإدخال!$A$5:$A$644,D$5,الإدخال!$D$5:$D$644,$A15,الإدخال!$F$5:$F$644,"معتذر",الإدخال!$G$5:$G$644,"")&gt;0,"ع",IF(SUMIFS(الإدخال!$P$5:$P$644,الإدخال!$A$5:$A$644,D$5,الإدخال!$D$5:$D$644,$A15)&gt;0,SUMIFS(الإدخال!$O$5:$O$644,الإدخال!$A$5:$A$644,D$5,الإدخال!$D$5:$D$644,$A15)/100,""))))</f>
        <v>0.85</v>
      </c>
      <c r="E15" s="70">
        <f>IF($A15="","",IF(COUNTIFS(الإدخال!$A$5:$A$644,E$5,الإدخال!$D$5:$D$644,$A15,الإدخال!$F$5:$F$644,"غائب",الإدخال!$G$5:$G$644,"")&gt;0,"غ",IF(COUNTIFS(الإدخال!$A$5:$A$644,E$5,الإدخال!$D$5:$D$644,$A15,الإدخال!$F$5:$F$644,"معتذر",الإدخال!$G$5:$G$644,"")&gt;0,"ع",IF(SUMIFS(الإدخال!$P$5:$P$644,الإدخال!$A$5:$A$644,E$5,الإدخال!$D$5:$D$644,$A15)&gt;0,SUMIFS(الإدخال!$O$5:$O$644,الإدخال!$A$5:$A$644,E$5,الإدخال!$D$5:$D$644,$A15)/100,""))))</f>
        <v>0.92</v>
      </c>
      <c r="F15" s="70" t="str">
        <f>IF($A15="","",IF(COUNTIFS(الإدخال!$A$5:$A$644,F$5,الإدخال!$D$5:$D$644,$A15,الإدخال!$F$5:$F$644,"غائب",الإدخال!$G$5:$G$644,"")&gt;0,"غ",IF(COUNTIFS(الإدخال!$A$5:$A$644,F$5,الإدخال!$D$5:$D$644,$A15,الإدخال!$F$5:$F$644,"معتذر",الإدخال!$G$5:$G$644,"")&gt;0,"ع",IF(SUMIFS(الإدخال!$P$5:$P$644,الإدخال!$A$5:$A$644,F$5,الإدخال!$D$5:$D$644,$A15)&gt;0,SUMIFS(الإدخال!$O$5:$O$644,الإدخال!$A$5:$A$644,F$5,الإدخال!$D$5:$D$644,$A15)/100,""))))</f>
        <v/>
      </c>
      <c r="G15" s="70" t="str">
        <f>IF($A15="","",IF(COUNTIFS(الإدخال!$A$5:$A$644,G$5,الإدخال!$D$5:$D$644,$A15,الإدخال!$F$5:$F$644,"غائب",الإدخال!$G$5:$G$644,"")&gt;0,"غ",IF(COUNTIFS(الإدخال!$A$5:$A$644,G$5,الإدخال!$D$5:$D$644,$A15,الإدخال!$F$5:$F$644,"معتذر",الإدخال!$G$5:$G$644,"")&gt;0,"ع",IF(SUMIFS(الإدخال!$P$5:$P$644,الإدخال!$A$5:$A$644,G$5,الإدخال!$D$5:$D$644,$A15)&gt;0,SUMIFS(الإدخال!$O$5:$O$644,الإدخال!$A$5:$A$644,G$5,الإدخال!$D$5:$D$644,$A15)/100,""))))</f>
        <v/>
      </c>
      <c r="H15" s="70" t="str">
        <f>IF($A15="","",IF(COUNTIFS(الإدخال!$A$5:$A$644,H$5,الإدخال!$D$5:$D$644,$A15,الإدخال!$F$5:$F$644,"غائب",الإدخال!$G$5:$G$644,"")&gt;0,"غ",IF(COUNTIFS(الإدخال!$A$5:$A$644,H$5,الإدخال!$D$5:$D$644,$A15,الإدخال!$F$5:$F$644,"معتذر",الإدخال!$G$5:$G$644,"")&gt;0,"ع",IF(SUMIFS(الإدخال!$P$5:$P$644,الإدخال!$A$5:$A$644,H$5,الإدخال!$D$5:$D$644,$A15)&gt;0,SUMIFS(الإدخال!$O$5:$O$644,الإدخال!$A$5:$A$644,H$5,الإدخال!$D$5:$D$644,$A15)/100,""))))</f>
        <v/>
      </c>
      <c r="I15" s="70" t="str">
        <f>IF($A15="","",IF(COUNTIFS(الإدخال!$A$5:$A$644,I$5,الإدخال!$D$5:$D$644,$A15,الإدخال!$F$5:$F$644,"غائب",الإدخال!$G$5:$G$644,"")&gt;0,"غ",IF(COUNTIFS(الإدخال!$A$5:$A$644,I$5,الإدخال!$D$5:$D$644,$A15,الإدخال!$F$5:$F$644,"معتذر",الإدخال!$G$5:$G$644,"")&gt;0,"ع",IF(SUMIFS(الإدخال!$P$5:$P$644,الإدخال!$A$5:$A$644,I$5,الإدخال!$D$5:$D$644,$A15)&gt;0,SUMIFS(الإدخال!$O$5:$O$644,الإدخال!$A$5:$A$644,I$5,الإدخال!$D$5:$D$644,$A15)/100,""))))</f>
        <v/>
      </c>
      <c r="J15" s="70" t="str">
        <f>IF($A15="","",IF(COUNTIFS(الإدخال!$A$5:$A$644,J$5,الإدخال!$D$5:$D$644,$A15,الإدخال!$F$5:$F$644,"غائب",الإدخال!$G$5:$G$644,"")&gt;0,"غ",IF(COUNTIFS(الإدخال!$A$5:$A$644,J$5,الإدخال!$D$5:$D$644,$A15,الإدخال!$F$5:$F$644,"معتذر",الإدخال!$G$5:$G$644,"")&gt;0,"ع",IF(SUMIFS(الإدخال!$P$5:$P$644,الإدخال!$A$5:$A$644,J$5,الإدخال!$D$5:$D$644,$A15)&gt;0,SUMIFS(الإدخال!$O$5:$O$644,الإدخال!$A$5:$A$644,J$5,الإدخال!$D$5:$D$644,$A15)/100,""))))</f>
        <v/>
      </c>
      <c r="K15" s="70" t="str">
        <f>IF($A15="","",IF(COUNTIFS(الإدخال!$A$5:$A$644,K$5,الإدخال!$D$5:$D$644,$A15,الإدخال!$F$5:$F$644,"غائب",الإدخال!$G$5:$G$644,"")&gt;0,"غ",IF(COUNTIFS(الإدخال!$A$5:$A$644,K$5,الإدخال!$D$5:$D$644,$A15,الإدخال!$F$5:$F$644,"معتذر",الإدخال!$G$5:$G$644,"")&gt;0,"ع",IF(SUMIFS(الإدخال!$P$5:$P$644,الإدخال!$A$5:$A$644,K$5,الإدخال!$D$5:$D$644,$A15)&gt;0,SUMIFS(الإدخال!$O$5:$O$644,الإدخال!$A$5:$A$644,K$5,الإدخال!$D$5:$D$644,$A15)/100,""))))</f>
        <v/>
      </c>
      <c r="L15" s="70" t="str">
        <f>IF($A15="","",IF(COUNTIFS(الإدخال!$A$5:$A$644,L$5,الإدخال!$D$5:$D$644,$A15,الإدخال!$F$5:$F$644,"غائب",الإدخال!$G$5:$G$644,"")&gt;0,"غ",IF(COUNTIFS(الإدخال!$A$5:$A$644,L$5,الإدخال!$D$5:$D$644,$A15,الإدخال!$F$5:$F$644,"معتذر",الإدخال!$G$5:$G$644,"")&gt;0,"ع",IF(SUMIFS(الإدخال!$P$5:$P$644,الإدخال!$A$5:$A$644,L$5,الإدخال!$D$5:$D$644,$A15)&gt;0,SUMIFS(الإدخال!$O$5:$O$644,الإدخال!$A$5:$A$644,L$5,الإدخال!$D$5:$D$644,$A15)/100,""))))</f>
        <v/>
      </c>
      <c r="M15" s="70" t="str">
        <f>IF($A15="","",IF(COUNTIFS(الإدخال!$A$5:$A$644,M$5,الإدخال!$D$5:$D$644,$A15,الإدخال!$F$5:$F$644,"غائب",الإدخال!$G$5:$G$644,"")&gt;0,"غ",IF(COUNTIFS(الإدخال!$A$5:$A$644,M$5,الإدخال!$D$5:$D$644,$A15,الإدخال!$F$5:$F$644,"معتذر",الإدخال!$G$5:$G$644,"")&gt;0,"ع",IF(SUMIFS(الإدخال!$P$5:$P$644,الإدخال!$A$5:$A$644,M$5,الإدخال!$D$5:$D$644,$A15)&gt;0,SUMIFS(الإدخال!$O$5:$O$644,الإدخال!$A$5:$A$644,M$5,الإدخال!$D$5:$D$644,$A15)/100,""))))</f>
        <v/>
      </c>
      <c r="N15" s="70" t="str">
        <f>IF($A15="","",IF(COUNTIFS(الإدخال!$A$5:$A$644,N$5,الإدخال!$D$5:$D$644,$A15,الإدخال!$F$5:$F$644,"غائب",الإدخال!$G$5:$G$644,"")&gt;0,"غ",IF(COUNTIFS(الإدخال!$A$5:$A$644,N$5,الإدخال!$D$5:$D$644,$A15,الإدخال!$F$5:$F$644,"معتذر",الإدخال!$G$5:$G$644,"")&gt;0,"ع",IF(SUMIFS(الإدخال!$P$5:$P$644,الإدخال!$A$5:$A$644,N$5,الإدخال!$D$5:$D$644,$A15)&gt;0,SUMIFS(الإدخال!$O$5:$O$644,الإدخال!$A$5:$A$644,N$5,الإدخال!$D$5:$D$644,$A15)/100,""))))</f>
        <v/>
      </c>
      <c r="O15" s="70" t="str">
        <f>IF($A15="","",IF(COUNTIFS(الإدخال!$A$5:$A$644,O$5,الإدخال!$D$5:$D$644,$A15,الإدخال!$F$5:$F$644,"غائب",الإدخال!$G$5:$G$644,"")&gt;0,"غ",IF(COUNTIFS(الإدخال!$A$5:$A$644,O$5,الإدخال!$D$5:$D$644,$A15,الإدخال!$F$5:$F$644,"معتذر",الإدخال!$G$5:$G$644,"")&gt;0,"ع",IF(SUMIFS(الإدخال!$P$5:$P$644,الإدخال!$A$5:$A$644,O$5,الإدخال!$D$5:$D$644,$A15)&gt;0,SUMIFS(الإدخال!$O$5:$O$644,الإدخال!$A$5:$A$644,O$5,الإدخال!$D$5:$D$644,$A15)/100,""))))</f>
        <v/>
      </c>
      <c r="P15" s="70" t="str">
        <f>IF($A15="","",IF(COUNTIFS(الإدخال!$A$5:$A$644,P$5,الإدخال!$D$5:$D$644,$A15,الإدخال!$F$5:$F$644,"غائب",الإدخال!$G$5:$G$644,"")&gt;0,"غ",IF(COUNTIFS(الإدخال!$A$5:$A$644,P$5,الإدخال!$D$5:$D$644,$A15,الإدخال!$F$5:$F$644,"معتذر",الإدخال!$G$5:$G$644,"")&gt;0,"ع",IF(SUMIFS(الإدخال!$P$5:$P$644,الإدخال!$A$5:$A$644,P$5,الإدخال!$D$5:$D$644,$A15)&gt;0,SUMIFS(الإدخال!$O$5:$O$644,الإدخال!$A$5:$A$644,P$5,الإدخال!$D$5:$D$644,$A15)/100,""))))</f>
        <v/>
      </c>
      <c r="Q15" s="70" t="str">
        <f>IF($A15="","",IF(COUNTIFS(الإدخال!$A$5:$A$644,Q$5,الإدخال!$D$5:$D$644,$A15,الإدخال!$F$5:$F$644,"غائب",الإدخال!$G$5:$G$644,"")&gt;0,"غ",IF(COUNTIFS(الإدخال!$A$5:$A$644,Q$5,الإدخال!$D$5:$D$644,$A15,الإدخال!$F$5:$F$644,"معتذر",الإدخال!$G$5:$G$644,"")&gt;0,"ع",IF(SUMIFS(الإدخال!$P$5:$P$644,الإدخال!$A$5:$A$644,Q$5,الإدخال!$D$5:$D$644,$A15)&gt;0,SUMIFS(الإدخال!$O$5:$O$644,الإدخال!$A$5:$A$644,Q$5,الإدخال!$D$5:$D$644,$A15)/100,""))))</f>
        <v/>
      </c>
      <c r="R15" s="70" t="str">
        <f>IF($A15="","",IF(COUNTIFS(الإدخال!$A$5:$A$644,R$5,الإدخال!$D$5:$D$644,$A15,الإدخال!$F$5:$F$644,"غائب",الإدخال!$G$5:$G$644,"")&gt;0,"غ",IF(COUNTIFS(الإدخال!$A$5:$A$644,R$5,الإدخال!$D$5:$D$644,$A15,الإدخال!$F$5:$F$644,"معتذر",الإدخال!$G$5:$G$644,"")&gt;0,"ع",IF(SUMIFS(الإدخال!$P$5:$P$644,الإدخال!$A$5:$A$644,R$5,الإدخال!$D$5:$D$644,$A15)&gt;0,SUMIFS(الإدخال!$O$5:$O$644,الإدخال!$A$5:$A$644,R$5,الإدخال!$D$5:$D$644,$A15)/100,""))))</f>
        <v/>
      </c>
      <c r="S15" s="70" t="str">
        <f>IF($A15="","",IF(COUNTIFS(الإدخال!$A$5:$A$644,S$5,الإدخال!$D$5:$D$644,$A15,الإدخال!$F$5:$F$644,"غائب",الإدخال!$G$5:$G$644,"")&gt;0,"غ",IF(COUNTIFS(الإدخال!$A$5:$A$644,S$5,الإدخال!$D$5:$D$644,$A15,الإدخال!$F$5:$F$644,"معتذر",الإدخال!$G$5:$G$644,"")&gt;0,"ع",IF(SUMIFS(الإدخال!$P$5:$P$644,الإدخال!$A$5:$A$644,S$5,الإدخال!$D$5:$D$644,$A15)&gt;0,SUMIFS(الإدخال!$O$5:$O$644,الإدخال!$A$5:$A$644,S$5,الإدخال!$D$5:$D$644,$A15)/100,""))))</f>
        <v/>
      </c>
      <c r="T15" s="71">
        <f>IF($A15="","",IFERROR(SUMIFS(الإدخال!$O$5:$O$644,الإدخال!$D$5:$D$644,$A15)/SUMIFS(الإدخال!$P$5:$P$644,الإدخال!$D$5:$D$644,$A15)/100,""))</f>
        <v>0.88500000000000001</v>
      </c>
      <c r="U15" s="72" t="str">
        <f t="shared" si="0"/>
        <v>جيد جدًا</v>
      </c>
      <c r="V15" s="72">
        <f>IF($A15="","",SUMIFS(الإدخال!$N$5:$N$644,الإدخال!$D$5:$D$644,$A15))</f>
        <v>2</v>
      </c>
      <c r="W15" s="73">
        <f>IF($A15="","",COUNTIFS(الإدخال!$D$5:$D$644,$A15,الإدخال!$F$5:$F$644,"متأخر"))</f>
        <v>0</v>
      </c>
      <c r="X15" s="73">
        <f>IF($A15="","",COUNTIFS(الإدخال!$D$5:$D$644,$A15,الإدخال!$F$5:$F$644,"غائب"))</f>
        <v>0</v>
      </c>
      <c r="Y15" s="73">
        <f>IF($A15="","",COUNTIFS(الإدخال!$D$5:$D$644,$A15,الإدخال!$F$5:$F$644,"معتذر"))</f>
        <v>0</v>
      </c>
      <c r="Z15" s="73">
        <f>IF($A15="","",SUMIFS(الإدخال!$H$5:$H$644,الإدخال!$D$5:$D$644,$A15,الإدخال!$N$5:$N$644,1))</f>
        <v>9</v>
      </c>
      <c r="AA15" s="73">
        <f>IF($A15="","",SUMIFS(الإدخال!$I$5:$I$644,الإدخال!$D$5:$D$644,$A15,الإدخال!$N$5:$N$644,1))</f>
        <v>60</v>
      </c>
      <c r="AB15" s="73">
        <f>IF($A15="","",SUMIFS(الإدخال!$J$5:$J$644,الإدخال!$D$5:$D$644,$A15,الإدخال!$N$5:$N$644,1))</f>
        <v>0</v>
      </c>
      <c r="AC15" s="36">
        <f>IFERROR(MATCH($C$3&amp;"|11",الطلاب!$E$5:$E$44,0),"")</f>
        <v>30</v>
      </c>
    </row>
    <row r="16" spans="1:29">
      <c r="A16" s="18">
        <f>IF($AC16="","",INDEX(الطلاب!$A$5:$A$44,$AC16))</f>
        <v>31</v>
      </c>
      <c r="B16" s="68" t="str">
        <f>IF($AC16="","",INDEX(الطلاب!$B$5:$B$44,$AC16))</f>
        <v>محمد الطامي</v>
      </c>
      <c r="C16" s="69" t="str">
        <f>IF($AC16="","",INDEX(الطلاب!$D$5:$D$44,$AC16))</f>
        <v xml:space="preserve">ابي بن مالك </v>
      </c>
      <c r="D16" s="70">
        <f>IF($A16="","",IF(COUNTIFS(الإدخال!$A$5:$A$644,D$5,الإدخال!$D$5:$D$644,$A16,الإدخال!$F$5:$F$644,"غائب",الإدخال!$G$5:$G$644,"")&gt;0,"غ",IF(COUNTIFS(الإدخال!$A$5:$A$644,D$5,الإدخال!$D$5:$D$644,$A16,الإدخال!$F$5:$F$644,"معتذر",الإدخال!$G$5:$G$644,"")&gt;0,"ع",IF(SUMIFS(الإدخال!$P$5:$P$644,الإدخال!$A$5:$A$644,D$5,الإدخال!$D$5:$D$644,$A16)&gt;0,SUMIFS(الإدخال!$O$5:$O$644,الإدخال!$A$5:$A$644,D$5,الإدخال!$D$5:$D$644,$A16)/100,""))))</f>
        <v>0.92</v>
      </c>
      <c r="E16" s="70">
        <f>IF($A16="","",IF(COUNTIFS(الإدخال!$A$5:$A$644,E$5,الإدخال!$D$5:$D$644,$A16,الإدخال!$F$5:$F$644,"غائب",الإدخال!$G$5:$G$644,"")&gt;0,"غ",IF(COUNTIFS(الإدخال!$A$5:$A$644,E$5,الإدخال!$D$5:$D$644,$A16,الإدخال!$F$5:$F$644,"معتذر",الإدخال!$G$5:$G$644,"")&gt;0,"ع",IF(SUMIFS(الإدخال!$P$5:$P$644,الإدخال!$A$5:$A$644,E$5,الإدخال!$D$5:$D$644,$A16)&gt;0,SUMIFS(الإدخال!$O$5:$O$644,الإدخال!$A$5:$A$644,E$5,الإدخال!$D$5:$D$644,$A16)/100,""))))</f>
        <v>0.96</v>
      </c>
      <c r="F16" s="70" t="str">
        <f>IF($A16="","",IF(COUNTIFS(الإدخال!$A$5:$A$644,F$5,الإدخال!$D$5:$D$644,$A16,الإدخال!$F$5:$F$644,"غائب",الإدخال!$G$5:$G$644,"")&gt;0,"غ",IF(COUNTIFS(الإدخال!$A$5:$A$644,F$5,الإدخال!$D$5:$D$644,$A16,الإدخال!$F$5:$F$644,"معتذر",الإدخال!$G$5:$G$644,"")&gt;0,"ع",IF(SUMIFS(الإدخال!$P$5:$P$644,الإدخال!$A$5:$A$644,F$5,الإدخال!$D$5:$D$644,$A16)&gt;0,SUMIFS(الإدخال!$O$5:$O$644,الإدخال!$A$5:$A$644,F$5,الإدخال!$D$5:$D$644,$A16)/100,""))))</f>
        <v/>
      </c>
      <c r="G16" s="70" t="str">
        <f>IF($A16="","",IF(COUNTIFS(الإدخال!$A$5:$A$644,G$5,الإدخال!$D$5:$D$644,$A16,الإدخال!$F$5:$F$644,"غائب",الإدخال!$G$5:$G$644,"")&gt;0,"غ",IF(COUNTIFS(الإدخال!$A$5:$A$644,G$5,الإدخال!$D$5:$D$644,$A16,الإدخال!$F$5:$F$644,"معتذر",الإدخال!$G$5:$G$644,"")&gt;0,"ع",IF(SUMIFS(الإدخال!$P$5:$P$644,الإدخال!$A$5:$A$644,G$5,الإدخال!$D$5:$D$644,$A16)&gt;0,SUMIFS(الإدخال!$O$5:$O$644,الإدخال!$A$5:$A$644,G$5,الإدخال!$D$5:$D$644,$A16)/100,""))))</f>
        <v/>
      </c>
      <c r="H16" s="70" t="str">
        <f>IF($A16="","",IF(COUNTIFS(الإدخال!$A$5:$A$644,H$5,الإدخال!$D$5:$D$644,$A16,الإدخال!$F$5:$F$644,"غائب",الإدخال!$G$5:$G$644,"")&gt;0,"غ",IF(COUNTIFS(الإدخال!$A$5:$A$644,H$5,الإدخال!$D$5:$D$644,$A16,الإدخال!$F$5:$F$644,"معتذر",الإدخال!$G$5:$G$644,"")&gt;0,"ع",IF(SUMIFS(الإدخال!$P$5:$P$644,الإدخال!$A$5:$A$644,H$5,الإدخال!$D$5:$D$644,$A16)&gt;0,SUMIFS(الإدخال!$O$5:$O$644,الإدخال!$A$5:$A$644,H$5,الإدخال!$D$5:$D$644,$A16)/100,""))))</f>
        <v/>
      </c>
      <c r="I16" s="70" t="str">
        <f>IF($A16="","",IF(COUNTIFS(الإدخال!$A$5:$A$644,I$5,الإدخال!$D$5:$D$644,$A16,الإدخال!$F$5:$F$644,"غائب",الإدخال!$G$5:$G$644,"")&gt;0,"غ",IF(COUNTIFS(الإدخال!$A$5:$A$644,I$5,الإدخال!$D$5:$D$644,$A16,الإدخال!$F$5:$F$644,"معتذر",الإدخال!$G$5:$G$644,"")&gt;0,"ع",IF(SUMIFS(الإدخال!$P$5:$P$644,الإدخال!$A$5:$A$644,I$5,الإدخال!$D$5:$D$644,$A16)&gt;0,SUMIFS(الإدخال!$O$5:$O$644,الإدخال!$A$5:$A$644,I$5,الإدخال!$D$5:$D$644,$A16)/100,""))))</f>
        <v/>
      </c>
      <c r="J16" s="70" t="str">
        <f>IF($A16="","",IF(COUNTIFS(الإدخال!$A$5:$A$644,J$5,الإدخال!$D$5:$D$644,$A16,الإدخال!$F$5:$F$644,"غائب",الإدخال!$G$5:$G$644,"")&gt;0,"غ",IF(COUNTIFS(الإدخال!$A$5:$A$644,J$5,الإدخال!$D$5:$D$644,$A16,الإدخال!$F$5:$F$644,"معتذر",الإدخال!$G$5:$G$644,"")&gt;0,"ع",IF(SUMIFS(الإدخال!$P$5:$P$644,الإدخال!$A$5:$A$644,J$5,الإدخال!$D$5:$D$644,$A16)&gt;0,SUMIFS(الإدخال!$O$5:$O$644,الإدخال!$A$5:$A$644,J$5,الإدخال!$D$5:$D$644,$A16)/100,""))))</f>
        <v/>
      </c>
      <c r="K16" s="70" t="str">
        <f>IF($A16="","",IF(COUNTIFS(الإدخال!$A$5:$A$644,K$5,الإدخال!$D$5:$D$644,$A16,الإدخال!$F$5:$F$644,"غائب",الإدخال!$G$5:$G$644,"")&gt;0,"غ",IF(COUNTIFS(الإدخال!$A$5:$A$644,K$5,الإدخال!$D$5:$D$644,$A16,الإدخال!$F$5:$F$644,"معتذر",الإدخال!$G$5:$G$644,"")&gt;0,"ع",IF(SUMIFS(الإدخال!$P$5:$P$644,الإدخال!$A$5:$A$644,K$5,الإدخال!$D$5:$D$644,$A16)&gt;0,SUMIFS(الإدخال!$O$5:$O$644,الإدخال!$A$5:$A$644,K$5,الإدخال!$D$5:$D$644,$A16)/100,""))))</f>
        <v/>
      </c>
      <c r="L16" s="70" t="str">
        <f>IF($A16="","",IF(COUNTIFS(الإدخال!$A$5:$A$644,L$5,الإدخال!$D$5:$D$644,$A16,الإدخال!$F$5:$F$644,"غائب",الإدخال!$G$5:$G$644,"")&gt;0,"غ",IF(COUNTIFS(الإدخال!$A$5:$A$644,L$5,الإدخال!$D$5:$D$644,$A16,الإدخال!$F$5:$F$644,"معتذر",الإدخال!$G$5:$G$644,"")&gt;0,"ع",IF(SUMIFS(الإدخال!$P$5:$P$644,الإدخال!$A$5:$A$644,L$5,الإدخال!$D$5:$D$644,$A16)&gt;0,SUMIFS(الإدخال!$O$5:$O$644,الإدخال!$A$5:$A$644,L$5,الإدخال!$D$5:$D$644,$A16)/100,""))))</f>
        <v/>
      </c>
      <c r="M16" s="70" t="str">
        <f>IF($A16="","",IF(COUNTIFS(الإدخال!$A$5:$A$644,M$5,الإدخال!$D$5:$D$644,$A16,الإدخال!$F$5:$F$644,"غائب",الإدخال!$G$5:$G$644,"")&gt;0,"غ",IF(COUNTIFS(الإدخال!$A$5:$A$644,M$5,الإدخال!$D$5:$D$644,$A16,الإدخال!$F$5:$F$644,"معتذر",الإدخال!$G$5:$G$644,"")&gt;0,"ع",IF(SUMIFS(الإدخال!$P$5:$P$644,الإدخال!$A$5:$A$644,M$5,الإدخال!$D$5:$D$644,$A16)&gt;0,SUMIFS(الإدخال!$O$5:$O$644,الإدخال!$A$5:$A$644,M$5,الإدخال!$D$5:$D$644,$A16)/100,""))))</f>
        <v/>
      </c>
      <c r="N16" s="70" t="str">
        <f>IF($A16="","",IF(COUNTIFS(الإدخال!$A$5:$A$644,N$5,الإدخال!$D$5:$D$644,$A16,الإدخال!$F$5:$F$644,"غائب",الإدخال!$G$5:$G$644,"")&gt;0,"غ",IF(COUNTIFS(الإدخال!$A$5:$A$644,N$5,الإدخال!$D$5:$D$644,$A16,الإدخال!$F$5:$F$644,"معتذر",الإدخال!$G$5:$G$644,"")&gt;0,"ع",IF(SUMIFS(الإدخال!$P$5:$P$644,الإدخال!$A$5:$A$644,N$5,الإدخال!$D$5:$D$644,$A16)&gt;0,SUMIFS(الإدخال!$O$5:$O$644,الإدخال!$A$5:$A$644,N$5,الإدخال!$D$5:$D$644,$A16)/100,""))))</f>
        <v/>
      </c>
      <c r="O16" s="70" t="str">
        <f>IF($A16="","",IF(COUNTIFS(الإدخال!$A$5:$A$644,O$5,الإدخال!$D$5:$D$644,$A16,الإدخال!$F$5:$F$644,"غائب",الإدخال!$G$5:$G$644,"")&gt;0,"غ",IF(COUNTIFS(الإدخال!$A$5:$A$644,O$5,الإدخال!$D$5:$D$644,$A16,الإدخال!$F$5:$F$644,"معتذر",الإدخال!$G$5:$G$644,"")&gt;0,"ع",IF(SUMIFS(الإدخال!$P$5:$P$644,الإدخال!$A$5:$A$644,O$5,الإدخال!$D$5:$D$644,$A16)&gt;0,SUMIFS(الإدخال!$O$5:$O$644,الإدخال!$A$5:$A$644,O$5,الإدخال!$D$5:$D$644,$A16)/100,""))))</f>
        <v/>
      </c>
      <c r="P16" s="70" t="str">
        <f>IF($A16="","",IF(COUNTIFS(الإدخال!$A$5:$A$644,P$5,الإدخال!$D$5:$D$644,$A16,الإدخال!$F$5:$F$644,"غائب",الإدخال!$G$5:$G$644,"")&gt;0,"غ",IF(COUNTIFS(الإدخال!$A$5:$A$644,P$5,الإدخال!$D$5:$D$644,$A16,الإدخال!$F$5:$F$644,"معتذر",الإدخال!$G$5:$G$644,"")&gt;0,"ع",IF(SUMIFS(الإدخال!$P$5:$P$644,الإدخال!$A$5:$A$644,P$5,الإدخال!$D$5:$D$644,$A16)&gt;0,SUMIFS(الإدخال!$O$5:$O$644,الإدخال!$A$5:$A$644,P$5,الإدخال!$D$5:$D$644,$A16)/100,""))))</f>
        <v/>
      </c>
      <c r="Q16" s="70" t="str">
        <f>IF($A16="","",IF(COUNTIFS(الإدخال!$A$5:$A$644,Q$5,الإدخال!$D$5:$D$644,$A16,الإدخال!$F$5:$F$644,"غائب",الإدخال!$G$5:$G$644,"")&gt;0,"غ",IF(COUNTIFS(الإدخال!$A$5:$A$644,Q$5,الإدخال!$D$5:$D$644,$A16,الإدخال!$F$5:$F$644,"معتذر",الإدخال!$G$5:$G$644,"")&gt;0,"ع",IF(SUMIFS(الإدخال!$P$5:$P$644,الإدخال!$A$5:$A$644,Q$5,الإدخال!$D$5:$D$644,$A16)&gt;0,SUMIFS(الإدخال!$O$5:$O$644,الإدخال!$A$5:$A$644,Q$5,الإدخال!$D$5:$D$644,$A16)/100,""))))</f>
        <v/>
      </c>
      <c r="R16" s="70" t="str">
        <f>IF($A16="","",IF(COUNTIFS(الإدخال!$A$5:$A$644,R$5,الإدخال!$D$5:$D$644,$A16,الإدخال!$F$5:$F$644,"غائب",الإدخال!$G$5:$G$644,"")&gt;0,"غ",IF(COUNTIFS(الإدخال!$A$5:$A$644,R$5,الإدخال!$D$5:$D$644,$A16,الإدخال!$F$5:$F$644,"معتذر",الإدخال!$G$5:$G$644,"")&gt;0,"ع",IF(SUMIFS(الإدخال!$P$5:$P$644,الإدخال!$A$5:$A$644,R$5,الإدخال!$D$5:$D$644,$A16)&gt;0,SUMIFS(الإدخال!$O$5:$O$644,الإدخال!$A$5:$A$644,R$5,الإدخال!$D$5:$D$644,$A16)/100,""))))</f>
        <v/>
      </c>
      <c r="S16" s="70" t="str">
        <f>IF($A16="","",IF(COUNTIFS(الإدخال!$A$5:$A$644,S$5,الإدخال!$D$5:$D$644,$A16,الإدخال!$F$5:$F$644,"غائب",الإدخال!$G$5:$G$644,"")&gt;0,"غ",IF(COUNTIFS(الإدخال!$A$5:$A$644,S$5,الإدخال!$D$5:$D$644,$A16,الإدخال!$F$5:$F$644,"معتذر",الإدخال!$G$5:$G$644,"")&gt;0,"ع",IF(SUMIFS(الإدخال!$P$5:$P$644,الإدخال!$A$5:$A$644,S$5,الإدخال!$D$5:$D$644,$A16)&gt;0,SUMIFS(الإدخال!$O$5:$O$644,الإدخال!$A$5:$A$644,S$5,الإدخال!$D$5:$D$644,$A16)/100,""))))</f>
        <v/>
      </c>
      <c r="T16" s="71">
        <f>IF($A16="","",IFERROR(SUMIFS(الإدخال!$O$5:$O$644,الإدخال!$D$5:$D$644,$A16)/SUMIFS(الإدخال!$P$5:$P$644,الإدخال!$D$5:$D$644,$A16)/100,""))</f>
        <v>0.94</v>
      </c>
      <c r="U16" s="72" t="str">
        <f t="shared" si="0"/>
        <v>ممتاز</v>
      </c>
      <c r="V16" s="72">
        <f>IF($A16="","",SUMIFS(الإدخال!$N$5:$N$644,الإدخال!$D$5:$D$644,$A16))</f>
        <v>2</v>
      </c>
      <c r="W16" s="73">
        <f>IF($A16="","",COUNTIFS(الإدخال!$D$5:$D$644,$A16,الإدخال!$F$5:$F$644,"متأخر"))</f>
        <v>0</v>
      </c>
      <c r="X16" s="73">
        <f>IF($A16="","",COUNTIFS(الإدخال!$D$5:$D$644,$A16,الإدخال!$F$5:$F$644,"غائب"))</f>
        <v>0</v>
      </c>
      <c r="Y16" s="73">
        <f>IF($A16="","",COUNTIFS(الإدخال!$D$5:$D$644,$A16,الإدخال!$F$5:$F$644,"معتذر"))</f>
        <v>0</v>
      </c>
      <c r="Z16" s="73">
        <f>IF($A16="","",SUMIFS(الإدخال!$H$5:$H$644,الإدخال!$D$5:$D$644,$A16,الإدخال!$N$5:$N$644,1))</f>
        <v>5</v>
      </c>
      <c r="AA16" s="73">
        <f>IF($A16="","",SUMIFS(الإدخال!$I$5:$I$644,الإدخال!$D$5:$D$644,$A16,الإدخال!$N$5:$N$644,1))</f>
        <v>70</v>
      </c>
      <c r="AB16" s="73">
        <f>IF($A16="","",SUMIFS(الإدخال!$J$5:$J$644,الإدخال!$D$5:$D$644,$A16,الإدخال!$N$5:$N$644,1))</f>
        <v>0</v>
      </c>
      <c r="AC16" s="36">
        <f>IFERROR(MATCH($C$3&amp;"|12",الطلاب!$E$5:$E$44,0),"")</f>
        <v>31</v>
      </c>
    </row>
    <row r="17" spans="1:29">
      <c r="A17" s="18">
        <f>IF($AC17="","",INDEX(الطلاب!$A$5:$A$44,$AC17))</f>
        <v>32</v>
      </c>
      <c r="B17" s="68" t="str">
        <f>IF($AC17="","",INDEX(الطلاب!$B$5:$B$44,$AC17))</f>
        <v xml:space="preserve">مهند الغماس </v>
      </c>
      <c r="C17" s="69" t="str">
        <f>IF($AC17="","",INDEX(الطلاب!$D$5:$D$44,$AC17))</f>
        <v xml:space="preserve">ابي بن مالك </v>
      </c>
      <c r="D17" s="70">
        <f>IF($A17="","",IF(COUNTIFS(الإدخال!$A$5:$A$644,D$5,الإدخال!$D$5:$D$644,$A17,الإدخال!$F$5:$F$644,"غائب",الإدخال!$G$5:$G$644,"")&gt;0,"غ",IF(COUNTIFS(الإدخال!$A$5:$A$644,D$5,الإدخال!$D$5:$D$644,$A17,الإدخال!$F$5:$F$644,"معتذر",الإدخال!$G$5:$G$644,"")&gt;0,"ع",IF(SUMIFS(الإدخال!$P$5:$P$644,الإدخال!$A$5:$A$644,D$5,الإدخال!$D$5:$D$644,$A17)&gt;0,SUMIFS(الإدخال!$O$5:$O$644,الإدخال!$A$5:$A$644,D$5,الإدخال!$D$5:$D$644,$A17)/100,""))))</f>
        <v>0.6</v>
      </c>
      <c r="E17" s="70">
        <f>IF($A17="","",IF(COUNTIFS(الإدخال!$A$5:$A$644,E$5,الإدخال!$D$5:$D$644,$A17,الإدخال!$F$5:$F$644,"غائب",الإدخال!$G$5:$G$644,"")&gt;0,"غ",IF(COUNTIFS(الإدخال!$A$5:$A$644,E$5,الإدخال!$D$5:$D$644,$A17,الإدخال!$F$5:$F$644,"معتذر",الإدخال!$G$5:$G$644,"")&gt;0,"ع",IF(SUMIFS(الإدخال!$P$5:$P$644,الإدخال!$A$5:$A$644,E$5,الإدخال!$D$5:$D$644,$A17)&gt;0,SUMIFS(الإدخال!$O$5:$O$644,الإدخال!$A$5:$A$644,E$5,الإدخال!$D$5:$D$644,$A17)/100,""))))</f>
        <v>0.25</v>
      </c>
      <c r="F17" s="70" t="str">
        <f>IF($A17="","",IF(COUNTIFS(الإدخال!$A$5:$A$644,F$5,الإدخال!$D$5:$D$644,$A17,الإدخال!$F$5:$F$644,"غائب",الإدخال!$G$5:$G$644,"")&gt;0,"غ",IF(COUNTIFS(الإدخال!$A$5:$A$644,F$5,الإدخال!$D$5:$D$644,$A17,الإدخال!$F$5:$F$644,"معتذر",الإدخال!$G$5:$G$644,"")&gt;0,"ع",IF(SUMIFS(الإدخال!$P$5:$P$644,الإدخال!$A$5:$A$644,F$5,الإدخال!$D$5:$D$644,$A17)&gt;0,SUMIFS(الإدخال!$O$5:$O$644,الإدخال!$A$5:$A$644,F$5,الإدخال!$D$5:$D$644,$A17)/100,""))))</f>
        <v/>
      </c>
      <c r="G17" s="70" t="str">
        <f>IF($A17="","",IF(COUNTIFS(الإدخال!$A$5:$A$644,G$5,الإدخال!$D$5:$D$644,$A17,الإدخال!$F$5:$F$644,"غائب",الإدخال!$G$5:$G$644,"")&gt;0,"غ",IF(COUNTIFS(الإدخال!$A$5:$A$644,G$5,الإدخال!$D$5:$D$644,$A17,الإدخال!$F$5:$F$644,"معتذر",الإدخال!$G$5:$G$644,"")&gt;0,"ع",IF(SUMIFS(الإدخال!$P$5:$P$644,الإدخال!$A$5:$A$644,G$5,الإدخال!$D$5:$D$644,$A17)&gt;0,SUMIFS(الإدخال!$O$5:$O$644,الإدخال!$A$5:$A$644,G$5,الإدخال!$D$5:$D$644,$A17)/100,""))))</f>
        <v/>
      </c>
      <c r="H17" s="70" t="str">
        <f>IF($A17="","",IF(COUNTIFS(الإدخال!$A$5:$A$644,H$5,الإدخال!$D$5:$D$644,$A17,الإدخال!$F$5:$F$644,"غائب",الإدخال!$G$5:$G$644,"")&gt;0,"غ",IF(COUNTIFS(الإدخال!$A$5:$A$644,H$5,الإدخال!$D$5:$D$644,$A17,الإدخال!$F$5:$F$644,"معتذر",الإدخال!$G$5:$G$644,"")&gt;0,"ع",IF(SUMIFS(الإدخال!$P$5:$P$644,الإدخال!$A$5:$A$644,H$5,الإدخال!$D$5:$D$644,$A17)&gt;0,SUMIFS(الإدخال!$O$5:$O$644,الإدخال!$A$5:$A$644,H$5,الإدخال!$D$5:$D$644,$A17)/100,""))))</f>
        <v/>
      </c>
      <c r="I17" s="70" t="str">
        <f>IF($A17="","",IF(COUNTIFS(الإدخال!$A$5:$A$644,I$5,الإدخال!$D$5:$D$644,$A17,الإدخال!$F$5:$F$644,"غائب",الإدخال!$G$5:$G$644,"")&gt;0,"غ",IF(COUNTIFS(الإدخال!$A$5:$A$644,I$5,الإدخال!$D$5:$D$644,$A17,الإدخال!$F$5:$F$644,"معتذر",الإدخال!$G$5:$G$644,"")&gt;0,"ع",IF(SUMIFS(الإدخال!$P$5:$P$644,الإدخال!$A$5:$A$644,I$5,الإدخال!$D$5:$D$644,$A17)&gt;0,SUMIFS(الإدخال!$O$5:$O$644,الإدخال!$A$5:$A$644,I$5,الإدخال!$D$5:$D$644,$A17)/100,""))))</f>
        <v/>
      </c>
      <c r="J17" s="70" t="str">
        <f>IF($A17="","",IF(COUNTIFS(الإدخال!$A$5:$A$644,J$5,الإدخال!$D$5:$D$644,$A17,الإدخال!$F$5:$F$644,"غائب",الإدخال!$G$5:$G$644,"")&gt;0,"غ",IF(COUNTIFS(الإدخال!$A$5:$A$644,J$5,الإدخال!$D$5:$D$644,$A17,الإدخال!$F$5:$F$644,"معتذر",الإدخال!$G$5:$G$644,"")&gt;0,"ع",IF(SUMIFS(الإدخال!$P$5:$P$644,الإدخال!$A$5:$A$644,J$5,الإدخال!$D$5:$D$644,$A17)&gt;0,SUMIFS(الإدخال!$O$5:$O$644,الإدخال!$A$5:$A$644,J$5,الإدخال!$D$5:$D$644,$A17)/100,""))))</f>
        <v/>
      </c>
      <c r="K17" s="70" t="str">
        <f>IF($A17="","",IF(COUNTIFS(الإدخال!$A$5:$A$644,K$5,الإدخال!$D$5:$D$644,$A17,الإدخال!$F$5:$F$644,"غائب",الإدخال!$G$5:$G$644,"")&gt;0,"غ",IF(COUNTIFS(الإدخال!$A$5:$A$644,K$5,الإدخال!$D$5:$D$644,$A17,الإدخال!$F$5:$F$644,"معتذر",الإدخال!$G$5:$G$644,"")&gt;0,"ع",IF(SUMIFS(الإدخال!$P$5:$P$644,الإدخال!$A$5:$A$644,K$5,الإدخال!$D$5:$D$644,$A17)&gt;0,SUMIFS(الإدخال!$O$5:$O$644,الإدخال!$A$5:$A$644,K$5,الإدخال!$D$5:$D$644,$A17)/100,""))))</f>
        <v/>
      </c>
      <c r="L17" s="70" t="str">
        <f>IF($A17="","",IF(COUNTIFS(الإدخال!$A$5:$A$644,L$5,الإدخال!$D$5:$D$644,$A17,الإدخال!$F$5:$F$644,"غائب",الإدخال!$G$5:$G$644,"")&gt;0,"غ",IF(COUNTIFS(الإدخال!$A$5:$A$644,L$5,الإدخال!$D$5:$D$644,$A17,الإدخال!$F$5:$F$644,"معتذر",الإدخال!$G$5:$G$644,"")&gt;0,"ع",IF(SUMIFS(الإدخال!$P$5:$P$644,الإدخال!$A$5:$A$644,L$5,الإدخال!$D$5:$D$644,$A17)&gt;0,SUMIFS(الإدخال!$O$5:$O$644,الإدخال!$A$5:$A$644,L$5,الإدخال!$D$5:$D$644,$A17)/100,""))))</f>
        <v/>
      </c>
      <c r="M17" s="70" t="str">
        <f>IF($A17="","",IF(COUNTIFS(الإدخال!$A$5:$A$644,M$5,الإدخال!$D$5:$D$644,$A17,الإدخال!$F$5:$F$644,"غائب",الإدخال!$G$5:$G$644,"")&gt;0,"غ",IF(COUNTIFS(الإدخال!$A$5:$A$644,M$5,الإدخال!$D$5:$D$644,$A17,الإدخال!$F$5:$F$644,"معتذر",الإدخال!$G$5:$G$644,"")&gt;0,"ع",IF(SUMIFS(الإدخال!$P$5:$P$644,الإدخال!$A$5:$A$644,M$5,الإدخال!$D$5:$D$644,$A17)&gt;0,SUMIFS(الإدخال!$O$5:$O$644,الإدخال!$A$5:$A$644,M$5,الإدخال!$D$5:$D$644,$A17)/100,""))))</f>
        <v/>
      </c>
      <c r="N17" s="70" t="str">
        <f>IF($A17="","",IF(COUNTIFS(الإدخال!$A$5:$A$644,N$5,الإدخال!$D$5:$D$644,$A17,الإدخال!$F$5:$F$644,"غائب",الإدخال!$G$5:$G$644,"")&gt;0,"غ",IF(COUNTIFS(الإدخال!$A$5:$A$644,N$5,الإدخال!$D$5:$D$644,$A17,الإدخال!$F$5:$F$644,"معتذر",الإدخال!$G$5:$G$644,"")&gt;0,"ع",IF(SUMIFS(الإدخال!$P$5:$P$644,الإدخال!$A$5:$A$644,N$5,الإدخال!$D$5:$D$644,$A17)&gt;0,SUMIFS(الإدخال!$O$5:$O$644,الإدخال!$A$5:$A$644,N$5,الإدخال!$D$5:$D$644,$A17)/100,""))))</f>
        <v/>
      </c>
      <c r="O17" s="70" t="str">
        <f>IF($A17="","",IF(COUNTIFS(الإدخال!$A$5:$A$644,O$5,الإدخال!$D$5:$D$644,$A17,الإدخال!$F$5:$F$644,"غائب",الإدخال!$G$5:$G$644,"")&gt;0,"غ",IF(COUNTIFS(الإدخال!$A$5:$A$644,O$5,الإدخال!$D$5:$D$644,$A17,الإدخال!$F$5:$F$644,"معتذر",الإدخال!$G$5:$G$644,"")&gt;0,"ع",IF(SUMIFS(الإدخال!$P$5:$P$644,الإدخال!$A$5:$A$644,O$5,الإدخال!$D$5:$D$644,$A17)&gt;0,SUMIFS(الإدخال!$O$5:$O$644,الإدخال!$A$5:$A$644,O$5,الإدخال!$D$5:$D$644,$A17)/100,""))))</f>
        <v/>
      </c>
      <c r="P17" s="70" t="str">
        <f>IF($A17="","",IF(COUNTIFS(الإدخال!$A$5:$A$644,P$5,الإدخال!$D$5:$D$644,$A17,الإدخال!$F$5:$F$644,"غائب",الإدخال!$G$5:$G$644,"")&gt;0,"غ",IF(COUNTIFS(الإدخال!$A$5:$A$644,P$5,الإدخال!$D$5:$D$644,$A17,الإدخال!$F$5:$F$644,"معتذر",الإدخال!$G$5:$G$644,"")&gt;0,"ع",IF(SUMIFS(الإدخال!$P$5:$P$644,الإدخال!$A$5:$A$644,P$5,الإدخال!$D$5:$D$644,$A17)&gt;0,SUMIFS(الإدخال!$O$5:$O$644,الإدخال!$A$5:$A$644,P$5,الإدخال!$D$5:$D$644,$A17)/100,""))))</f>
        <v/>
      </c>
      <c r="Q17" s="70" t="str">
        <f>IF($A17="","",IF(COUNTIFS(الإدخال!$A$5:$A$644,Q$5,الإدخال!$D$5:$D$644,$A17,الإدخال!$F$5:$F$644,"غائب",الإدخال!$G$5:$G$644,"")&gt;0,"غ",IF(COUNTIFS(الإدخال!$A$5:$A$644,Q$5,الإدخال!$D$5:$D$644,$A17,الإدخال!$F$5:$F$644,"معتذر",الإدخال!$G$5:$G$644,"")&gt;0,"ع",IF(SUMIFS(الإدخال!$P$5:$P$644,الإدخال!$A$5:$A$644,Q$5,الإدخال!$D$5:$D$644,$A17)&gt;0,SUMIFS(الإدخال!$O$5:$O$644,الإدخال!$A$5:$A$644,Q$5,الإدخال!$D$5:$D$644,$A17)/100,""))))</f>
        <v/>
      </c>
      <c r="R17" s="70" t="str">
        <f>IF($A17="","",IF(COUNTIFS(الإدخال!$A$5:$A$644,R$5,الإدخال!$D$5:$D$644,$A17,الإدخال!$F$5:$F$644,"غائب",الإدخال!$G$5:$G$644,"")&gt;0,"غ",IF(COUNTIFS(الإدخال!$A$5:$A$644,R$5,الإدخال!$D$5:$D$644,$A17,الإدخال!$F$5:$F$644,"معتذر",الإدخال!$G$5:$G$644,"")&gt;0,"ع",IF(SUMIFS(الإدخال!$P$5:$P$644,الإدخال!$A$5:$A$644,R$5,الإدخال!$D$5:$D$644,$A17)&gt;0,SUMIFS(الإدخال!$O$5:$O$644,الإدخال!$A$5:$A$644,R$5,الإدخال!$D$5:$D$644,$A17)/100,""))))</f>
        <v/>
      </c>
      <c r="S17" s="70" t="str">
        <f>IF($A17="","",IF(COUNTIFS(الإدخال!$A$5:$A$644,S$5,الإدخال!$D$5:$D$644,$A17,الإدخال!$F$5:$F$644,"غائب",الإدخال!$G$5:$G$644,"")&gt;0,"غ",IF(COUNTIFS(الإدخال!$A$5:$A$644,S$5,الإدخال!$D$5:$D$644,$A17,الإدخال!$F$5:$F$644,"معتذر",الإدخال!$G$5:$G$644,"")&gt;0,"ع",IF(SUMIFS(الإدخال!$P$5:$P$644,الإدخال!$A$5:$A$644,S$5,الإدخال!$D$5:$D$644,$A17)&gt;0,SUMIFS(الإدخال!$O$5:$O$644,الإدخال!$A$5:$A$644,S$5,الإدخال!$D$5:$D$644,$A17)/100,""))))</f>
        <v/>
      </c>
      <c r="T17" s="71">
        <f>IF($A17="","",IFERROR(SUMIFS(الإدخال!$O$5:$O$644,الإدخال!$D$5:$D$644,$A17)/SUMIFS(الإدخال!$P$5:$P$644,الإدخال!$D$5:$D$644,$A17)/100,""))</f>
        <v>0.42499999999999999</v>
      </c>
      <c r="U17" s="72" t="str">
        <f t="shared" si="0"/>
        <v>يحتاج متابعة</v>
      </c>
      <c r="V17" s="72">
        <f>IF($A17="","",SUMIFS(الإدخال!$N$5:$N$644,الإدخال!$D$5:$D$644,$A17))</f>
        <v>2</v>
      </c>
      <c r="W17" s="73">
        <f>IF($A17="","",COUNTIFS(الإدخال!$D$5:$D$644,$A17,الإدخال!$F$5:$F$644,"متأخر"))</f>
        <v>0</v>
      </c>
      <c r="X17" s="73">
        <f>IF($A17="","",COUNTIFS(الإدخال!$D$5:$D$644,$A17,الإدخال!$F$5:$F$644,"غائب"))</f>
        <v>0</v>
      </c>
      <c r="Y17" s="73">
        <f>IF($A17="","",COUNTIFS(الإدخال!$D$5:$D$644,$A17,الإدخال!$F$5:$F$644,"معتذر"))</f>
        <v>0</v>
      </c>
      <c r="Z17" s="73">
        <f>IF($A17="","",SUMIFS(الإدخال!$H$5:$H$644,الإدخال!$D$5:$D$644,$A17,الإدخال!$N$5:$N$644,1))</f>
        <v>1</v>
      </c>
      <c r="AA17" s="73">
        <f>IF($A17="","",SUMIFS(الإدخال!$I$5:$I$644,الإدخال!$D$5:$D$644,$A17,الإدخال!$N$5:$N$644,1))</f>
        <v>30</v>
      </c>
      <c r="AB17" s="73">
        <f>IF($A17="","",SUMIFS(الإدخال!$J$5:$J$644,الإدخال!$D$5:$D$644,$A17,الإدخال!$N$5:$N$644,1))</f>
        <v>0</v>
      </c>
      <c r="AC17" s="36">
        <f>IFERROR(MATCH($C$3&amp;"|13",الطلاب!$E$5:$E$44,0),"")</f>
        <v>32</v>
      </c>
    </row>
    <row r="18" spans="1:29">
      <c r="A18" s="18">
        <f>IF($AC18="","",INDEX(الطلاب!$A$5:$A$44,$AC18))</f>
        <v>33</v>
      </c>
      <c r="B18" s="68" t="str">
        <f>IF($AC18="","",INDEX(الطلاب!$B$5:$B$44,$AC18))</f>
        <v>يوسف الحربي</v>
      </c>
      <c r="C18" s="69" t="str">
        <f>IF($AC18="","",INDEX(الطلاب!$D$5:$D$44,$AC18))</f>
        <v xml:space="preserve">ابي بن مالك </v>
      </c>
      <c r="D18" s="70">
        <f>IF($A18="","",IF(COUNTIFS(الإدخال!$A$5:$A$644,D$5,الإدخال!$D$5:$D$644,$A18,الإدخال!$F$5:$F$644,"غائب",الإدخال!$G$5:$G$644,"")&gt;0,"غ",IF(COUNTIFS(الإدخال!$A$5:$A$644,D$5,الإدخال!$D$5:$D$644,$A18,الإدخال!$F$5:$F$644,"معتذر",الإدخال!$G$5:$G$644,"")&gt;0,"ع",IF(SUMIFS(الإدخال!$P$5:$P$644,الإدخال!$A$5:$A$644,D$5,الإدخال!$D$5:$D$644,$A18)&gt;0,SUMIFS(الإدخال!$O$5:$O$644,الإدخال!$A$5:$A$644,D$5,الإدخال!$D$5:$D$644,$A18)/100,""))))</f>
        <v>0</v>
      </c>
      <c r="E18" s="70" t="str">
        <f>IF($A18="","",IF(COUNTIFS(الإدخال!$A$5:$A$644,E$5,الإدخال!$D$5:$D$644,$A18,الإدخال!$F$5:$F$644,"غائب",الإدخال!$G$5:$G$644,"")&gt;0,"غ",IF(COUNTIFS(الإدخال!$A$5:$A$644,E$5,الإدخال!$D$5:$D$644,$A18,الإدخال!$F$5:$F$644,"معتذر",الإدخال!$G$5:$G$644,"")&gt;0,"ع",IF(SUMIFS(الإدخال!$P$5:$P$644,الإدخال!$A$5:$A$644,E$5,الإدخال!$D$5:$D$644,$A18)&gt;0,SUMIFS(الإدخال!$O$5:$O$644,الإدخال!$A$5:$A$644,E$5,الإدخال!$D$5:$D$644,$A18)/100,""))))</f>
        <v>غ</v>
      </c>
      <c r="F18" s="70" t="str">
        <f>IF($A18="","",IF(COUNTIFS(الإدخال!$A$5:$A$644,F$5,الإدخال!$D$5:$D$644,$A18,الإدخال!$F$5:$F$644,"غائب",الإدخال!$G$5:$G$644,"")&gt;0,"غ",IF(COUNTIFS(الإدخال!$A$5:$A$644,F$5,الإدخال!$D$5:$D$644,$A18,الإدخال!$F$5:$F$644,"معتذر",الإدخال!$G$5:$G$644,"")&gt;0,"ع",IF(SUMIFS(الإدخال!$P$5:$P$644,الإدخال!$A$5:$A$644,F$5,الإدخال!$D$5:$D$644,$A18)&gt;0,SUMIFS(الإدخال!$O$5:$O$644,الإدخال!$A$5:$A$644,F$5,الإدخال!$D$5:$D$644,$A18)/100,""))))</f>
        <v/>
      </c>
      <c r="G18" s="70" t="str">
        <f>IF($A18="","",IF(COUNTIFS(الإدخال!$A$5:$A$644,G$5,الإدخال!$D$5:$D$644,$A18,الإدخال!$F$5:$F$644,"غائب",الإدخال!$G$5:$G$644,"")&gt;0,"غ",IF(COUNTIFS(الإدخال!$A$5:$A$644,G$5,الإدخال!$D$5:$D$644,$A18,الإدخال!$F$5:$F$644,"معتذر",الإدخال!$G$5:$G$644,"")&gt;0,"ع",IF(SUMIFS(الإدخال!$P$5:$P$644,الإدخال!$A$5:$A$644,G$5,الإدخال!$D$5:$D$644,$A18)&gt;0,SUMIFS(الإدخال!$O$5:$O$644,الإدخال!$A$5:$A$644,G$5,الإدخال!$D$5:$D$644,$A18)/100,""))))</f>
        <v/>
      </c>
      <c r="H18" s="70" t="str">
        <f>IF($A18="","",IF(COUNTIFS(الإدخال!$A$5:$A$644,H$5,الإدخال!$D$5:$D$644,$A18,الإدخال!$F$5:$F$644,"غائب",الإدخال!$G$5:$G$644,"")&gt;0,"غ",IF(COUNTIFS(الإدخال!$A$5:$A$644,H$5,الإدخال!$D$5:$D$644,$A18,الإدخال!$F$5:$F$644,"معتذر",الإدخال!$G$5:$G$644,"")&gt;0,"ع",IF(SUMIFS(الإدخال!$P$5:$P$644,الإدخال!$A$5:$A$644,H$5,الإدخال!$D$5:$D$644,$A18)&gt;0,SUMIFS(الإدخال!$O$5:$O$644,الإدخال!$A$5:$A$644,H$5,الإدخال!$D$5:$D$644,$A18)/100,""))))</f>
        <v/>
      </c>
      <c r="I18" s="70" t="str">
        <f>IF($A18="","",IF(COUNTIFS(الإدخال!$A$5:$A$644,I$5,الإدخال!$D$5:$D$644,$A18,الإدخال!$F$5:$F$644,"غائب",الإدخال!$G$5:$G$644,"")&gt;0,"غ",IF(COUNTIFS(الإدخال!$A$5:$A$644,I$5,الإدخال!$D$5:$D$644,$A18,الإدخال!$F$5:$F$644,"معتذر",الإدخال!$G$5:$G$644,"")&gt;0,"ع",IF(SUMIFS(الإدخال!$P$5:$P$644,الإدخال!$A$5:$A$644,I$5,الإدخال!$D$5:$D$644,$A18)&gt;0,SUMIFS(الإدخال!$O$5:$O$644,الإدخال!$A$5:$A$644,I$5,الإدخال!$D$5:$D$644,$A18)/100,""))))</f>
        <v/>
      </c>
      <c r="J18" s="70" t="str">
        <f>IF($A18="","",IF(COUNTIFS(الإدخال!$A$5:$A$644,J$5,الإدخال!$D$5:$D$644,$A18,الإدخال!$F$5:$F$644,"غائب",الإدخال!$G$5:$G$644,"")&gt;0,"غ",IF(COUNTIFS(الإدخال!$A$5:$A$644,J$5,الإدخال!$D$5:$D$644,$A18,الإدخال!$F$5:$F$644,"معتذر",الإدخال!$G$5:$G$644,"")&gt;0,"ع",IF(SUMIFS(الإدخال!$P$5:$P$644,الإدخال!$A$5:$A$644,J$5,الإدخال!$D$5:$D$644,$A18)&gt;0,SUMIFS(الإدخال!$O$5:$O$644,الإدخال!$A$5:$A$644,J$5,الإدخال!$D$5:$D$644,$A18)/100,""))))</f>
        <v/>
      </c>
      <c r="K18" s="70" t="str">
        <f>IF($A18="","",IF(COUNTIFS(الإدخال!$A$5:$A$644,K$5,الإدخال!$D$5:$D$644,$A18,الإدخال!$F$5:$F$644,"غائب",الإدخال!$G$5:$G$644,"")&gt;0,"غ",IF(COUNTIFS(الإدخال!$A$5:$A$644,K$5,الإدخال!$D$5:$D$644,$A18,الإدخال!$F$5:$F$644,"معتذر",الإدخال!$G$5:$G$644,"")&gt;0,"ع",IF(SUMIFS(الإدخال!$P$5:$P$644,الإدخال!$A$5:$A$644,K$5,الإدخال!$D$5:$D$644,$A18)&gt;0,SUMIFS(الإدخال!$O$5:$O$644,الإدخال!$A$5:$A$644,K$5,الإدخال!$D$5:$D$644,$A18)/100,""))))</f>
        <v/>
      </c>
      <c r="L18" s="70" t="str">
        <f>IF($A18="","",IF(COUNTIFS(الإدخال!$A$5:$A$644,L$5,الإدخال!$D$5:$D$644,$A18,الإدخال!$F$5:$F$644,"غائب",الإدخال!$G$5:$G$644,"")&gt;0,"غ",IF(COUNTIFS(الإدخال!$A$5:$A$644,L$5,الإدخال!$D$5:$D$644,$A18,الإدخال!$F$5:$F$644,"معتذر",الإدخال!$G$5:$G$644,"")&gt;0,"ع",IF(SUMIFS(الإدخال!$P$5:$P$644,الإدخال!$A$5:$A$644,L$5,الإدخال!$D$5:$D$644,$A18)&gt;0,SUMIFS(الإدخال!$O$5:$O$644,الإدخال!$A$5:$A$644,L$5,الإدخال!$D$5:$D$644,$A18)/100,""))))</f>
        <v/>
      </c>
      <c r="M18" s="70" t="str">
        <f>IF($A18="","",IF(COUNTIFS(الإدخال!$A$5:$A$644,M$5,الإدخال!$D$5:$D$644,$A18,الإدخال!$F$5:$F$644,"غائب",الإدخال!$G$5:$G$644,"")&gt;0,"غ",IF(COUNTIFS(الإدخال!$A$5:$A$644,M$5,الإدخال!$D$5:$D$644,$A18,الإدخال!$F$5:$F$644,"معتذر",الإدخال!$G$5:$G$644,"")&gt;0,"ع",IF(SUMIFS(الإدخال!$P$5:$P$644,الإدخال!$A$5:$A$644,M$5,الإدخال!$D$5:$D$644,$A18)&gt;0,SUMIFS(الإدخال!$O$5:$O$644,الإدخال!$A$5:$A$644,M$5,الإدخال!$D$5:$D$644,$A18)/100,""))))</f>
        <v/>
      </c>
      <c r="N18" s="70" t="str">
        <f>IF($A18="","",IF(COUNTIFS(الإدخال!$A$5:$A$644,N$5,الإدخال!$D$5:$D$644,$A18,الإدخال!$F$5:$F$644,"غائب",الإدخال!$G$5:$G$644,"")&gt;0,"غ",IF(COUNTIFS(الإدخال!$A$5:$A$644,N$5,الإدخال!$D$5:$D$644,$A18,الإدخال!$F$5:$F$644,"معتذر",الإدخال!$G$5:$G$644,"")&gt;0,"ع",IF(SUMIFS(الإدخال!$P$5:$P$644,الإدخال!$A$5:$A$644,N$5,الإدخال!$D$5:$D$644,$A18)&gt;0,SUMIFS(الإدخال!$O$5:$O$644,الإدخال!$A$5:$A$644,N$5,الإدخال!$D$5:$D$644,$A18)/100,""))))</f>
        <v/>
      </c>
      <c r="O18" s="70" t="str">
        <f>IF($A18="","",IF(COUNTIFS(الإدخال!$A$5:$A$644,O$5,الإدخال!$D$5:$D$644,$A18,الإدخال!$F$5:$F$644,"غائب",الإدخال!$G$5:$G$644,"")&gt;0,"غ",IF(COUNTIFS(الإدخال!$A$5:$A$644,O$5,الإدخال!$D$5:$D$644,$A18,الإدخال!$F$5:$F$644,"معتذر",الإدخال!$G$5:$G$644,"")&gt;0,"ع",IF(SUMIFS(الإدخال!$P$5:$P$644,الإدخال!$A$5:$A$644,O$5,الإدخال!$D$5:$D$644,$A18)&gt;0,SUMIFS(الإدخال!$O$5:$O$644,الإدخال!$A$5:$A$644,O$5,الإدخال!$D$5:$D$644,$A18)/100,""))))</f>
        <v/>
      </c>
      <c r="P18" s="70" t="str">
        <f>IF($A18="","",IF(COUNTIFS(الإدخال!$A$5:$A$644,P$5,الإدخال!$D$5:$D$644,$A18,الإدخال!$F$5:$F$644,"غائب",الإدخال!$G$5:$G$644,"")&gt;0,"غ",IF(COUNTIFS(الإدخال!$A$5:$A$644,P$5,الإدخال!$D$5:$D$644,$A18,الإدخال!$F$5:$F$644,"معتذر",الإدخال!$G$5:$G$644,"")&gt;0,"ع",IF(SUMIFS(الإدخال!$P$5:$P$644,الإدخال!$A$5:$A$644,P$5,الإدخال!$D$5:$D$644,$A18)&gt;0,SUMIFS(الإدخال!$O$5:$O$644,الإدخال!$A$5:$A$644,P$5,الإدخال!$D$5:$D$644,$A18)/100,""))))</f>
        <v/>
      </c>
      <c r="Q18" s="70" t="str">
        <f>IF($A18="","",IF(COUNTIFS(الإدخال!$A$5:$A$644,Q$5,الإدخال!$D$5:$D$644,$A18,الإدخال!$F$5:$F$644,"غائب",الإدخال!$G$5:$G$644,"")&gt;0,"غ",IF(COUNTIFS(الإدخال!$A$5:$A$644,Q$5,الإدخال!$D$5:$D$644,$A18,الإدخال!$F$5:$F$644,"معتذر",الإدخال!$G$5:$G$644,"")&gt;0,"ع",IF(SUMIFS(الإدخال!$P$5:$P$644,الإدخال!$A$5:$A$644,Q$5,الإدخال!$D$5:$D$644,$A18)&gt;0,SUMIFS(الإدخال!$O$5:$O$644,الإدخال!$A$5:$A$644,Q$5,الإدخال!$D$5:$D$644,$A18)/100,""))))</f>
        <v/>
      </c>
      <c r="R18" s="70" t="str">
        <f>IF($A18="","",IF(COUNTIFS(الإدخال!$A$5:$A$644,R$5,الإدخال!$D$5:$D$644,$A18,الإدخال!$F$5:$F$644,"غائب",الإدخال!$G$5:$G$644,"")&gt;0,"غ",IF(COUNTIFS(الإدخال!$A$5:$A$644,R$5,الإدخال!$D$5:$D$644,$A18,الإدخال!$F$5:$F$644,"معتذر",الإدخال!$G$5:$G$644,"")&gt;0,"ع",IF(SUMIFS(الإدخال!$P$5:$P$644,الإدخال!$A$5:$A$644,R$5,الإدخال!$D$5:$D$644,$A18)&gt;0,SUMIFS(الإدخال!$O$5:$O$644,الإدخال!$A$5:$A$644,R$5,الإدخال!$D$5:$D$644,$A18)/100,""))))</f>
        <v/>
      </c>
      <c r="S18" s="70" t="str">
        <f>IF($A18="","",IF(COUNTIFS(الإدخال!$A$5:$A$644,S$5,الإدخال!$D$5:$D$644,$A18,الإدخال!$F$5:$F$644,"غائب",الإدخال!$G$5:$G$644,"")&gt;0,"غ",IF(COUNTIFS(الإدخال!$A$5:$A$644,S$5,الإدخال!$D$5:$D$644,$A18,الإدخال!$F$5:$F$644,"معتذر",الإدخال!$G$5:$G$644,"")&gt;0,"ع",IF(SUMIFS(الإدخال!$P$5:$P$644,الإدخال!$A$5:$A$644,S$5,الإدخال!$D$5:$D$644,$A18)&gt;0,SUMIFS(الإدخال!$O$5:$O$644,الإدخال!$A$5:$A$644,S$5,الإدخال!$D$5:$D$644,$A18)/100,""))))</f>
        <v/>
      </c>
      <c r="T18" s="71">
        <f>IF($A18="","",IFERROR(SUMIFS(الإدخال!$O$5:$O$644,الإدخال!$D$5:$D$644,$A18)/SUMIFS(الإدخال!$P$5:$P$644,الإدخال!$D$5:$D$644,$A18)/100,""))</f>
        <v>0</v>
      </c>
      <c r="U18" s="72" t="str">
        <f t="shared" si="0"/>
        <v>يحتاج متابعة</v>
      </c>
      <c r="V18" s="72">
        <f>IF($A18="","",SUMIFS(الإدخال!$N$5:$N$644,الإدخال!$D$5:$D$644,$A18))</f>
        <v>0</v>
      </c>
      <c r="W18" s="73">
        <f>IF($A18="","",COUNTIFS(الإدخال!$D$5:$D$644,$A18,الإدخال!$F$5:$F$644,"متأخر"))</f>
        <v>0</v>
      </c>
      <c r="X18" s="73">
        <f>IF($A18="","",COUNTIFS(الإدخال!$D$5:$D$644,$A18,الإدخال!$F$5:$F$644,"غائب"))</f>
        <v>1</v>
      </c>
      <c r="Y18" s="73">
        <f>IF($A18="","",COUNTIFS(الإدخال!$D$5:$D$644,$A18,الإدخال!$F$5:$F$644,"معتذر"))</f>
        <v>1</v>
      </c>
      <c r="Z18" s="73">
        <f>IF($A18="","",SUMIFS(الإدخال!$H$5:$H$644,الإدخال!$D$5:$D$644,$A18,الإدخال!$N$5:$N$644,1))</f>
        <v>0</v>
      </c>
      <c r="AA18" s="73">
        <f>IF($A18="","",SUMIFS(الإدخال!$I$5:$I$644,الإدخال!$D$5:$D$644,$A18,الإدخال!$N$5:$N$644,1))</f>
        <v>0</v>
      </c>
      <c r="AB18" s="73">
        <f>IF($A18="","",SUMIFS(الإدخال!$J$5:$J$644,الإدخال!$D$5:$D$644,$A18,الإدخال!$N$5:$N$644,1))</f>
        <v>0</v>
      </c>
      <c r="AC18" s="36">
        <f>IFERROR(MATCH($C$3&amp;"|14",الطلاب!$E$5:$E$44,0),"")</f>
        <v>33</v>
      </c>
    </row>
    <row r="19" spans="1:29">
      <c r="A19" s="18">
        <f>IF($AC19="","",INDEX(الطلاب!$A$5:$A$44,$AC19))</f>
        <v>34</v>
      </c>
      <c r="B19" s="68" t="str">
        <f>IF($AC19="","",INDEX(الطلاب!$B$5:$B$44,$AC19))</f>
        <v xml:space="preserve">عدي الفريح </v>
      </c>
      <c r="C19" s="69" t="str">
        <f>IF($AC19="","",INDEX(الطلاب!$D$5:$D$44,$AC19))</f>
        <v xml:space="preserve">ابي بن مالك </v>
      </c>
      <c r="D19" s="70">
        <f>IF($A19="","",IF(COUNTIFS(الإدخال!$A$5:$A$644,D$5,الإدخال!$D$5:$D$644,$A19,الإدخال!$F$5:$F$644,"غائب",الإدخال!$G$5:$G$644,"")&gt;0,"غ",IF(COUNTIFS(الإدخال!$A$5:$A$644,D$5,الإدخال!$D$5:$D$644,$A19,الإدخال!$F$5:$F$644,"معتذر",الإدخال!$G$5:$G$644,"")&gt;0,"ع",IF(SUMIFS(الإدخال!$P$5:$P$644,الإدخال!$A$5:$A$644,D$5,الإدخال!$D$5:$D$644,$A19)&gt;0,SUMIFS(الإدخال!$O$5:$O$644,الإدخال!$A$5:$A$644,D$5,الإدخال!$D$5:$D$644,$A19)/100,""))))</f>
        <v>0</v>
      </c>
      <c r="E19" s="70">
        <f>IF($A19="","",IF(COUNTIFS(الإدخال!$A$5:$A$644,E$5,الإدخال!$D$5:$D$644,$A19,الإدخال!$F$5:$F$644,"غائب",الإدخال!$G$5:$G$644,"")&gt;0,"غ",IF(COUNTIFS(الإدخال!$A$5:$A$644,E$5,الإدخال!$D$5:$D$644,$A19,الإدخال!$F$5:$F$644,"معتذر",الإدخال!$G$5:$G$644,"")&gt;0,"ع",IF(SUMIFS(الإدخال!$P$5:$P$644,الإدخال!$A$5:$A$644,E$5,الإدخال!$D$5:$D$644,$A19)&gt;0,SUMIFS(الإدخال!$O$5:$O$644,الإدخال!$A$5:$A$644,E$5,الإدخال!$D$5:$D$644,$A19)/100,""))))</f>
        <v>0.76</v>
      </c>
      <c r="F19" s="70" t="str">
        <f>IF($A19="","",IF(COUNTIFS(الإدخال!$A$5:$A$644,F$5,الإدخال!$D$5:$D$644,$A19,الإدخال!$F$5:$F$644,"غائب",الإدخال!$G$5:$G$644,"")&gt;0,"غ",IF(COUNTIFS(الإدخال!$A$5:$A$644,F$5,الإدخال!$D$5:$D$644,$A19,الإدخال!$F$5:$F$644,"معتذر",الإدخال!$G$5:$G$644,"")&gt;0,"ع",IF(SUMIFS(الإدخال!$P$5:$P$644,الإدخال!$A$5:$A$644,F$5,الإدخال!$D$5:$D$644,$A19)&gt;0,SUMIFS(الإدخال!$O$5:$O$644,الإدخال!$A$5:$A$644,F$5,الإدخال!$D$5:$D$644,$A19)/100,""))))</f>
        <v/>
      </c>
      <c r="G19" s="70" t="str">
        <f>IF($A19="","",IF(COUNTIFS(الإدخال!$A$5:$A$644,G$5,الإدخال!$D$5:$D$644,$A19,الإدخال!$F$5:$F$644,"غائب",الإدخال!$G$5:$G$644,"")&gt;0,"غ",IF(COUNTIFS(الإدخال!$A$5:$A$644,G$5,الإدخال!$D$5:$D$644,$A19,الإدخال!$F$5:$F$644,"معتذر",الإدخال!$G$5:$G$644,"")&gt;0,"ع",IF(SUMIFS(الإدخال!$P$5:$P$644,الإدخال!$A$5:$A$644,G$5,الإدخال!$D$5:$D$644,$A19)&gt;0,SUMIFS(الإدخال!$O$5:$O$644,الإدخال!$A$5:$A$644,G$5,الإدخال!$D$5:$D$644,$A19)/100,""))))</f>
        <v/>
      </c>
      <c r="H19" s="70" t="str">
        <f>IF($A19="","",IF(COUNTIFS(الإدخال!$A$5:$A$644,H$5,الإدخال!$D$5:$D$644,$A19,الإدخال!$F$5:$F$644,"غائب",الإدخال!$G$5:$G$644,"")&gt;0,"غ",IF(COUNTIFS(الإدخال!$A$5:$A$644,H$5,الإدخال!$D$5:$D$644,$A19,الإدخال!$F$5:$F$644,"معتذر",الإدخال!$G$5:$G$644,"")&gt;0,"ع",IF(SUMIFS(الإدخال!$P$5:$P$644,الإدخال!$A$5:$A$644,H$5,الإدخال!$D$5:$D$644,$A19)&gt;0,SUMIFS(الإدخال!$O$5:$O$644,الإدخال!$A$5:$A$644,H$5,الإدخال!$D$5:$D$644,$A19)/100,""))))</f>
        <v/>
      </c>
      <c r="I19" s="70" t="str">
        <f>IF($A19="","",IF(COUNTIFS(الإدخال!$A$5:$A$644,I$5,الإدخال!$D$5:$D$644,$A19,الإدخال!$F$5:$F$644,"غائب",الإدخال!$G$5:$G$644,"")&gt;0,"غ",IF(COUNTIFS(الإدخال!$A$5:$A$644,I$5,الإدخال!$D$5:$D$644,$A19,الإدخال!$F$5:$F$644,"معتذر",الإدخال!$G$5:$G$644,"")&gt;0,"ع",IF(SUMIFS(الإدخال!$P$5:$P$644,الإدخال!$A$5:$A$644,I$5,الإدخال!$D$5:$D$644,$A19)&gt;0,SUMIFS(الإدخال!$O$5:$O$644,الإدخال!$A$5:$A$644,I$5,الإدخال!$D$5:$D$644,$A19)/100,""))))</f>
        <v/>
      </c>
      <c r="J19" s="70" t="str">
        <f>IF($A19="","",IF(COUNTIFS(الإدخال!$A$5:$A$644,J$5,الإدخال!$D$5:$D$644,$A19,الإدخال!$F$5:$F$644,"غائب",الإدخال!$G$5:$G$644,"")&gt;0,"غ",IF(COUNTIFS(الإدخال!$A$5:$A$644,J$5,الإدخال!$D$5:$D$644,$A19,الإدخال!$F$5:$F$644,"معتذر",الإدخال!$G$5:$G$644,"")&gt;0,"ع",IF(SUMIFS(الإدخال!$P$5:$P$644,الإدخال!$A$5:$A$644,J$5,الإدخال!$D$5:$D$644,$A19)&gt;0,SUMIFS(الإدخال!$O$5:$O$644,الإدخال!$A$5:$A$644,J$5,الإدخال!$D$5:$D$644,$A19)/100,""))))</f>
        <v/>
      </c>
      <c r="K19" s="70" t="str">
        <f>IF($A19="","",IF(COUNTIFS(الإدخال!$A$5:$A$644,K$5,الإدخال!$D$5:$D$644,$A19,الإدخال!$F$5:$F$644,"غائب",الإدخال!$G$5:$G$644,"")&gt;0,"غ",IF(COUNTIFS(الإدخال!$A$5:$A$644,K$5,الإدخال!$D$5:$D$644,$A19,الإدخال!$F$5:$F$644,"معتذر",الإدخال!$G$5:$G$644,"")&gt;0,"ع",IF(SUMIFS(الإدخال!$P$5:$P$644,الإدخال!$A$5:$A$644,K$5,الإدخال!$D$5:$D$644,$A19)&gt;0,SUMIFS(الإدخال!$O$5:$O$644,الإدخال!$A$5:$A$644,K$5,الإدخال!$D$5:$D$644,$A19)/100,""))))</f>
        <v/>
      </c>
      <c r="L19" s="70" t="str">
        <f>IF($A19="","",IF(COUNTIFS(الإدخال!$A$5:$A$644,L$5,الإدخال!$D$5:$D$644,$A19,الإدخال!$F$5:$F$644,"غائب",الإدخال!$G$5:$G$644,"")&gt;0,"غ",IF(COUNTIFS(الإدخال!$A$5:$A$644,L$5,الإدخال!$D$5:$D$644,$A19,الإدخال!$F$5:$F$644,"معتذر",الإدخال!$G$5:$G$644,"")&gt;0,"ع",IF(SUMIFS(الإدخال!$P$5:$P$644,الإدخال!$A$5:$A$644,L$5,الإدخال!$D$5:$D$644,$A19)&gt;0,SUMIFS(الإدخال!$O$5:$O$644,الإدخال!$A$5:$A$644,L$5,الإدخال!$D$5:$D$644,$A19)/100,""))))</f>
        <v/>
      </c>
      <c r="M19" s="70" t="str">
        <f>IF($A19="","",IF(COUNTIFS(الإدخال!$A$5:$A$644,M$5,الإدخال!$D$5:$D$644,$A19,الإدخال!$F$5:$F$644,"غائب",الإدخال!$G$5:$G$644,"")&gt;0,"غ",IF(COUNTIFS(الإدخال!$A$5:$A$644,M$5,الإدخال!$D$5:$D$644,$A19,الإدخال!$F$5:$F$644,"معتذر",الإدخال!$G$5:$G$644,"")&gt;0,"ع",IF(SUMIFS(الإدخال!$P$5:$P$644,الإدخال!$A$5:$A$644,M$5,الإدخال!$D$5:$D$644,$A19)&gt;0,SUMIFS(الإدخال!$O$5:$O$644,الإدخال!$A$5:$A$644,M$5,الإدخال!$D$5:$D$644,$A19)/100,""))))</f>
        <v/>
      </c>
      <c r="N19" s="70" t="str">
        <f>IF($A19="","",IF(COUNTIFS(الإدخال!$A$5:$A$644,N$5,الإدخال!$D$5:$D$644,$A19,الإدخال!$F$5:$F$644,"غائب",الإدخال!$G$5:$G$644,"")&gt;0,"غ",IF(COUNTIFS(الإدخال!$A$5:$A$644,N$5,الإدخال!$D$5:$D$644,$A19,الإدخال!$F$5:$F$644,"معتذر",الإدخال!$G$5:$G$644,"")&gt;0,"ع",IF(SUMIFS(الإدخال!$P$5:$P$644,الإدخال!$A$5:$A$644,N$5,الإدخال!$D$5:$D$644,$A19)&gt;0,SUMIFS(الإدخال!$O$5:$O$644,الإدخال!$A$5:$A$644,N$5,الإدخال!$D$5:$D$644,$A19)/100,""))))</f>
        <v/>
      </c>
      <c r="O19" s="70" t="str">
        <f>IF($A19="","",IF(COUNTIFS(الإدخال!$A$5:$A$644,O$5,الإدخال!$D$5:$D$644,$A19,الإدخال!$F$5:$F$644,"غائب",الإدخال!$G$5:$G$644,"")&gt;0,"غ",IF(COUNTIFS(الإدخال!$A$5:$A$644,O$5,الإدخال!$D$5:$D$644,$A19,الإدخال!$F$5:$F$644,"معتذر",الإدخال!$G$5:$G$644,"")&gt;0,"ع",IF(SUMIFS(الإدخال!$P$5:$P$644,الإدخال!$A$5:$A$644,O$5,الإدخال!$D$5:$D$644,$A19)&gt;0,SUMIFS(الإدخال!$O$5:$O$644,الإدخال!$A$5:$A$644,O$5,الإدخال!$D$5:$D$644,$A19)/100,""))))</f>
        <v/>
      </c>
      <c r="P19" s="70" t="str">
        <f>IF($A19="","",IF(COUNTIFS(الإدخال!$A$5:$A$644,P$5,الإدخال!$D$5:$D$644,$A19,الإدخال!$F$5:$F$644,"غائب",الإدخال!$G$5:$G$644,"")&gt;0,"غ",IF(COUNTIFS(الإدخال!$A$5:$A$644,P$5,الإدخال!$D$5:$D$644,$A19,الإدخال!$F$5:$F$644,"معتذر",الإدخال!$G$5:$G$644,"")&gt;0,"ع",IF(SUMIFS(الإدخال!$P$5:$P$644,الإدخال!$A$5:$A$644,P$5,الإدخال!$D$5:$D$644,$A19)&gt;0,SUMIFS(الإدخال!$O$5:$O$644,الإدخال!$A$5:$A$644,P$5,الإدخال!$D$5:$D$644,$A19)/100,""))))</f>
        <v/>
      </c>
      <c r="Q19" s="70" t="str">
        <f>IF($A19="","",IF(COUNTIFS(الإدخال!$A$5:$A$644,Q$5,الإدخال!$D$5:$D$644,$A19,الإدخال!$F$5:$F$644,"غائب",الإدخال!$G$5:$G$644,"")&gt;0,"غ",IF(COUNTIFS(الإدخال!$A$5:$A$644,Q$5,الإدخال!$D$5:$D$644,$A19,الإدخال!$F$5:$F$644,"معتذر",الإدخال!$G$5:$G$644,"")&gt;0,"ع",IF(SUMIFS(الإدخال!$P$5:$P$644,الإدخال!$A$5:$A$644,Q$5,الإدخال!$D$5:$D$644,$A19)&gt;0,SUMIFS(الإدخال!$O$5:$O$644,الإدخال!$A$5:$A$644,Q$5,الإدخال!$D$5:$D$644,$A19)/100,""))))</f>
        <v/>
      </c>
      <c r="R19" s="70" t="str">
        <f>IF($A19="","",IF(COUNTIFS(الإدخال!$A$5:$A$644,R$5,الإدخال!$D$5:$D$644,$A19,الإدخال!$F$5:$F$644,"غائب",الإدخال!$G$5:$G$644,"")&gt;0,"غ",IF(COUNTIFS(الإدخال!$A$5:$A$644,R$5,الإدخال!$D$5:$D$644,$A19,الإدخال!$F$5:$F$644,"معتذر",الإدخال!$G$5:$G$644,"")&gt;0,"ع",IF(SUMIFS(الإدخال!$P$5:$P$644,الإدخال!$A$5:$A$644,R$5,الإدخال!$D$5:$D$644,$A19)&gt;0,SUMIFS(الإدخال!$O$5:$O$644,الإدخال!$A$5:$A$644,R$5,الإدخال!$D$5:$D$644,$A19)/100,""))))</f>
        <v/>
      </c>
      <c r="S19" s="70" t="str">
        <f>IF($A19="","",IF(COUNTIFS(الإدخال!$A$5:$A$644,S$5,الإدخال!$D$5:$D$644,$A19,الإدخال!$F$5:$F$644,"غائب",الإدخال!$G$5:$G$644,"")&gt;0,"غ",IF(COUNTIFS(الإدخال!$A$5:$A$644,S$5,الإدخال!$D$5:$D$644,$A19,الإدخال!$F$5:$F$644,"معتذر",الإدخال!$G$5:$G$644,"")&gt;0,"ع",IF(SUMIFS(الإدخال!$P$5:$P$644,الإدخال!$A$5:$A$644,S$5,الإدخال!$D$5:$D$644,$A19)&gt;0,SUMIFS(الإدخال!$O$5:$O$644,الإدخال!$A$5:$A$644,S$5,الإدخال!$D$5:$D$644,$A19)/100,""))))</f>
        <v/>
      </c>
      <c r="T19" s="71">
        <f>IF($A19="","",IFERROR(SUMIFS(الإدخال!$O$5:$O$644,الإدخال!$D$5:$D$644,$A19)/SUMIFS(الإدخال!$P$5:$P$644,الإدخال!$D$5:$D$644,$A19)/100,""))</f>
        <v>0.38</v>
      </c>
      <c r="U19" s="72" t="str">
        <f t="shared" si="0"/>
        <v>يحتاج متابعة</v>
      </c>
      <c r="V19" s="72">
        <f>IF($A19="","",SUMIFS(الإدخال!$N$5:$N$644,الإدخال!$D$5:$D$644,$A19))</f>
        <v>1</v>
      </c>
      <c r="W19" s="73">
        <f>IF($A19="","",COUNTIFS(الإدخال!$D$5:$D$644,$A19,الإدخال!$F$5:$F$644,"متأخر"))</f>
        <v>0</v>
      </c>
      <c r="X19" s="73">
        <f>IF($A19="","",COUNTIFS(الإدخال!$D$5:$D$644,$A19,الإدخال!$F$5:$F$644,"غائب"))</f>
        <v>0</v>
      </c>
      <c r="Y19" s="73">
        <f>IF($A19="","",COUNTIFS(الإدخال!$D$5:$D$644,$A19,الإدخال!$F$5:$F$644,"معتذر"))</f>
        <v>1</v>
      </c>
      <c r="Z19" s="73">
        <f>IF($A19="","",SUMIFS(الإدخال!$H$5:$H$644,الإدخال!$D$5:$D$644,$A19,الإدخال!$N$5:$N$644,1))</f>
        <v>5</v>
      </c>
      <c r="AA19" s="73">
        <f>IF($A19="","",SUMIFS(الإدخال!$I$5:$I$644,الإدخال!$D$5:$D$644,$A19,الإدخال!$N$5:$N$644,1))</f>
        <v>20</v>
      </c>
      <c r="AB19" s="73">
        <f>IF($A19="","",SUMIFS(الإدخال!$J$5:$J$644,الإدخال!$D$5:$D$644,$A19,الإدخال!$N$5:$N$644,1))</f>
        <v>0</v>
      </c>
      <c r="AC19" s="36">
        <f>IFERROR(MATCH($C$3&amp;"|15",الطلاب!$E$5:$E$44,0),"")</f>
        <v>34</v>
      </c>
    </row>
    <row r="20" spans="1:29">
      <c r="A20" s="18">
        <f>IF($AC20="","",INDEX(الطلاب!$A$5:$A$44,$AC20))</f>
        <v>35</v>
      </c>
      <c r="B20" s="68" t="str">
        <f>IF($AC20="","",INDEX(الطلاب!$B$5:$B$44,$AC20))</f>
        <v xml:space="preserve">عبدالله الفايزي </v>
      </c>
      <c r="C20" s="69" t="str">
        <f>IF($AC20="","",INDEX(الطلاب!$D$5:$D$44,$AC20))</f>
        <v xml:space="preserve">ابي بن مالك </v>
      </c>
      <c r="D20" s="70">
        <f>IF($A20="","",IF(COUNTIFS(الإدخال!$A$5:$A$644,D$5,الإدخال!$D$5:$D$644,$A20,الإدخال!$F$5:$F$644,"غائب",الإدخال!$G$5:$G$644,"")&gt;0,"غ",IF(COUNTIFS(الإدخال!$A$5:$A$644,D$5,الإدخال!$D$5:$D$644,$A20,الإدخال!$F$5:$F$644,"معتذر",الإدخال!$G$5:$G$644,"")&gt;0,"ع",IF(SUMIFS(الإدخال!$P$5:$P$644,الإدخال!$A$5:$A$644,D$5,الإدخال!$D$5:$D$644,$A20)&gt;0,SUMIFS(الإدخال!$O$5:$O$644,الإدخال!$A$5:$A$644,D$5,الإدخال!$D$5:$D$644,$A20)/100,""))))</f>
        <v>0.6</v>
      </c>
      <c r="E20" s="70">
        <f>IF($A20="","",IF(COUNTIFS(الإدخال!$A$5:$A$644,E$5,الإدخال!$D$5:$D$644,$A20,الإدخال!$F$5:$F$644,"غائب",الإدخال!$G$5:$G$644,"")&gt;0,"غ",IF(COUNTIFS(الإدخال!$A$5:$A$644,E$5,الإدخال!$D$5:$D$644,$A20,الإدخال!$F$5:$F$644,"معتذر",الإدخال!$G$5:$G$644,"")&gt;0,"ع",IF(SUMIFS(الإدخال!$P$5:$P$644,الإدخال!$A$5:$A$644,E$5,الإدخال!$D$5:$D$644,$A20)&gt;0,SUMIFS(الإدخال!$O$5:$O$644,الإدخال!$A$5:$A$644,E$5,الإدخال!$D$5:$D$644,$A20)/100,""))))</f>
        <v>0.84</v>
      </c>
      <c r="F20" s="70" t="str">
        <f>IF($A20="","",IF(COUNTIFS(الإدخال!$A$5:$A$644,F$5,الإدخال!$D$5:$D$644,$A20,الإدخال!$F$5:$F$644,"غائب",الإدخال!$G$5:$G$644,"")&gt;0,"غ",IF(COUNTIFS(الإدخال!$A$5:$A$644,F$5,الإدخال!$D$5:$D$644,$A20,الإدخال!$F$5:$F$644,"معتذر",الإدخال!$G$5:$G$644,"")&gt;0,"ع",IF(SUMIFS(الإدخال!$P$5:$P$644,الإدخال!$A$5:$A$644,F$5,الإدخال!$D$5:$D$644,$A20)&gt;0,SUMIFS(الإدخال!$O$5:$O$644,الإدخال!$A$5:$A$644,F$5,الإدخال!$D$5:$D$644,$A20)/100,""))))</f>
        <v/>
      </c>
      <c r="G20" s="70" t="str">
        <f>IF($A20="","",IF(COUNTIFS(الإدخال!$A$5:$A$644,G$5,الإدخال!$D$5:$D$644,$A20,الإدخال!$F$5:$F$644,"غائب",الإدخال!$G$5:$G$644,"")&gt;0,"غ",IF(COUNTIFS(الإدخال!$A$5:$A$644,G$5,الإدخال!$D$5:$D$644,$A20,الإدخال!$F$5:$F$644,"معتذر",الإدخال!$G$5:$G$644,"")&gt;0,"ع",IF(SUMIFS(الإدخال!$P$5:$P$644,الإدخال!$A$5:$A$644,G$5,الإدخال!$D$5:$D$644,$A20)&gt;0,SUMIFS(الإدخال!$O$5:$O$644,الإدخال!$A$5:$A$644,G$5,الإدخال!$D$5:$D$644,$A20)/100,""))))</f>
        <v/>
      </c>
      <c r="H20" s="70" t="str">
        <f>IF($A20="","",IF(COUNTIFS(الإدخال!$A$5:$A$644,H$5,الإدخال!$D$5:$D$644,$A20,الإدخال!$F$5:$F$644,"غائب",الإدخال!$G$5:$G$644,"")&gt;0,"غ",IF(COUNTIFS(الإدخال!$A$5:$A$644,H$5,الإدخال!$D$5:$D$644,$A20,الإدخال!$F$5:$F$644,"معتذر",الإدخال!$G$5:$G$644,"")&gt;0,"ع",IF(SUMIFS(الإدخال!$P$5:$P$644,الإدخال!$A$5:$A$644,H$5,الإدخال!$D$5:$D$644,$A20)&gt;0,SUMIFS(الإدخال!$O$5:$O$644,الإدخال!$A$5:$A$644,H$5,الإدخال!$D$5:$D$644,$A20)/100,""))))</f>
        <v/>
      </c>
      <c r="I20" s="70" t="str">
        <f>IF($A20="","",IF(COUNTIFS(الإدخال!$A$5:$A$644,I$5,الإدخال!$D$5:$D$644,$A20,الإدخال!$F$5:$F$644,"غائب",الإدخال!$G$5:$G$644,"")&gt;0,"غ",IF(COUNTIFS(الإدخال!$A$5:$A$644,I$5,الإدخال!$D$5:$D$644,$A20,الإدخال!$F$5:$F$644,"معتذر",الإدخال!$G$5:$G$644,"")&gt;0,"ع",IF(SUMIFS(الإدخال!$P$5:$P$644,الإدخال!$A$5:$A$644,I$5,الإدخال!$D$5:$D$644,$A20)&gt;0,SUMIFS(الإدخال!$O$5:$O$644,الإدخال!$A$5:$A$644,I$5,الإدخال!$D$5:$D$644,$A20)/100,""))))</f>
        <v/>
      </c>
      <c r="J20" s="70" t="str">
        <f>IF($A20="","",IF(COUNTIFS(الإدخال!$A$5:$A$644,J$5,الإدخال!$D$5:$D$644,$A20,الإدخال!$F$5:$F$644,"غائب",الإدخال!$G$5:$G$644,"")&gt;0,"غ",IF(COUNTIFS(الإدخال!$A$5:$A$644,J$5,الإدخال!$D$5:$D$644,$A20,الإدخال!$F$5:$F$644,"معتذر",الإدخال!$G$5:$G$644,"")&gt;0,"ع",IF(SUMIFS(الإدخال!$P$5:$P$644,الإدخال!$A$5:$A$644,J$5,الإدخال!$D$5:$D$644,$A20)&gt;0,SUMIFS(الإدخال!$O$5:$O$644,الإدخال!$A$5:$A$644,J$5,الإدخال!$D$5:$D$644,$A20)/100,""))))</f>
        <v/>
      </c>
      <c r="K20" s="70" t="str">
        <f>IF($A20="","",IF(COUNTIFS(الإدخال!$A$5:$A$644,K$5,الإدخال!$D$5:$D$644,$A20,الإدخال!$F$5:$F$644,"غائب",الإدخال!$G$5:$G$644,"")&gt;0,"غ",IF(COUNTIFS(الإدخال!$A$5:$A$644,K$5,الإدخال!$D$5:$D$644,$A20,الإدخال!$F$5:$F$644,"معتذر",الإدخال!$G$5:$G$644,"")&gt;0,"ع",IF(SUMIFS(الإدخال!$P$5:$P$644,الإدخال!$A$5:$A$644,K$5,الإدخال!$D$5:$D$644,$A20)&gt;0,SUMIFS(الإدخال!$O$5:$O$644,الإدخال!$A$5:$A$644,K$5,الإدخال!$D$5:$D$644,$A20)/100,""))))</f>
        <v/>
      </c>
      <c r="L20" s="70" t="str">
        <f>IF($A20="","",IF(COUNTIFS(الإدخال!$A$5:$A$644,L$5,الإدخال!$D$5:$D$644,$A20,الإدخال!$F$5:$F$644,"غائب",الإدخال!$G$5:$G$644,"")&gt;0,"غ",IF(COUNTIFS(الإدخال!$A$5:$A$644,L$5,الإدخال!$D$5:$D$644,$A20,الإدخال!$F$5:$F$644,"معتذر",الإدخال!$G$5:$G$644,"")&gt;0,"ع",IF(SUMIFS(الإدخال!$P$5:$P$644,الإدخال!$A$5:$A$644,L$5,الإدخال!$D$5:$D$644,$A20)&gt;0,SUMIFS(الإدخال!$O$5:$O$644,الإدخال!$A$5:$A$644,L$5,الإدخال!$D$5:$D$644,$A20)/100,""))))</f>
        <v/>
      </c>
      <c r="M20" s="70" t="str">
        <f>IF($A20="","",IF(COUNTIFS(الإدخال!$A$5:$A$644,M$5,الإدخال!$D$5:$D$644,$A20,الإدخال!$F$5:$F$644,"غائب",الإدخال!$G$5:$G$644,"")&gt;0,"غ",IF(COUNTIFS(الإدخال!$A$5:$A$644,M$5,الإدخال!$D$5:$D$644,$A20,الإدخال!$F$5:$F$644,"معتذر",الإدخال!$G$5:$G$644,"")&gt;0,"ع",IF(SUMIFS(الإدخال!$P$5:$P$644,الإدخال!$A$5:$A$644,M$5,الإدخال!$D$5:$D$644,$A20)&gt;0,SUMIFS(الإدخال!$O$5:$O$644,الإدخال!$A$5:$A$644,M$5,الإدخال!$D$5:$D$644,$A20)/100,""))))</f>
        <v/>
      </c>
      <c r="N20" s="70" t="str">
        <f>IF($A20="","",IF(COUNTIFS(الإدخال!$A$5:$A$644,N$5,الإدخال!$D$5:$D$644,$A20,الإدخال!$F$5:$F$644,"غائب",الإدخال!$G$5:$G$644,"")&gt;0,"غ",IF(COUNTIFS(الإدخال!$A$5:$A$644,N$5,الإدخال!$D$5:$D$644,$A20,الإدخال!$F$5:$F$644,"معتذر",الإدخال!$G$5:$G$644,"")&gt;0,"ع",IF(SUMIFS(الإدخال!$P$5:$P$644,الإدخال!$A$5:$A$644,N$5,الإدخال!$D$5:$D$644,$A20)&gt;0,SUMIFS(الإدخال!$O$5:$O$644,الإدخال!$A$5:$A$644,N$5,الإدخال!$D$5:$D$644,$A20)/100,""))))</f>
        <v/>
      </c>
      <c r="O20" s="70" t="str">
        <f>IF($A20="","",IF(COUNTIFS(الإدخال!$A$5:$A$644,O$5,الإدخال!$D$5:$D$644,$A20,الإدخال!$F$5:$F$644,"غائب",الإدخال!$G$5:$G$644,"")&gt;0,"غ",IF(COUNTIFS(الإدخال!$A$5:$A$644,O$5,الإدخال!$D$5:$D$644,$A20,الإدخال!$F$5:$F$644,"معتذر",الإدخال!$G$5:$G$644,"")&gt;0,"ع",IF(SUMIFS(الإدخال!$P$5:$P$644,الإدخال!$A$5:$A$644,O$5,الإدخال!$D$5:$D$644,$A20)&gt;0,SUMIFS(الإدخال!$O$5:$O$644,الإدخال!$A$5:$A$644,O$5,الإدخال!$D$5:$D$644,$A20)/100,""))))</f>
        <v/>
      </c>
      <c r="P20" s="70" t="str">
        <f>IF($A20="","",IF(COUNTIFS(الإدخال!$A$5:$A$644,P$5,الإدخال!$D$5:$D$644,$A20,الإدخال!$F$5:$F$644,"غائب",الإدخال!$G$5:$G$644,"")&gt;0,"غ",IF(COUNTIFS(الإدخال!$A$5:$A$644,P$5,الإدخال!$D$5:$D$644,$A20,الإدخال!$F$5:$F$644,"معتذر",الإدخال!$G$5:$G$644,"")&gt;0,"ع",IF(SUMIFS(الإدخال!$P$5:$P$644,الإدخال!$A$5:$A$644,P$5,الإدخال!$D$5:$D$644,$A20)&gt;0,SUMIFS(الإدخال!$O$5:$O$644,الإدخال!$A$5:$A$644,P$5,الإدخال!$D$5:$D$644,$A20)/100,""))))</f>
        <v/>
      </c>
      <c r="Q20" s="70" t="str">
        <f>IF($A20="","",IF(COUNTIFS(الإدخال!$A$5:$A$644,Q$5,الإدخال!$D$5:$D$644,$A20,الإدخال!$F$5:$F$644,"غائب",الإدخال!$G$5:$G$644,"")&gt;0,"غ",IF(COUNTIFS(الإدخال!$A$5:$A$644,Q$5,الإدخال!$D$5:$D$644,$A20,الإدخال!$F$5:$F$644,"معتذر",الإدخال!$G$5:$G$644,"")&gt;0,"ع",IF(SUMIFS(الإدخال!$P$5:$P$644,الإدخال!$A$5:$A$644,Q$5,الإدخال!$D$5:$D$644,$A20)&gt;0,SUMIFS(الإدخال!$O$5:$O$644,الإدخال!$A$5:$A$644,Q$5,الإدخال!$D$5:$D$644,$A20)/100,""))))</f>
        <v/>
      </c>
      <c r="R20" s="70" t="str">
        <f>IF($A20="","",IF(COUNTIFS(الإدخال!$A$5:$A$644,R$5,الإدخال!$D$5:$D$644,$A20,الإدخال!$F$5:$F$644,"غائب",الإدخال!$G$5:$G$644,"")&gt;0,"غ",IF(COUNTIFS(الإدخال!$A$5:$A$644,R$5,الإدخال!$D$5:$D$644,$A20,الإدخال!$F$5:$F$644,"معتذر",الإدخال!$G$5:$G$644,"")&gt;0,"ع",IF(SUMIFS(الإدخال!$P$5:$P$644,الإدخال!$A$5:$A$644,R$5,الإدخال!$D$5:$D$644,$A20)&gt;0,SUMIFS(الإدخال!$O$5:$O$644,الإدخال!$A$5:$A$644,R$5,الإدخال!$D$5:$D$644,$A20)/100,""))))</f>
        <v/>
      </c>
      <c r="S20" s="70" t="str">
        <f>IF($A20="","",IF(COUNTIFS(الإدخال!$A$5:$A$644,S$5,الإدخال!$D$5:$D$644,$A20,الإدخال!$F$5:$F$644,"غائب",الإدخال!$G$5:$G$644,"")&gt;0,"غ",IF(COUNTIFS(الإدخال!$A$5:$A$644,S$5,الإدخال!$D$5:$D$644,$A20,الإدخال!$F$5:$F$644,"معتذر",الإدخال!$G$5:$G$644,"")&gt;0,"ع",IF(SUMIFS(الإدخال!$P$5:$P$644,الإدخال!$A$5:$A$644,S$5,الإدخال!$D$5:$D$644,$A20)&gt;0,SUMIFS(الإدخال!$O$5:$O$644,الإدخال!$A$5:$A$644,S$5,الإدخال!$D$5:$D$644,$A20)/100,""))))</f>
        <v/>
      </c>
      <c r="T20" s="71">
        <f>IF($A20="","",IFERROR(SUMIFS(الإدخال!$O$5:$O$644,الإدخال!$D$5:$D$644,$A20)/SUMIFS(الإدخال!$P$5:$P$644,الإدخال!$D$5:$D$644,$A20)/100,""))</f>
        <v>0.72</v>
      </c>
      <c r="U20" s="72" t="str">
        <f t="shared" si="0"/>
        <v>جيد</v>
      </c>
      <c r="V20" s="72">
        <f>IF($A20="","",SUMIFS(الإدخال!$N$5:$N$644,الإدخال!$D$5:$D$644,$A20))</f>
        <v>2</v>
      </c>
      <c r="W20" s="73">
        <f>IF($A20="","",COUNTIFS(الإدخال!$D$5:$D$644,$A20,الإدخال!$F$5:$F$644,"متأخر"))</f>
        <v>0</v>
      </c>
      <c r="X20" s="73">
        <f>IF($A20="","",COUNTIFS(الإدخال!$D$5:$D$644,$A20,الإدخال!$F$5:$F$644,"غائب"))</f>
        <v>0</v>
      </c>
      <c r="Y20" s="73">
        <f>IF($A20="","",COUNTIFS(الإدخال!$D$5:$D$644,$A20,الإدخال!$F$5:$F$644,"معتذر"))</f>
        <v>0</v>
      </c>
      <c r="Z20" s="73">
        <f>IF($A20="","",SUMIFS(الإدخال!$H$5:$H$644,الإدخال!$D$5:$D$644,$A20,الإدخال!$N$5:$N$644,1))</f>
        <v>2</v>
      </c>
      <c r="AA20" s="73">
        <f>IF($A20="","",SUMIFS(الإدخال!$I$5:$I$644,الإدخال!$D$5:$D$644,$A20,الإدخال!$N$5:$N$644,1))</f>
        <v>40</v>
      </c>
      <c r="AB20" s="73">
        <f>IF($A20="","",SUMIFS(الإدخال!$J$5:$J$644,الإدخال!$D$5:$D$644,$A20,الإدخال!$N$5:$N$644,1))</f>
        <v>0</v>
      </c>
      <c r="AC20" s="36">
        <f>IFERROR(MATCH($C$3&amp;"|16",الطلاب!$E$5:$E$44,0),"")</f>
        <v>35</v>
      </c>
    </row>
    <row r="21" spans="1:29">
      <c r="A21" s="18" t="str">
        <f>IF($AC21="","",INDEX(الطلاب!$A$5:$A$44,$AC21))</f>
        <v/>
      </c>
      <c r="B21" s="68" t="str">
        <f>IF($AC21="","",INDEX(الطلاب!$B$5:$B$44,$AC21))</f>
        <v/>
      </c>
      <c r="C21" s="69" t="str">
        <f>IF($AC21="","",INDEX(الطلاب!$D$5:$D$44,$AC21))</f>
        <v/>
      </c>
      <c r="D21" s="70" t="str">
        <f>IF($A21="","",IF(COUNTIFS(الإدخال!$A$5:$A$644,D$5,الإدخال!$D$5:$D$644,$A21,الإدخال!$F$5:$F$644,"غائب",الإدخال!$G$5:$G$644,"")&gt;0,"غ",IF(COUNTIFS(الإدخال!$A$5:$A$644,D$5,الإدخال!$D$5:$D$644,$A21,الإدخال!$F$5:$F$644,"معتذر",الإدخال!$G$5:$G$644,"")&gt;0,"ع",IF(SUMIFS(الإدخال!$P$5:$P$644,الإدخال!$A$5:$A$644,D$5,الإدخال!$D$5:$D$644,$A21)&gt;0,SUMIFS(الإدخال!$O$5:$O$644,الإدخال!$A$5:$A$644,D$5,الإدخال!$D$5:$D$644,$A21)/100,""))))</f>
        <v/>
      </c>
      <c r="E21" s="70" t="str">
        <f>IF($A21="","",IF(COUNTIFS(الإدخال!$A$5:$A$644,E$5,الإدخال!$D$5:$D$644,$A21,الإدخال!$F$5:$F$644,"غائب",الإدخال!$G$5:$G$644,"")&gt;0,"غ",IF(COUNTIFS(الإدخال!$A$5:$A$644,E$5,الإدخال!$D$5:$D$644,$A21,الإدخال!$F$5:$F$644,"معتذر",الإدخال!$G$5:$G$644,"")&gt;0,"ع",IF(SUMIFS(الإدخال!$P$5:$P$644,الإدخال!$A$5:$A$644,E$5,الإدخال!$D$5:$D$644,$A21)&gt;0,SUMIFS(الإدخال!$O$5:$O$644,الإدخال!$A$5:$A$644,E$5,الإدخال!$D$5:$D$644,$A21)/100,""))))</f>
        <v/>
      </c>
      <c r="F21" s="70" t="str">
        <f>IF($A21="","",IF(COUNTIFS(الإدخال!$A$5:$A$644,F$5,الإدخال!$D$5:$D$644,$A21,الإدخال!$F$5:$F$644,"غائب",الإدخال!$G$5:$G$644,"")&gt;0,"غ",IF(COUNTIFS(الإدخال!$A$5:$A$644,F$5,الإدخال!$D$5:$D$644,$A21,الإدخال!$F$5:$F$644,"معتذر",الإدخال!$G$5:$G$644,"")&gt;0,"ع",IF(SUMIFS(الإدخال!$P$5:$P$644,الإدخال!$A$5:$A$644,F$5,الإدخال!$D$5:$D$644,$A21)&gt;0,SUMIFS(الإدخال!$O$5:$O$644,الإدخال!$A$5:$A$644,F$5,الإدخال!$D$5:$D$644,$A21)/100,""))))</f>
        <v/>
      </c>
      <c r="G21" s="70" t="str">
        <f>IF($A21="","",IF(COUNTIFS(الإدخال!$A$5:$A$644,G$5,الإدخال!$D$5:$D$644,$A21,الإدخال!$F$5:$F$644,"غائب",الإدخال!$G$5:$G$644,"")&gt;0,"غ",IF(COUNTIFS(الإدخال!$A$5:$A$644,G$5,الإدخال!$D$5:$D$644,$A21,الإدخال!$F$5:$F$644,"معتذر",الإدخال!$G$5:$G$644,"")&gt;0,"ع",IF(SUMIFS(الإدخال!$P$5:$P$644,الإدخال!$A$5:$A$644,G$5,الإدخال!$D$5:$D$644,$A21)&gt;0,SUMIFS(الإدخال!$O$5:$O$644,الإدخال!$A$5:$A$644,G$5,الإدخال!$D$5:$D$644,$A21)/100,""))))</f>
        <v/>
      </c>
      <c r="H21" s="70" t="str">
        <f>IF($A21="","",IF(COUNTIFS(الإدخال!$A$5:$A$644,H$5,الإدخال!$D$5:$D$644,$A21,الإدخال!$F$5:$F$644,"غائب",الإدخال!$G$5:$G$644,"")&gt;0,"غ",IF(COUNTIFS(الإدخال!$A$5:$A$644,H$5,الإدخال!$D$5:$D$644,$A21,الإدخال!$F$5:$F$644,"معتذر",الإدخال!$G$5:$G$644,"")&gt;0,"ع",IF(SUMIFS(الإدخال!$P$5:$P$644,الإدخال!$A$5:$A$644,H$5,الإدخال!$D$5:$D$644,$A21)&gt;0,SUMIFS(الإدخال!$O$5:$O$644,الإدخال!$A$5:$A$644,H$5,الإدخال!$D$5:$D$644,$A21)/100,""))))</f>
        <v/>
      </c>
      <c r="I21" s="70" t="str">
        <f>IF($A21="","",IF(COUNTIFS(الإدخال!$A$5:$A$644,I$5,الإدخال!$D$5:$D$644,$A21,الإدخال!$F$5:$F$644,"غائب",الإدخال!$G$5:$G$644,"")&gt;0,"غ",IF(COUNTIFS(الإدخال!$A$5:$A$644,I$5,الإدخال!$D$5:$D$644,$A21,الإدخال!$F$5:$F$644,"معتذر",الإدخال!$G$5:$G$644,"")&gt;0,"ع",IF(SUMIFS(الإدخال!$P$5:$P$644,الإدخال!$A$5:$A$644,I$5,الإدخال!$D$5:$D$644,$A21)&gt;0,SUMIFS(الإدخال!$O$5:$O$644,الإدخال!$A$5:$A$644,I$5,الإدخال!$D$5:$D$644,$A21)/100,""))))</f>
        <v/>
      </c>
      <c r="J21" s="70" t="str">
        <f>IF($A21="","",IF(COUNTIFS(الإدخال!$A$5:$A$644,J$5,الإدخال!$D$5:$D$644,$A21,الإدخال!$F$5:$F$644,"غائب",الإدخال!$G$5:$G$644,"")&gt;0,"غ",IF(COUNTIFS(الإدخال!$A$5:$A$644,J$5,الإدخال!$D$5:$D$644,$A21,الإدخال!$F$5:$F$644,"معتذر",الإدخال!$G$5:$G$644,"")&gt;0,"ع",IF(SUMIFS(الإدخال!$P$5:$P$644,الإدخال!$A$5:$A$644,J$5,الإدخال!$D$5:$D$644,$A21)&gt;0,SUMIFS(الإدخال!$O$5:$O$644,الإدخال!$A$5:$A$644,J$5,الإدخال!$D$5:$D$644,$A21)/100,""))))</f>
        <v/>
      </c>
      <c r="K21" s="70" t="str">
        <f>IF($A21="","",IF(COUNTIFS(الإدخال!$A$5:$A$644,K$5,الإدخال!$D$5:$D$644,$A21,الإدخال!$F$5:$F$644,"غائب",الإدخال!$G$5:$G$644,"")&gt;0,"غ",IF(COUNTIFS(الإدخال!$A$5:$A$644,K$5,الإدخال!$D$5:$D$644,$A21,الإدخال!$F$5:$F$644,"معتذر",الإدخال!$G$5:$G$644,"")&gt;0,"ع",IF(SUMIFS(الإدخال!$P$5:$P$644,الإدخال!$A$5:$A$644,K$5,الإدخال!$D$5:$D$644,$A21)&gt;0,SUMIFS(الإدخال!$O$5:$O$644,الإدخال!$A$5:$A$644,K$5,الإدخال!$D$5:$D$644,$A21)/100,""))))</f>
        <v/>
      </c>
      <c r="L21" s="70" t="str">
        <f>IF($A21="","",IF(COUNTIFS(الإدخال!$A$5:$A$644,L$5,الإدخال!$D$5:$D$644,$A21,الإدخال!$F$5:$F$644,"غائب",الإدخال!$G$5:$G$644,"")&gt;0,"غ",IF(COUNTIFS(الإدخال!$A$5:$A$644,L$5,الإدخال!$D$5:$D$644,$A21,الإدخال!$F$5:$F$644,"معتذر",الإدخال!$G$5:$G$644,"")&gt;0,"ع",IF(SUMIFS(الإدخال!$P$5:$P$644,الإدخال!$A$5:$A$644,L$5,الإدخال!$D$5:$D$644,$A21)&gt;0,SUMIFS(الإدخال!$O$5:$O$644,الإدخال!$A$5:$A$644,L$5,الإدخال!$D$5:$D$644,$A21)/100,""))))</f>
        <v/>
      </c>
      <c r="M21" s="70" t="str">
        <f>IF($A21="","",IF(COUNTIFS(الإدخال!$A$5:$A$644,M$5,الإدخال!$D$5:$D$644,$A21,الإدخال!$F$5:$F$644,"غائب",الإدخال!$G$5:$G$644,"")&gt;0,"غ",IF(COUNTIFS(الإدخال!$A$5:$A$644,M$5,الإدخال!$D$5:$D$644,$A21,الإدخال!$F$5:$F$644,"معتذر",الإدخال!$G$5:$G$644,"")&gt;0,"ع",IF(SUMIFS(الإدخال!$P$5:$P$644,الإدخال!$A$5:$A$644,M$5,الإدخال!$D$5:$D$644,$A21)&gt;0,SUMIFS(الإدخال!$O$5:$O$644,الإدخال!$A$5:$A$644,M$5,الإدخال!$D$5:$D$644,$A21)/100,""))))</f>
        <v/>
      </c>
      <c r="N21" s="70" t="str">
        <f>IF($A21="","",IF(COUNTIFS(الإدخال!$A$5:$A$644,N$5,الإدخال!$D$5:$D$644,$A21,الإدخال!$F$5:$F$644,"غائب",الإدخال!$G$5:$G$644,"")&gt;0,"غ",IF(COUNTIFS(الإدخال!$A$5:$A$644,N$5,الإدخال!$D$5:$D$644,$A21,الإدخال!$F$5:$F$644,"معتذر",الإدخال!$G$5:$G$644,"")&gt;0,"ع",IF(SUMIFS(الإدخال!$P$5:$P$644,الإدخال!$A$5:$A$644,N$5,الإدخال!$D$5:$D$644,$A21)&gt;0,SUMIFS(الإدخال!$O$5:$O$644,الإدخال!$A$5:$A$644,N$5,الإدخال!$D$5:$D$644,$A21)/100,""))))</f>
        <v/>
      </c>
      <c r="O21" s="70" t="str">
        <f>IF($A21="","",IF(COUNTIFS(الإدخال!$A$5:$A$644,O$5,الإدخال!$D$5:$D$644,$A21,الإدخال!$F$5:$F$644,"غائب",الإدخال!$G$5:$G$644,"")&gt;0,"غ",IF(COUNTIFS(الإدخال!$A$5:$A$644,O$5,الإدخال!$D$5:$D$644,$A21,الإدخال!$F$5:$F$644,"معتذر",الإدخال!$G$5:$G$644,"")&gt;0,"ع",IF(SUMIFS(الإدخال!$P$5:$P$644,الإدخال!$A$5:$A$644,O$5,الإدخال!$D$5:$D$644,$A21)&gt;0,SUMIFS(الإدخال!$O$5:$O$644,الإدخال!$A$5:$A$644,O$5,الإدخال!$D$5:$D$644,$A21)/100,""))))</f>
        <v/>
      </c>
      <c r="P21" s="70" t="str">
        <f>IF($A21="","",IF(COUNTIFS(الإدخال!$A$5:$A$644,P$5,الإدخال!$D$5:$D$644,$A21,الإدخال!$F$5:$F$644,"غائب",الإدخال!$G$5:$G$644,"")&gt;0,"غ",IF(COUNTIFS(الإدخال!$A$5:$A$644,P$5,الإدخال!$D$5:$D$644,$A21,الإدخال!$F$5:$F$644,"معتذر",الإدخال!$G$5:$G$644,"")&gt;0,"ع",IF(SUMIFS(الإدخال!$P$5:$P$644,الإدخال!$A$5:$A$644,P$5,الإدخال!$D$5:$D$644,$A21)&gt;0,SUMIFS(الإدخال!$O$5:$O$644,الإدخال!$A$5:$A$644,P$5,الإدخال!$D$5:$D$644,$A21)/100,""))))</f>
        <v/>
      </c>
      <c r="Q21" s="70" t="str">
        <f>IF($A21="","",IF(COUNTIFS(الإدخال!$A$5:$A$644,Q$5,الإدخال!$D$5:$D$644,$A21,الإدخال!$F$5:$F$644,"غائب",الإدخال!$G$5:$G$644,"")&gt;0,"غ",IF(COUNTIFS(الإدخال!$A$5:$A$644,Q$5,الإدخال!$D$5:$D$644,$A21,الإدخال!$F$5:$F$644,"معتذر",الإدخال!$G$5:$G$644,"")&gt;0,"ع",IF(SUMIFS(الإدخال!$P$5:$P$644,الإدخال!$A$5:$A$644,Q$5,الإدخال!$D$5:$D$644,$A21)&gt;0,SUMIFS(الإدخال!$O$5:$O$644,الإدخال!$A$5:$A$644,Q$5,الإدخال!$D$5:$D$644,$A21)/100,""))))</f>
        <v/>
      </c>
      <c r="R21" s="70" t="str">
        <f>IF($A21="","",IF(COUNTIFS(الإدخال!$A$5:$A$644,R$5,الإدخال!$D$5:$D$644,$A21,الإدخال!$F$5:$F$644,"غائب",الإدخال!$G$5:$G$644,"")&gt;0,"غ",IF(COUNTIFS(الإدخال!$A$5:$A$644,R$5,الإدخال!$D$5:$D$644,$A21,الإدخال!$F$5:$F$644,"معتذر",الإدخال!$G$5:$G$644,"")&gt;0,"ع",IF(SUMIFS(الإدخال!$P$5:$P$644,الإدخال!$A$5:$A$644,R$5,الإدخال!$D$5:$D$644,$A21)&gt;0,SUMIFS(الإدخال!$O$5:$O$644,الإدخال!$A$5:$A$644,R$5,الإدخال!$D$5:$D$644,$A21)/100,""))))</f>
        <v/>
      </c>
      <c r="S21" s="70" t="str">
        <f>IF($A21="","",IF(COUNTIFS(الإدخال!$A$5:$A$644,S$5,الإدخال!$D$5:$D$644,$A21,الإدخال!$F$5:$F$644,"غائب",الإدخال!$G$5:$G$644,"")&gt;0,"غ",IF(COUNTIFS(الإدخال!$A$5:$A$644,S$5,الإدخال!$D$5:$D$644,$A21,الإدخال!$F$5:$F$644,"معتذر",الإدخال!$G$5:$G$644,"")&gt;0,"ع",IF(SUMIFS(الإدخال!$P$5:$P$644,الإدخال!$A$5:$A$644,S$5,الإدخال!$D$5:$D$644,$A21)&gt;0,SUMIFS(الإدخال!$O$5:$O$644,الإدخال!$A$5:$A$644,S$5,الإدخال!$D$5:$D$644,$A21)/100,""))))</f>
        <v/>
      </c>
      <c r="T21" s="71" t="str">
        <f>IF($A21="","",IFERROR(SUMIFS(الإدخال!$O$5:$O$644,الإدخال!$D$5:$D$644,$A21)/SUMIFS(الإدخال!$P$5:$P$644,الإدخال!$D$5:$D$644,$A21)/100,""))</f>
        <v/>
      </c>
      <c r="U21" s="72" t="str">
        <f t="shared" si="0"/>
        <v/>
      </c>
      <c r="V21" s="72" t="str">
        <f>IF($A21="","",SUMIFS(الإدخال!$N$5:$N$644,الإدخال!$D$5:$D$644,$A21))</f>
        <v/>
      </c>
      <c r="W21" s="73" t="str">
        <f>IF($A21="","",COUNTIFS(الإدخال!$D$5:$D$644,$A21,الإدخال!$F$5:$F$644,"متأخر"))</f>
        <v/>
      </c>
      <c r="X21" s="73" t="str">
        <f>IF($A21="","",COUNTIFS(الإدخال!$D$5:$D$644,$A21,الإدخال!$F$5:$F$644,"غائب"))</f>
        <v/>
      </c>
      <c r="Y21" s="73" t="str">
        <f>IF($A21="","",COUNTIFS(الإدخال!$D$5:$D$644,$A21,الإدخال!$F$5:$F$644,"معتذر"))</f>
        <v/>
      </c>
      <c r="Z21" s="73" t="str">
        <f>IF($A21="","",SUMIFS(الإدخال!$H$5:$H$644,الإدخال!$D$5:$D$644,$A21,الإدخال!$N$5:$N$644,1))</f>
        <v/>
      </c>
      <c r="AA21" s="73" t="str">
        <f>IF($A21="","",SUMIFS(الإدخال!$I$5:$I$644,الإدخال!$D$5:$D$644,$A21,الإدخال!$N$5:$N$644,1))</f>
        <v/>
      </c>
      <c r="AB21" s="73" t="str">
        <f>IF($A21="","",SUMIFS(الإدخال!$J$5:$J$644,الإدخال!$D$5:$D$644,$A21,الإدخال!$N$5:$N$644,1))</f>
        <v/>
      </c>
      <c r="AC21" s="36" t="str">
        <f>IFERROR(MATCH($C$3&amp;"|17",الطلاب!$E$5:$E$44,0),"")</f>
        <v/>
      </c>
    </row>
    <row r="22" spans="1:29">
      <c r="A22" s="18" t="str">
        <f>IF($AC22="","",INDEX(الطلاب!$A$5:$A$44,$AC22))</f>
        <v/>
      </c>
      <c r="B22" s="68" t="str">
        <f>IF($AC22="","",INDEX(الطلاب!$B$5:$B$44,$AC22))</f>
        <v/>
      </c>
      <c r="C22" s="69" t="str">
        <f>IF($AC22="","",INDEX(الطلاب!$D$5:$D$44,$AC22))</f>
        <v/>
      </c>
      <c r="D22" s="70" t="str">
        <f>IF($A22="","",IF(COUNTIFS(الإدخال!$A$5:$A$644,D$5,الإدخال!$D$5:$D$644,$A22,الإدخال!$F$5:$F$644,"غائب",الإدخال!$G$5:$G$644,"")&gt;0,"غ",IF(COUNTIFS(الإدخال!$A$5:$A$644,D$5,الإدخال!$D$5:$D$644,$A22,الإدخال!$F$5:$F$644,"معتذر",الإدخال!$G$5:$G$644,"")&gt;0,"ع",IF(SUMIFS(الإدخال!$P$5:$P$644,الإدخال!$A$5:$A$644,D$5,الإدخال!$D$5:$D$644,$A22)&gt;0,SUMIFS(الإدخال!$O$5:$O$644,الإدخال!$A$5:$A$644,D$5,الإدخال!$D$5:$D$644,$A22)/100,""))))</f>
        <v/>
      </c>
      <c r="E22" s="70" t="str">
        <f>IF($A22="","",IF(COUNTIFS(الإدخال!$A$5:$A$644,E$5,الإدخال!$D$5:$D$644,$A22,الإدخال!$F$5:$F$644,"غائب",الإدخال!$G$5:$G$644,"")&gt;0,"غ",IF(COUNTIFS(الإدخال!$A$5:$A$644,E$5,الإدخال!$D$5:$D$644,$A22,الإدخال!$F$5:$F$644,"معتذر",الإدخال!$G$5:$G$644,"")&gt;0,"ع",IF(SUMIFS(الإدخال!$P$5:$P$644,الإدخال!$A$5:$A$644,E$5,الإدخال!$D$5:$D$644,$A22)&gt;0,SUMIFS(الإدخال!$O$5:$O$644,الإدخال!$A$5:$A$644,E$5,الإدخال!$D$5:$D$644,$A22)/100,""))))</f>
        <v/>
      </c>
      <c r="F22" s="70" t="str">
        <f>IF($A22="","",IF(COUNTIFS(الإدخال!$A$5:$A$644,F$5,الإدخال!$D$5:$D$644,$A22,الإدخال!$F$5:$F$644,"غائب",الإدخال!$G$5:$G$644,"")&gt;0,"غ",IF(COUNTIFS(الإدخال!$A$5:$A$644,F$5,الإدخال!$D$5:$D$644,$A22,الإدخال!$F$5:$F$644,"معتذر",الإدخال!$G$5:$G$644,"")&gt;0,"ع",IF(SUMIFS(الإدخال!$P$5:$P$644,الإدخال!$A$5:$A$644,F$5,الإدخال!$D$5:$D$644,$A22)&gt;0,SUMIFS(الإدخال!$O$5:$O$644,الإدخال!$A$5:$A$644,F$5,الإدخال!$D$5:$D$644,$A22)/100,""))))</f>
        <v/>
      </c>
      <c r="G22" s="70" t="str">
        <f>IF($A22="","",IF(COUNTIFS(الإدخال!$A$5:$A$644,G$5,الإدخال!$D$5:$D$644,$A22,الإدخال!$F$5:$F$644,"غائب",الإدخال!$G$5:$G$644,"")&gt;0,"غ",IF(COUNTIFS(الإدخال!$A$5:$A$644,G$5,الإدخال!$D$5:$D$644,$A22,الإدخال!$F$5:$F$644,"معتذر",الإدخال!$G$5:$G$644,"")&gt;0,"ع",IF(SUMIFS(الإدخال!$P$5:$P$644,الإدخال!$A$5:$A$644,G$5,الإدخال!$D$5:$D$644,$A22)&gt;0,SUMIFS(الإدخال!$O$5:$O$644,الإدخال!$A$5:$A$644,G$5,الإدخال!$D$5:$D$644,$A22)/100,""))))</f>
        <v/>
      </c>
      <c r="H22" s="70" t="str">
        <f>IF($A22="","",IF(COUNTIFS(الإدخال!$A$5:$A$644,H$5,الإدخال!$D$5:$D$644,$A22,الإدخال!$F$5:$F$644,"غائب",الإدخال!$G$5:$G$644,"")&gt;0,"غ",IF(COUNTIFS(الإدخال!$A$5:$A$644,H$5,الإدخال!$D$5:$D$644,$A22,الإدخال!$F$5:$F$644,"معتذر",الإدخال!$G$5:$G$644,"")&gt;0,"ع",IF(SUMIFS(الإدخال!$P$5:$P$644,الإدخال!$A$5:$A$644,H$5,الإدخال!$D$5:$D$644,$A22)&gt;0,SUMIFS(الإدخال!$O$5:$O$644,الإدخال!$A$5:$A$644,H$5,الإدخال!$D$5:$D$644,$A22)/100,""))))</f>
        <v/>
      </c>
      <c r="I22" s="70" t="str">
        <f>IF($A22="","",IF(COUNTIFS(الإدخال!$A$5:$A$644,I$5,الإدخال!$D$5:$D$644,$A22,الإدخال!$F$5:$F$644,"غائب",الإدخال!$G$5:$G$644,"")&gt;0,"غ",IF(COUNTIFS(الإدخال!$A$5:$A$644,I$5,الإدخال!$D$5:$D$644,$A22,الإدخال!$F$5:$F$644,"معتذر",الإدخال!$G$5:$G$644,"")&gt;0,"ع",IF(SUMIFS(الإدخال!$P$5:$P$644,الإدخال!$A$5:$A$644,I$5,الإدخال!$D$5:$D$644,$A22)&gt;0,SUMIFS(الإدخال!$O$5:$O$644,الإدخال!$A$5:$A$644,I$5,الإدخال!$D$5:$D$644,$A22)/100,""))))</f>
        <v/>
      </c>
      <c r="J22" s="70" t="str">
        <f>IF($A22="","",IF(COUNTIFS(الإدخال!$A$5:$A$644,J$5,الإدخال!$D$5:$D$644,$A22,الإدخال!$F$5:$F$644,"غائب",الإدخال!$G$5:$G$644,"")&gt;0,"غ",IF(COUNTIFS(الإدخال!$A$5:$A$644,J$5,الإدخال!$D$5:$D$644,$A22,الإدخال!$F$5:$F$644,"معتذر",الإدخال!$G$5:$G$644,"")&gt;0,"ع",IF(SUMIFS(الإدخال!$P$5:$P$644,الإدخال!$A$5:$A$644,J$5,الإدخال!$D$5:$D$644,$A22)&gt;0,SUMIFS(الإدخال!$O$5:$O$644,الإدخال!$A$5:$A$644,J$5,الإدخال!$D$5:$D$644,$A22)/100,""))))</f>
        <v/>
      </c>
      <c r="K22" s="70" t="str">
        <f>IF($A22="","",IF(COUNTIFS(الإدخال!$A$5:$A$644,K$5,الإدخال!$D$5:$D$644,$A22,الإدخال!$F$5:$F$644,"غائب",الإدخال!$G$5:$G$644,"")&gt;0,"غ",IF(COUNTIFS(الإدخال!$A$5:$A$644,K$5,الإدخال!$D$5:$D$644,$A22,الإدخال!$F$5:$F$644,"معتذر",الإدخال!$G$5:$G$644,"")&gt;0,"ع",IF(SUMIFS(الإدخال!$P$5:$P$644,الإدخال!$A$5:$A$644,K$5,الإدخال!$D$5:$D$644,$A22)&gt;0,SUMIFS(الإدخال!$O$5:$O$644,الإدخال!$A$5:$A$644,K$5,الإدخال!$D$5:$D$644,$A22)/100,""))))</f>
        <v/>
      </c>
      <c r="L22" s="70" t="str">
        <f>IF($A22="","",IF(COUNTIFS(الإدخال!$A$5:$A$644,L$5,الإدخال!$D$5:$D$644,$A22,الإدخال!$F$5:$F$644,"غائب",الإدخال!$G$5:$G$644,"")&gt;0,"غ",IF(COUNTIFS(الإدخال!$A$5:$A$644,L$5,الإدخال!$D$5:$D$644,$A22,الإدخال!$F$5:$F$644,"معتذر",الإدخال!$G$5:$G$644,"")&gt;0,"ع",IF(SUMIFS(الإدخال!$P$5:$P$644,الإدخال!$A$5:$A$644,L$5,الإدخال!$D$5:$D$644,$A22)&gt;0,SUMIFS(الإدخال!$O$5:$O$644,الإدخال!$A$5:$A$644,L$5,الإدخال!$D$5:$D$644,$A22)/100,""))))</f>
        <v/>
      </c>
      <c r="M22" s="70" t="str">
        <f>IF($A22="","",IF(COUNTIFS(الإدخال!$A$5:$A$644,M$5,الإدخال!$D$5:$D$644,$A22,الإدخال!$F$5:$F$644,"غائب",الإدخال!$G$5:$G$644,"")&gt;0,"غ",IF(COUNTIFS(الإدخال!$A$5:$A$644,M$5,الإدخال!$D$5:$D$644,$A22,الإدخال!$F$5:$F$644,"معتذر",الإدخال!$G$5:$G$644,"")&gt;0,"ع",IF(SUMIFS(الإدخال!$P$5:$P$644,الإدخال!$A$5:$A$644,M$5,الإدخال!$D$5:$D$644,$A22)&gt;0,SUMIFS(الإدخال!$O$5:$O$644,الإدخال!$A$5:$A$644,M$5,الإدخال!$D$5:$D$644,$A22)/100,""))))</f>
        <v/>
      </c>
      <c r="N22" s="70" t="str">
        <f>IF($A22="","",IF(COUNTIFS(الإدخال!$A$5:$A$644,N$5,الإدخال!$D$5:$D$644,$A22,الإدخال!$F$5:$F$644,"غائب",الإدخال!$G$5:$G$644,"")&gt;0,"غ",IF(COUNTIFS(الإدخال!$A$5:$A$644,N$5,الإدخال!$D$5:$D$644,$A22,الإدخال!$F$5:$F$644,"معتذر",الإدخال!$G$5:$G$644,"")&gt;0,"ع",IF(SUMIFS(الإدخال!$P$5:$P$644,الإدخال!$A$5:$A$644,N$5,الإدخال!$D$5:$D$644,$A22)&gt;0,SUMIFS(الإدخال!$O$5:$O$644,الإدخال!$A$5:$A$644,N$5,الإدخال!$D$5:$D$644,$A22)/100,""))))</f>
        <v/>
      </c>
      <c r="O22" s="70" t="str">
        <f>IF($A22="","",IF(COUNTIFS(الإدخال!$A$5:$A$644,O$5,الإدخال!$D$5:$D$644,$A22,الإدخال!$F$5:$F$644,"غائب",الإدخال!$G$5:$G$644,"")&gt;0,"غ",IF(COUNTIFS(الإدخال!$A$5:$A$644,O$5,الإدخال!$D$5:$D$644,$A22,الإدخال!$F$5:$F$644,"معتذر",الإدخال!$G$5:$G$644,"")&gt;0,"ع",IF(SUMIFS(الإدخال!$P$5:$P$644,الإدخال!$A$5:$A$644,O$5,الإدخال!$D$5:$D$644,$A22)&gt;0,SUMIFS(الإدخال!$O$5:$O$644,الإدخال!$A$5:$A$644,O$5,الإدخال!$D$5:$D$644,$A22)/100,""))))</f>
        <v/>
      </c>
      <c r="P22" s="70" t="str">
        <f>IF($A22="","",IF(COUNTIFS(الإدخال!$A$5:$A$644,P$5,الإدخال!$D$5:$D$644,$A22,الإدخال!$F$5:$F$644,"غائب",الإدخال!$G$5:$G$644,"")&gt;0,"غ",IF(COUNTIFS(الإدخال!$A$5:$A$644,P$5,الإدخال!$D$5:$D$644,$A22,الإدخال!$F$5:$F$644,"معتذر",الإدخال!$G$5:$G$644,"")&gt;0,"ع",IF(SUMIFS(الإدخال!$P$5:$P$644,الإدخال!$A$5:$A$644,P$5,الإدخال!$D$5:$D$644,$A22)&gt;0,SUMIFS(الإدخال!$O$5:$O$644,الإدخال!$A$5:$A$644,P$5,الإدخال!$D$5:$D$644,$A22)/100,""))))</f>
        <v/>
      </c>
      <c r="Q22" s="70" t="str">
        <f>IF($A22="","",IF(COUNTIFS(الإدخال!$A$5:$A$644,Q$5,الإدخال!$D$5:$D$644,$A22,الإدخال!$F$5:$F$644,"غائب",الإدخال!$G$5:$G$644,"")&gt;0,"غ",IF(COUNTIFS(الإدخال!$A$5:$A$644,Q$5,الإدخال!$D$5:$D$644,$A22,الإدخال!$F$5:$F$644,"معتذر",الإدخال!$G$5:$G$644,"")&gt;0,"ع",IF(SUMIFS(الإدخال!$P$5:$P$644,الإدخال!$A$5:$A$644,Q$5,الإدخال!$D$5:$D$644,$A22)&gt;0,SUMIFS(الإدخال!$O$5:$O$644,الإدخال!$A$5:$A$644,Q$5,الإدخال!$D$5:$D$644,$A22)/100,""))))</f>
        <v/>
      </c>
      <c r="R22" s="70" t="str">
        <f>IF($A22="","",IF(COUNTIFS(الإدخال!$A$5:$A$644,R$5,الإدخال!$D$5:$D$644,$A22,الإدخال!$F$5:$F$644,"غائب",الإدخال!$G$5:$G$644,"")&gt;0,"غ",IF(COUNTIFS(الإدخال!$A$5:$A$644,R$5,الإدخال!$D$5:$D$644,$A22,الإدخال!$F$5:$F$644,"معتذر",الإدخال!$G$5:$G$644,"")&gt;0,"ع",IF(SUMIFS(الإدخال!$P$5:$P$644,الإدخال!$A$5:$A$644,R$5,الإدخال!$D$5:$D$644,$A22)&gt;0,SUMIFS(الإدخال!$O$5:$O$644,الإدخال!$A$5:$A$644,R$5,الإدخال!$D$5:$D$644,$A22)/100,""))))</f>
        <v/>
      </c>
      <c r="S22" s="70" t="str">
        <f>IF($A22="","",IF(COUNTIFS(الإدخال!$A$5:$A$644,S$5,الإدخال!$D$5:$D$644,$A22,الإدخال!$F$5:$F$644,"غائب",الإدخال!$G$5:$G$644,"")&gt;0,"غ",IF(COUNTIFS(الإدخال!$A$5:$A$644,S$5,الإدخال!$D$5:$D$644,$A22,الإدخال!$F$5:$F$644,"معتذر",الإدخال!$G$5:$G$644,"")&gt;0,"ع",IF(SUMIFS(الإدخال!$P$5:$P$644,الإدخال!$A$5:$A$644,S$5,الإدخال!$D$5:$D$644,$A22)&gt;0,SUMIFS(الإدخال!$O$5:$O$644,الإدخال!$A$5:$A$644,S$5,الإدخال!$D$5:$D$644,$A22)/100,""))))</f>
        <v/>
      </c>
      <c r="T22" s="71" t="str">
        <f>IF($A22="","",IFERROR(SUMIFS(الإدخال!$O$5:$O$644,الإدخال!$D$5:$D$644,$A22)/SUMIFS(الإدخال!$P$5:$P$644,الإدخال!$D$5:$D$644,$A22)/100,""))</f>
        <v/>
      </c>
      <c r="U22" s="72" t="str">
        <f t="shared" si="0"/>
        <v/>
      </c>
      <c r="V22" s="72" t="str">
        <f>IF($A22="","",SUMIFS(الإدخال!$N$5:$N$644,الإدخال!$D$5:$D$644,$A22))</f>
        <v/>
      </c>
      <c r="W22" s="73" t="str">
        <f>IF($A22="","",COUNTIFS(الإدخال!$D$5:$D$644,$A22,الإدخال!$F$5:$F$644,"متأخر"))</f>
        <v/>
      </c>
      <c r="X22" s="73" t="str">
        <f>IF($A22="","",COUNTIFS(الإدخال!$D$5:$D$644,$A22,الإدخال!$F$5:$F$644,"غائب"))</f>
        <v/>
      </c>
      <c r="Y22" s="73" t="str">
        <f>IF($A22="","",COUNTIFS(الإدخال!$D$5:$D$644,$A22,الإدخال!$F$5:$F$644,"معتذر"))</f>
        <v/>
      </c>
      <c r="Z22" s="73" t="str">
        <f>IF($A22="","",SUMIFS(الإدخال!$H$5:$H$644,الإدخال!$D$5:$D$644,$A22,الإدخال!$N$5:$N$644,1))</f>
        <v/>
      </c>
      <c r="AA22" s="73" t="str">
        <f>IF($A22="","",SUMIFS(الإدخال!$I$5:$I$644,الإدخال!$D$5:$D$644,$A22,الإدخال!$N$5:$N$644,1))</f>
        <v/>
      </c>
      <c r="AB22" s="73" t="str">
        <f>IF($A22="","",SUMIFS(الإدخال!$J$5:$J$644,الإدخال!$D$5:$D$644,$A22,الإدخال!$N$5:$N$644,1))</f>
        <v/>
      </c>
      <c r="AC22" s="36" t="str">
        <f>IFERROR(MATCH($C$3&amp;"|18",الطلاب!$E$5:$E$44,0),"")</f>
        <v/>
      </c>
    </row>
    <row r="23" spans="1:29">
      <c r="A23" s="18" t="str">
        <f>IF($AC23="","",INDEX(الطلاب!$A$5:$A$44,$AC23))</f>
        <v/>
      </c>
      <c r="B23" s="68" t="str">
        <f>IF($AC23="","",INDEX(الطلاب!$B$5:$B$44,$AC23))</f>
        <v/>
      </c>
      <c r="C23" s="69" t="str">
        <f>IF($AC23="","",INDEX(الطلاب!$D$5:$D$44,$AC23))</f>
        <v/>
      </c>
      <c r="D23" s="70" t="str">
        <f>IF($A23="","",IF(COUNTIFS(الإدخال!$A$5:$A$644,D$5,الإدخال!$D$5:$D$644,$A23,الإدخال!$F$5:$F$644,"غائب",الإدخال!$G$5:$G$644,"")&gt;0,"غ",IF(COUNTIFS(الإدخال!$A$5:$A$644,D$5,الإدخال!$D$5:$D$644,$A23,الإدخال!$F$5:$F$644,"معتذر",الإدخال!$G$5:$G$644,"")&gt;0,"ع",IF(SUMIFS(الإدخال!$P$5:$P$644,الإدخال!$A$5:$A$644,D$5,الإدخال!$D$5:$D$644,$A23)&gt;0,SUMIFS(الإدخال!$O$5:$O$644,الإدخال!$A$5:$A$644,D$5,الإدخال!$D$5:$D$644,$A23)/100,""))))</f>
        <v/>
      </c>
      <c r="E23" s="70" t="str">
        <f>IF($A23="","",IF(COUNTIFS(الإدخال!$A$5:$A$644,E$5,الإدخال!$D$5:$D$644,$A23,الإدخال!$F$5:$F$644,"غائب",الإدخال!$G$5:$G$644,"")&gt;0,"غ",IF(COUNTIFS(الإدخال!$A$5:$A$644,E$5,الإدخال!$D$5:$D$644,$A23,الإدخال!$F$5:$F$644,"معتذر",الإدخال!$G$5:$G$644,"")&gt;0,"ع",IF(SUMIFS(الإدخال!$P$5:$P$644,الإدخال!$A$5:$A$644,E$5,الإدخال!$D$5:$D$644,$A23)&gt;0,SUMIFS(الإدخال!$O$5:$O$644,الإدخال!$A$5:$A$644,E$5,الإدخال!$D$5:$D$644,$A23)/100,""))))</f>
        <v/>
      </c>
      <c r="F23" s="70" t="str">
        <f>IF($A23="","",IF(COUNTIFS(الإدخال!$A$5:$A$644,F$5,الإدخال!$D$5:$D$644,$A23,الإدخال!$F$5:$F$644,"غائب",الإدخال!$G$5:$G$644,"")&gt;0,"غ",IF(COUNTIFS(الإدخال!$A$5:$A$644,F$5,الإدخال!$D$5:$D$644,$A23,الإدخال!$F$5:$F$644,"معتذر",الإدخال!$G$5:$G$644,"")&gt;0,"ع",IF(SUMIFS(الإدخال!$P$5:$P$644,الإدخال!$A$5:$A$644,F$5,الإدخال!$D$5:$D$644,$A23)&gt;0,SUMIFS(الإدخال!$O$5:$O$644,الإدخال!$A$5:$A$644,F$5,الإدخال!$D$5:$D$644,$A23)/100,""))))</f>
        <v/>
      </c>
      <c r="G23" s="70" t="str">
        <f>IF($A23="","",IF(COUNTIFS(الإدخال!$A$5:$A$644,G$5,الإدخال!$D$5:$D$644,$A23,الإدخال!$F$5:$F$644,"غائب",الإدخال!$G$5:$G$644,"")&gt;0,"غ",IF(COUNTIFS(الإدخال!$A$5:$A$644,G$5,الإدخال!$D$5:$D$644,$A23,الإدخال!$F$5:$F$644,"معتذر",الإدخال!$G$5:$G$644,"")&gt;0,"ع",IF(SUMIFS(الإدخال!$P$5:$P$644,الإدخال!$A$5:$A$644,G$5,الإدخال!$D$5:$D$644,$A23)&gt;0,SUMIFS(الإدخال!$O$5:$O$644,الإدخال!$A$5:$A$644,G$5,الإدخال!$D$5:$D$644,$A23)/100,""))))</f>
        <v/>
      </c>
      <c r="H23" s="70" t="str">
        <f>IF($A23="","",IF(COUNTIFS(الإدخال!$A$5:$A$644,H$5,الإدخال!$D$5:$D$644,$A23,الإدخال!$F$5:$F$644,"غائب",الإدخال!$G$5:$G$644,"")&gt;0,"غ",IF(COUNTIFS(الإدخال!$A$5:$A$644,H$5,الإدخال!$D$5:$D$644,$A23,الإدخال!$F$5:$F$644,"معتذر",الإدخال!$G$5:$G$644,"")&gt;0,"ع",IF(SUMIFS(الإدخال!$P$5:$P$644,الإدخال!$A$5:$A$644,H$5,الإدخال!$D$5:$D$644,$A23)&gt;0,SUMIFS(الإدخال!$O$5:$O$644,الإدخال!$A$5:$A$644,H$5,الإدخال!$D$5:$D$644,$A23)/100,""))))</f>
        <v/>
      </c>
      <c r="I23" s="70" t="str">
        <f>IF($A23="","",IF(COUNTIFS(الإدخال!$A$5:$A$644,I$5,الإدخال!$D$5:$D$644,$A23,الإدخال!$F$5:$F$644,"غائب",الإدخال!$G$5:$G$644,"")&gt;0,"غ",IF(COUNTIFS(الإدخال!$A$5:$A$644,I$5,الإدخال!$D$5:$D$644,$A23,الإدخال!$F$5:$F$644,"معتذر",الإدخال!$G$5:$G$644,"")&gt;0,"ع",IF(SUMIFS(الإدخال!$P$5:$P$644,الإدخال!$A$5:$A$644,I$5,الإدخال!$D$5:$D$644,$A23)&gt;0,SUMIFS(الإدخال!$O$5:$O$644,الإدخال!$A$5:$A$644,I$5,الإدخال!$D$5:$D$644,$A23)/100,""))))</f>
        <v/>
      </c>
      <c r="J23" s="70" t="str">
        <f>IF($A23="","",IF(COUNTIFS(الإدخال!$A$5:$A$644,J$5,الإدخال!$D$5:$D$644,$A23,الإدخال!$F$5:$F$644,"غائب",الإدخال!$G$5:$G$644,"")&gt;0,"غ",IF(COUNTIFS(الإدخال!$A$5:$A$644,J$5,الإدخال!$D$5:$D$644,$A23,الإدخال!$F$5:$F$644,"معتذر",الإدخال!$G$5:$G$644,"")&gt;0,"ع",IF(SUMIFS(الإدخال!$P$5:$P$644,الإدخال!$A$5:$A$644,J$5,الإدخال!$D$5:$D$644,$A23)&gt;0,SUMIFS(الإدخال!$O$5:$O$644,الإدخال!$A$5:$A$644,J$5,الإدخال!$D$5:$D$644,$A23)/100,""))))</f>
        <v/>
      </c>
      <c r="K23" s="70" t="str">
        <f>IF($A23="","",IF(COUNTIFS(الإدخال!$A$5:$A$644,K$5,الإدخال!$D$5:$D$644,$A23,الإدخال!$F$5:$F$644,"غائب",الإدخال!$G$5:$G$644,"")&gt;0,"غ",IF(COUNTIFS(الإدخال!$A$5:$A$644,K$5,الإدخال!$D$5:$D$644,$A23,الإدخال!$F$5:$F$644,"معتذر",الإدخال!$G$5:$G$644,"")&gt;0,"ع",IF(SUMIFS(الإدخال!$P$5:$P$644,الإدخال!$A$5:$A$644,K$5,الإدخال!$D$5:$D$644,$A23)&gt;0,SUMIFS(الإدخال!$O$5:$O$644,الإدخال!$A$5:$A$644,K$5,الإدخال!$D$5:$D$644,$A23)/100,""))))</f>
        <v/>
      </c>
      <c r="L23" s="70" t="str">
        <f>IF($A23="","",IF(COUNTIFS(الإدخال!$A$5:$A$644,L$5,الإدخال!$D$5:$D$644,$A23,الإدخال!$F$5:$F$644,"غائب",الإدخال!$G$5:$G$644,"")&gt;0,"غ",IF(COUNTIFS(الإدخال!$A$5:$A$644,L$5,الإدخال!$D$5:$D$644,$A23,الإدخال!$F$5:$F$644,"معتذر",الإدخال!$G$5:$G$644,"")&gt;0,"ع",IF(SUMIFS(الإدخال!$P$5:$P$644,الإدخال!$A$5:$A$644,L$5,الإدخال!$D$5:$D$644,$A23)&gt;0,SUMIFS(الإدخال!$O$5:$O$644,الإدخال!$A$5:$A$644,L$5,الإدخال!$D$5:$D$644,$A23)/100,""))))</f>
        <v/>
      </c>
      <c r="M23" s="70" t="str">
        <f>IF($A23="","",IF(COUNTIFS(الإدخال!$A$5:$A$644,M$5,الإدخال!$D$5:$D$644,$A23,الإدخال!$F$5:$F$644,"غائب",الإدخال!$G$5:$G$644,"")&gt;0,"غ",IF(COUNTIFS(الإدخال!$A$5:$A$644,M$5,الإدخال!$D$5:$D$644,$A23,الإدخال!$F$5:$F$644,"معتذر",الإدخال!$G$5:$G$644,"")&gt;0,"ع",IF(SUMIFS(الإدخال!$P$5:$P$644,الإدخال!$A$5:$A$644,M$5,الإدخال!$D$5:$D$644,$A23)&gt;0,SUMIFS(الإدخال!$O$5:$O$644,الإدخال!$A$5:$A$644,M$5,الإدخال!$D$5:$D$644,$A23)/100,""))))</f>
        <v/>
      </c>
      <c r="N23" s="70" t="str">
        <f>IF($A23="","",IF(COUNTIFS(الإدخال!$A$5:$A$644,N$5,الإدخال!$D$5:$D$644,$A23,الإدخال!$F$5:$F$644,"غائب",الإدخال!$G$5:$G$644,"")&gt;0,"غ",IF(COUNTIFS(الإدخال!$A$5:$A$644,N$5,الإدخال!$D$5:$D$644,$A23,الإدخال!$F$5:$F$644,"معتذر",الإدخال!$G$5:$G$644,"")&gt;0,"ع",IF(SUMIFS(الإدخال!$P$5:$P$644,الإدخال!$A$5:$A$644,N$5,الإدخال!$D$5:$D$644,$A23)&gt;0,SUMIFS(الإدخال!$O$5:$O$644,الإدخال!$A$5:$A$644,N$5,الإدخال!$D$5:$D$644,$A23)/100,""))))</f>
        <v/>
      </c>
      <c r="O23" s="70" t="str">
        <f>IF($A23="","",IF(COUNTIFS(الإدخال!$A$5:$A$644,O$5,الإدخال!$D$5:$D$644,$A23,الإدخال!$F$5:$F$644,"غائب",الإدخال!$G$5:$G$644,"")&gt;0,"غ",IF(COUNTIFS(الإدخال!$A$5:$A$644,O$5,الإدخال!$D$5:$D$644,$A23,الإدخال!$F$5:$F$644,"معتذر",الإدخال!$G$5:$G$644,"")&gt;0,"ع",IF(SUMIFS(الإدخال!$P$5:$P$644,الإدخال!$A$5:$A$644,O$5,الإدخال!$D$5:$D$644,$A23)&gt;0,SUMIFS(الإدخال!$O$5:$O$644,الإدخال!$A$5:$A$644,O$5,الإدخال!$D$5:$D$644,$A23)/100,""))))</f>
        <v/>
      </c>
      <c r="P23" s="70" t="str">
        <f>IF($A23="","",IF(COUNTIFS(الإدخال!$A$5:$A$644,P$5,الإدخال!$D$5:$D$644,$A23,الإدخال!$F$5:$F$644,"غائب",الإدخال!$G$5:$G$644,"")&gt;0,"غ",IF(COUNTIFS(الإدخال!$A$5:$A$644,P$5,الإدخال!$D$5:$D$644,$A23,الإدخال!$F$5:$F$644,"معتذر",الإدخال!$G$5:$G$644,"")&gt;0,"ع",IF(SUMIFS(الإدخال!$P$5:$P$644,الإدخال!$A$5:$A$644,P$5,الإدخال!$D$5:$D$644,$A23)&gt;0,SUMIFS(الإدخال!$O$5:$O$644,الإدخال!$A$5:$A$644,P$5,الإدخال!$D$5:$D$644,$A23)/100,""))))</f>
        <v/>
      </c>
      <c r="Q23" s="70" t="str">
        <f>IF($A23="","",IF(COUNTIFS(الإدخال!$A$5:$A$644,Q$5,الإدخال!$D$5:$D$644,$A23,الإدخال!$F$5:$F$644,"غائب",الإدخال!$G$5:$G$644,"")&gt;0,"غ",IF(COUNTIFS(الإدخال!$A$5:$A$644,Q$5,الإدخال!$D$5:$D$644,$A23,الإدخال!$F$5:$F$644,"معتذر",الإدخال!$G$5:$G$644,"")&gt;0,"ع",IF(SUMIFS(الإدخال!$P$5:$P$644,الإدخال!$A$5:$A$644,Q$5,الإدخال!$D$5:$D$644,$A23)&gt;0,SUMIFS(الإدخال!$O$5:$O$644,الإدخال!$A$5:$A$644,Q$5,الإدخال!$D$5:$D$644,$A23)/100,""))))</f>
        <v/>
      </c>
      <c r="R23" s="70" t="str">
        <f>IF($A23="","",IF(COUNTIFS(الإدخال!$A$5:$A$644,R$5,الإدخال!$D$5:$D$644,$A23,الإدخال!$F$5:$F$644,"غائب",الإدخال!$G$5:$G$644,"")&gt;0,"غ",IF(COUNTIFS(الإدخال!$A$5:$A$644,R$5,الإدخال!$D$5:$D$644,$A23,الإدخال!$F$5:$F$644,"معتذر",الإدخال!$G$5:$G$644,"")&gt;0,"ع",IF(SUMIFS(الإدخال!$P$5:$P$644,الإدخال!$A$5:$A$644,R$5,الإدخال!$D$5:$D$644,$A23)&gt;0,SUMIFS(الإدخال!$O$5:$O$644,الإدخال!$A$5:$A$644,R$5,الإدخال!$D$5:$D$644,$A23)/100,""))))</f>
        <v/>
      </c>
      <c r="S23" s="70" t="str">
        <f>IF($A23="","",IF(COUNTIFS(الإدخال!$A$5:$A$644,S$5,الإدخال!$D$5:$D$644,$A23,الإدخال!$F$5:$F$644,"غائب",الإدخال!$G$5:$G$644,"")&gt;0,"غ",IF(COUNTIFS(الإدخال!$A$5:$A$644,S$5,الإدخال!$D$5:$D$644,$A23,الإدخال!$F$5:$F$644,"معتذر",الإدخال!$G$5:$G$644,"")&gt;0,"ع",IF(SUMIFS(الإدخال!$P$5:$P$644,الإدخال!$A$5:$A$644,S$5,الإدخال!$D$5:$D$644,$A23)&gt;0,SUMIFS(الإدخال!$O$5:$O$644,الإدخال!$A$5:$A$644,S$5,الإدخال!$D$5:$D$644,$A23)/100,""))))</f>
        <v/>
      </c>
      <c r="T23" s="71" t="str">
        <f>IF($A23="","",IFERROR(SUMIFS(الإدخال!$O$5:$O$644,الإدخال!$D$5:$D$644,$A23)/SUMIFS(الإدخال!$P$5:$P$644,الإدخال!$D$5:$D$644,$A23)/100,""))</f>
        <v/>
      </c>
      <c r="U23" s="72" t="str">
        <f t="shared" si="0"/>
        <v/>
      </c>
      <c r="V23" s="72" t="str">
        <f>IF($A23="","",SUMIFS(الإدخال!$N$5:$N$644,الإدخال!$D$5:$D$644,$A23))</f>
        <v/>
      </c>
      <c r="W23" s="73" t="str">
        <f>IF($A23="","",COUNTIFS(الإدخال!$D$5:$D$644,$A23,الإدخال!$F$5:$F$644,"متأخر"))</f>
        <v/>
      </c>
      <c r="X23" s="73" t="str">
        <f>IF($A23="","",COUNTIFS(الإدخال!$D$5:$D$644,$A23,الإدخال!$F$5:$F$644,"غائب"))</f>
        <v/>
      </c>
      <c r="Y23" s="73" t="str">
        <f>IF($A23="","",COUNTIFS(الإدخال!$D$5:$D$644,$A23,الإدخال!$F$5:$F$644,"معتذر"))</f>
        <v/>
      </c>
      <c r="Z23" s="73" t="str">
        <f>IF($A23="","",SUMIFS(الإدخال!$H$5:$H$644,الإدخال!$D$5:$D$644,$A23,الإدخال!$N$5:$N$644,1))</f>
        <v/>
      </c>
      <c r="AA23" s="73" t="str">
        <f>IF($A23="","",SUMIFS(الإدخال!$I$5:$I$644,الإدخال!$D$5:$D$644,$A23,الإدخال!$N$5:$N$644,1))</f>
        <v/>
      </c>
      <c r="AB23" s="73" t="str">
        <f>IF($A23="","",SUMIFS(الإدخال!$J$5:$J$644,الإدخال!$D$5:$D$644,$A23,الإدخال!$N$5:$N$644,1))</f>
        <v/>
      </c>
      <c r="AC23" s="36" t="str">
        <f>IFERROR(MATCH($C$3&amp;"|19",الطلاب!$E$5:$E$44,0),"")</f>
        <v/>
      </c>
    </row>
    <row r="24" spans="1:29">
      <c r="A24" s="18" t="str">
        <f>IF($AC24="","",INDEX(الطلاب!$A$5:$A$44,$AC24))</f>
        <v/>
      </c>
      <c r="B24" s="68" t="str">
        <f>IF($AC24="","",INDEX(الطلاب!$B$5:$B$44,$AC24))</f>
        <v/>
      </c>
      <c r="C24" s="69" t="str">
        <f>IF($AC24="","",INDEX(الطلاب!$D$5:$D$44,$AC24))</f>
        <v/>
      </c>
      <c r="D24" s="70" t="str">
        <f>IF($A24="","",IF(COUNTIFS(الإدخال!$A$5:$A$644,D$5,الإدخال!$D$5:$D$644,$A24,الإدخال!$F$5:$F$644,"غائب",الإدخال!$G$5:$G$644,"")&gt;0,"غ",IF(COUNTIFS(الإدخال!$A$5:$A$644,D$5,الإدخال!$D$5:$D$644,$A24,الإدخال!$F$5:$F$644,"معتذر",الإدخال!$G$5:$G$644,"")&gt;0,"ع",IF(SUMIFS(الإدخال!$P$5:$P$644,الإدخال!$A$5:$A$644,D$5,الإدخال!$D$5:$D$644,$A24)&gt;0,SUMIFS(الإدخال!$O$5:$O$644,الإدخال!$A$5:$A$644,D$5,الإدخال!$D$5:$D$644,$A24)/100,""))))</f>
        <v/>
      </c>
      <c r="E24" s="70" t="str">
        <f>IF($A24="","",IF(COUNTIFS(الإدخال!$A$5:$A$644,E$5,الإدخال!$D$5:$D$644,$A24,الإدخال!$F$5:$F$644,"غائب",الإدخال!$G$5:$G$644,"")&gt;0,"غ",IF(COUNTIFS(الإدخال!$A$5:$A$644,E$5,الإدخال!$D$5:$D$644,$A24,الإدخال!$F$5:$F$644,"معتذر",الإدخال!$G$5:$G$644,"")&gt;0,"ع",IF(SUMIFS(الإدخال!$P$5:$P$644,الإدخال!$A$5:$A$644,E$5,الإدخال!$D$5:$D$644,$A24)&gt;0,SUMIFS(الإدخال!$O$5:$O$644,الإدخال!$A$5:$A$644,E$5,الإدخال!$D$5:$D$644,$A24)/100,""))))</f>
        <v/>
      </c>
      <c r="F24" s="70" t="str">
        <f>IF($A24="","",IF(COUNTIFS(الإدخال!$A$5:$A$644,F$5,الإدخال!$D$5:$D$644,$A24,الإدخال!$F$5:$F$644,"غائب",الإدخال!$G$5:$G$644,"")&gt;0,"غ",IF(COUNTIFS(الإدخال!$A$5:$A$644,F$5,الإدخال!$D$5:$D$644,$A24,الإدخال!$F$5:$F$644,"معتذر",الإدخال!$G$5:$G$644,"")&gt;0,"ع",IF(SUMIFS(الإدخال!$P$5:$P$644,الإدخال!$A$5:$A$644,F$5,الإدخال!$D$5:$D$644,$A24)&gt;0,SUMIFS(الإدخال!$O$5:$O$644,الإدخال!$A$5:$A$644,F$5,الإدخال!$D$5:$D$644,$A24)/100,""))))</f>
        <v/>
      </c>
      <c r="G24" s="70" t="str">
        <f>IF($A24="","",IF(COUNTIFS(الإدخال!$A$5:$A$644,G$5,الإدخال!$D$5:$D$644,$A24,الإدخال!$F$5:$F$644,"غائب",الإدخال!$G$5:$G$644,"")&gt;0,"غ",IF(COUNTIFS(الإدخال!$A$5:$A$644,G$5,الإدخال!$D$5:$D$644,$A24,الإدخال!$F$5:$F$644,"معتذر",الإدخال!$G$5:$G$644,"")&gt;0,"ع",IF(SUMIFS(الإدخال!$P$5:$P$644,الإدخال!$A$5:$A$644,G$5,الإدخال!$D$5:$D$644,$A24)&gt;0,SUMIFS(الإدخال!$O$5:$O$644,الإدخال!$A$5:$A$644,G$5,الإدخال!$D$5:$D$644,$A24)/100,""))))</f>
        <v/>
      </c>
      <c r="H24" s="70" t="str">
        <f>IF($A24="","",IF(COUNTIFS(الإدخال!$A$5:$A$644,H$5,الإدخال!$D$5:$D$644,$A24,الإدخال!$F$5:$F$644,"غائب",الإدخال!$G$5:$G$644,"")&gt;0,"غ",IF(COUNTIFS(الإدخال!$A$5:$A$644,H$5,الإدخال!$D$5:$D$644,$A24,الإدخال!$F$5:$F$644,"معتذر",الإدخال!$G$5:$G$644,"")&gt;0,"ع",IF(SUMIFS(الإدخال!$P$5:$P$644,الإدخال!$A$5:$A$644,H$5,الإدخال!$D$5:$D$644,$A24)&gt;0,SUMIFS(الإدخال!$O$5:$O$644,الإدخال!$A$5:$A$644,H$5,الإدخال!$D$5:$D$644,$A24)/100,""))))</f>
        <v/>
      </c>
      <c r="I24" s="70" t="str">
        <f>IF($A24="","",IF(COUNTIFS(الإدخال!$A$5:$A$644,I$5,الإدخال!$D$5:$D$644,$A24,الإدخال!$F$5:$F$644,"غائب",الإدخال!$G$5:$G$644,"")&gt;0,"غ",IF(COUNTIFS(الإدخال!$A$5:$A$644,I$5,الإدخال!$D$5:$D$644,$A24,الإدخال!$F$5:$F$644,"معتذر",الإدخال!$G$5:$G$644,"")&gt;0,"ع",IF(SUMIFS(الإدخال!$P$5:$P$644,الإدخال!$A$5:$A$644,I$5,الإدخال!$D$5:$D$644,$A24)&gt;0,SUMIFS(الإدخال!$O$5:$O$644,الإدخال!$A$5:$A$644,I$5,الإدخال!$D$5:$D$644,$A24)/100,""))))</f>
        <v/>
      </c>
      <c r="J24" s="70" t="str">
        <f>IF($A24="","",IF(COUNTIFS(الإدخال!$A$5:$A$644,J$5,الإدخال!$D$5:$D$644,$A24,الإدخال!$F$5:$F$644,"غائب",الإدخال!$G$5:$G$644,"")&gt;0,"غ",IF(COUNTIFS(الإدخال!$A$5:$A$644,J$5,الإدخال!$D$5:$D$644,$A24,الإدخال!$F$5:$F$644,"معتذر",الإدخال!$G$5:$G$644,"")&gt;0,"ع",IF(SUMIFS(الإدخال!$P$5:$P$644,الإدخال!$A$5:$A$644,J$5,الإدخال!$D$5:$D$644,$A24)&gt;0,SUMIFS(الإدخال!$O$5:$O$644,الإدخال!$A$5:$A$644,J$5,الإدخال!$D$5:$D$644,$A24)/100,""))))</f>
        <v/>
      </c>
      <c r="K24" s="70" t="str">
        <f>IF($A24="","",IF(COUNTIFS(الإدخال!$A$5:$A$644,K$5,الإدخال!$D$5:$D$644,$A24,الإدخال!$F$5:$F$644,"غائب",الإدخال!$G$5:$G$644,"")&gt;0,"غ",IF(COUNTIFS(الإدخال!$A$5:$A$644,K$5,الإدخال!$D$5:$D$644,$A24,الإدخال!$F$5:$F$644,"معتذر",الإدخال!$G$5:$G$644,"")&gt;0,"ع",IF(SUMIFS(الإدخال!$P$5:$P$644,الإدخال!$A$5:$A$644,K$5,الإدخال!$D$5:$D$644,$A24)&gt;0,SUMIFS(الإدخال!$O$5:$O$644,الإدخال!$A$5:$A$644,K$5,الإدخال!$D$5:$D$644,$A24)/100,""))))</f>
        <v/>
      </c>
      <c r="L24" s="70" t="str">
        <f>IF($A24="","",IF(COUNTIFS(الإدخال!$A$5:$A$644,L$5,الإدخال!$D$5:$D$644,$A24,الإدخال!$F$5:$F$644,"غائب",الإدخال!$G$5:$G$644,"")&gt;0,"غ",IF(COUNTIFS(الإدخال!$A$5:$A$644,L$5,الإدخال!$D$5:$D$644,$A24,الإدخال!$F$5:$F$644,"معتذر",الإدخال!$G$5:$G$644,"")&gt;0,"ع",IF(SUMIFS(الإدخال!$P$5:$P$644,الإدخال!$A$5:$A$644,L$5,الإدخال!$D$5:$D$644,$A24)&gt;0,SUMIFS(الإدخال!$O$5:$O$644,الإدخال!$A$5:$A$644,L$5,الإدخال!$D$5:$D$644,$A24)/100,""))))</f>
        <v/>
      </c>
      <c r="M24" s="70" t="str">
        <f>IF($A24="","",IF(COUNTIFS(الإدخال!$A$5:$A$644,M$5,الإدخال!$D$5:$D$644,$A24,الإدخال!$F$5:$F$644,"غائب",الإدخال!$G$5:$G$644,"")&gt;0,"غ",IF(COUNTIFS(الإدخال!$A$5:$A$644,M$5,الإدخال!$D$5:$D$644,$A24,الإدخال!$F$5:$F$644,"معتذر",الإدخال!$G$5:$G$644,"")&gt;0,"ع",IF(SUMIFS(الإدخال!$P$5:$P$644,الإدخال!$A$5:$A$644,M$5,الإدخال!$D$5:$D$644,$A24)&gt;0,SUMIFS(الإدخال!$O$5:$O$644,الإدخال!$A$5:$A$644,M$5,الإدخال!$D$5:$D$644,$A24)/100,""))))</f>
        <v/>
      </c>
      <c r="N24" s="70" t="str">
        <f>IF($A24="","",IF(COUNTIFS(الإدخال!$A$5:$A$644,N$5,الإدخال!$D$5:$D$644,$A24,الإدخال!$F$5:$F$644,"غائب",الإدخال!$G$5:$G$644,"")&gt;0,"غ",IF(COUNTIFS(الإدخال!$A$5:$A$644,N$5,الإدخال!$D$5:$D$644,$A24,الإدخال!$F$5:$F$644,"معتذر",الإدخال!$G$5:$G$644,"")&gt;0,"ع",IF(SUMIFS(الإدخال!$P$5:$P$644,الإدخال!$A$5:$A$644,N$5,الإدخال!$D$5:$D$644,$A24)&gt;0,SUMIFS(الإدخال!$O$5:$O$644,الإدخال!$A$5:$A$644,N$5,الإدخال!$D$5:$D$644,$A24)/100,""))))</f>
        <v/>
      </c>
      <c r="O24" s="70" t="str">
        <f>IF($A24="","",IF(COUNTIFS(الإدخال!$A$5:$A$644,O$5,الإدخال!$D$5:$D$644,$A24,الإدخال!$F$5:$F$644,"غائب",الإدخال!$G$5:$G$644,"")&gt;0,"غ",IF(COUNTIFS(الإدخال!$A$5:$A$644,O$5,الإدخال!$D$5:$D$644,$A24,الإدخال!$F$5:$F$644,"معتذر",الإدخال!$G$5:$G$644,"")&gt;0,"ع",IF(SUMIFS(الإدخال!$P$5:$P$644,الإدخال!$A$5:$A$644,O$5,الإدخال!$D$5:$D$644,$A24)&gt;0,SUMIFS(الإدخال!$O$5:$O$644,الإدخال!$A$5:$A$644,O$5,الإدخال!$D$5:$D$644,$A24)/100,""))))</f>
        <v/>
      </c>
      <c r="P24" s="70" t="str">
        <f>IF($A24="","",IF(COUNTIFS(الإدخال!$A$5:$A$644,P$5,الإدخال!$D$5:$D$644,$A24,الإدخال!$F$5:$F$644,"غائب",الإدخال!$G$5:$G$644,"")&gt;0,"غ",IF(COUNTIFS(الإدخال!$A$5:$A$644,P$5,الإدخال!$D$5:$D$644,$A24,الإدخال!$F$5:$F$644,"معتذر",الإدخال!$G$5:$G$644,"")&gt;0,"ع",IF(SUMIFS(الإدخال!$P$5:$P$644,الإدخال!$A$5:$A$644,P$5,الإدخال!$D$5:$D$644,$A24)&gt;0,SUMIFS(الإدخال!$O$5:$O$644,الإدخال!$A$5:$A$644,P$5,الإدخال!$D$5:$D$644,$A24)/100,""))))</f>
        <v/>
      </c>
      <c r="Q24" s="70" t="str">
        <f>IF($A24="","",IF(COUNTIFS(الإدخال!$A$5:$A$644,Q$5,الإدخال!$D$5:$D$644,$A24,الإدخال!$F$5:$F$644,"غائب",الإدخال!$G$5:$G$644,"")&gt;0,"غ",IF(COUNTIFS(الإدخال!$A$5:$A$644,Q$5,الإدخال!$D$5:$D$644,$A24,الإدخال!$F$5:$F$644,"معتذر",الإدخال!$G$5:$G$644,"")&gt;0,"ع",IF(SUMIFS(الإدخال!$P$5:$P$644,الإدخال!$A$5:$A$644,Q$5,الإدخال!$D$5:$D$644,$A24)&gt;0,SUMIFS(الإدخال!$O$5:$O$644,الإدخال!$A$5:$A$644,Q$5,الإدخال!$D$5:$D$644,$A24)/100,""))))</f>
        <v/>
      </c>
      <c r="R24" s="70" t="str">
        <f>IF($A24="","",IF(COUNTIFS(الإدخال!$A$5:$A$644,R$5,الإدخال!$D$5:$D$644,$A24,الإدخال!$F$5:$F$644,"غائب",الإدخال!$G$5:$G$644,"")&gt;0,"غ",IF(COUNTIFS(الإدخال!$A$5:$A$644,R$5,الإدخال!$D$5:$D$644,$A24,الإدخال!$F$5:$F$644,"معتذر",الإدخال!$G$5:$G$644,"")&gt;0,"ع",IF(SUMIFS(الإدخال!$P$5:$P$644,الإدخال!$A$5:$A$644,R$5,الإدخال!$D$5:$D$644,$A24)&gt;0,SUMIFS(الإدخال!$O$5:$O$644,الإدخال!$A$5:$A$644,R$5,الإدخال!$D$5:$D$644,$A24)/100,""))))</f>
        <v/>
      </c>
      <c r="S24" s="70" t="str">
        <f>IF($A24="","",IF(COUNTIFS(الإدخال!$A$5:$A$644,S$5,الإدخال!$D$5:$D$644,$A24,الإدخال!$F$5:$F$644,"غائب",الإدخال!$G$5:$G$644,"")&gt;0,"غ",IF(COUNTIFS(الإدخال!$A$5:$A$644,S$5,الإدخال!$D$5:$D$644,$A24,الإدخال!$F$5:$F$644,"معتذر",الإدخال!$G$5:$G$644,"")&gt;0,"ع",IF(SUMIFS(الإدخال!$P$5:$P$644,الإدخال!$A$5:$A$644,S$5,الإدخال!$D$5:$D$644,$A24)&gt;0,SUMIFS(الإدخال!$O$5:$O$644,الإدخال!$A$5:$A$644,S$5,الإدخال!$D$5:$D$644,$A24)/100,""))))</f>
        <v/>
      </c>
      <c r="T24" s="71" t="str">
        <f>IF($A24="","",IFERROR(SUMIFS(الإدخال!$O$5:$O$644,الإدخال!$D$5:$D$644,$A24)/SUMIFS(الإدخال!$P$5:$P$644,الإدخال!$D$5:$D$644,$A24)/100,""))</f>
        <v/>
      </c>
      <c r="U24" s="72" t="str">
        <f t="shared" si="0"/>
        <v/>
      </c>
      <c r="V24" s="72" t="str">
        <f>IF($A24="","",SUMIFS(الإدخال!$N$5:$N$644,الإدخال!$D$5:$D$644,$A24))</f>
        <v/>
      </c>
      <c r="W24" s="73" t="str">
        <f>IF($A24="","",COUNTIFS(الإدخال!$D$5:$D$644,$A24,الإدخال!$F$5:$F$644,"متأخر"))</f>
        <v/>
      </c>
      <c r="X24" s="73" t="str">
        <f>IF($A24="","",COUNTIFS(الإدخال!$D$5:$D$644,$A24,الإدخال!$F$5:$F$644,"غائب"))</f>
        <v/>
      </c>
      <c r="Y24" s="73" t="str">
        <f>IF($A24="","",COUNTIFS(الإدخال!$D$5:$D$644,$A24,الإدخال!$F$5:$F$644,"معتذر"))</f>
        <v/>
      </c>
      <c r="Z24" s="73" t="str">
        <f>IF($A24="","",SUMIFS(الإدخال!$H$5:$H$644,الإدخال!$D$5:$D$644,$A24,الإدخال!$N$5:$N$644,1))</f>
        <v/>
      </c>
      <c r="AA24" s="73" t="str">
        <f>IF($A24="","",SUMIFS(الإدخال!$I$5:$I$644,الإدخال!$D$5:$D$644,$A24,الإدخال!$N$5:$N$644,1))</f>
        <v/>
      </c>
      <c r="AB24" s="73" t="str">
        <f>IF($A24="","",SUMIFS(الإدخال!$J$5:$J$644,الإدخال!$D$5:$D$644,$A24,الإدخال!$N$5:$N$644,1))</f>
        <v/>
      </c>
      <c r="AC24" s="36" t="str">
        <f>IFERROR(MATCH($C$3&amp;"|20",الطلاب!$E$5:$E$44,0),"")</f>
        <v/>
      </c>
    </row>
    <row r="25" spans="1:29">
      <c r="A25" s="18" t="str">
        <f>IF($AC25="","",INDEX(الطلاب!$A$5:$A$44,$AC25))</f>
        <v/>
      </c>
      <c r="B25" s="68" t="str">
        <f>IF($AC25="","",INDEX(الطلاب!$B$5:$B$44,$AC25))</f>
        <v/>
      </c>
      <c r="C25" s="69" t="str">
        <f>IF($AC25="","",INDEX(الطلاب!$D$5:$D$44,$AC25))</f>
        <v/>
      </c>
      <c r="D25" s="70" t="str">
        <f>IF($A25="","",IF(COUNTIFS(الإدخال!$A$5:$A$644,D$5,الإدخال!$D$5:$D$644,$A25,الإدخال!$F$5:$F$644,"غائب",الإدخال!$G$5:$G$644,"")&gt;0,"غ",IF(COUNTIFS(الإدخال!$A$5:$A$644,D$5,الإدخال!$D$5:$D$644,$A25,الإدخال!$F$5:$F$644,"معتذر",الإدخال!$G$5:$G$644,"")&gt;0,"ع",IF(SUMIFS(الإدخال!$P$5:$P$644,الإدخال!$A$5:$A$644,D$5,الإدخال!$D$5:$D$644,$A25)&gt;0,SUMIFS(الإدخال!$O$5:$O$644,الإدخال!$A$5:$A$644,D$5,الإدخال!$D$5:$D$644,$A25)/100,""))))</f>
        <v/>
      </c>
      <c r="E25" s="70" t="str">
        <f>IF($A25="","",IF(COUNTIFS(الإدخال!$A$5:$A$644,E$5,الإدخال!$D$5:$D$644,$A25,الإدخال!$F$5:$F$644,"غائب",الإدخال!$G$5:$G$644,"")&gt;0,"غ",IF(COUNTIFS(الإدخال!$A$5:$A$644,E$5,الإدخال!$D$5:$D$644,$A25,الإدخال!$F$5:$F$644,"معتذر",الإدخال!$G$5:$G$644,"")&gt;0,"ع",IF(SUMIFS(الإدخال!$P$5:$P$644,الإدخال!$A$5:$A$644,E$5,الإدخال!$D$5:$D$644,$A25)&gt;0,SUMIFS(الإدخال!$O$5:$O$644,الإدخال!$A$5:$A$644,E$5,الإدخال!$D$5:$D$644,$A25)/100,""))))</f>
        <v/>
      </c>
      <c r="F25" s="70" t="str">
        <f>IF($A25="","",IF(COUNTIFS(الإدخال!$A$5:$A$644,F$5,الإدخال!$D$5:$D$644,$A25,الإدخال!$F$5:$F$644,"غائب",الإدخال!$G$5:$G$644,"")&gt;0,"غ",IF(COUNTIFS(الإدخال!$A$5:$A$644,F$5,الإدخال!$D$5:$D$644,$A25,الإدخال!$F$5:$F$644,"معتذر",الإدخال!$G$5:$G$644,"")&gt;0,"ع",IF(SUMIFS(الإدخال!$P$5:$P$644,الإدخال!$A$5:$A$644,F$5,الإدخال!$D$5:$D$644,$A25)&gt;0,SUMIFS(الإدخال!$O$5:$O$644,الإدخال!$A$5:$A$644,F$5,الإدخال!$D$5:$D$644,$A25)/100,""))))</f>
        <v/>
      </c>
      <c r="G25" s="70" t="str">
        <f>IF($A25="","",IF(COUNTIFS(الإدخال!$A$5:$A$644,G$5,الإدخال!$D$5:$D$644,$A25,الإدخال!$F$5:$F$644,"غائب",الإدخال!$G$5:$G$644,"")&gt;0,"غ",IF(COUNTIFS(الإدخال!$A$5:$A$644,G$5,الإدخال!$D$5:$D$644,$A25,الإدخال!$F$5:$F$644,"معتذر",الإدخال!$G$5:$G$644,"")&gt;0,"ع",IF(SUMIFS(الإدخال!$P$5:$P$644,الإدخال!$A$5:$A$644,G$5,الإدخال!$D$5:$D$644,$A25)&gt;0,SUMIFS(الإدخال!$O$5:$O$644,الإدخال!$A$5:$A$644,G$5,الإدخال!$D$5:$D$644,$A25)/100,""))))</f>
        <v/>
      </c>
      <c r="H25" s="70" t="str">
        <f>IF($A25="","",IF(COUNTIFS(الإدخال!$A$5:$A$644,H$5,الإدخال!$D$5:$D$644,$A25,الإدخال!$F$5:$F$644,"غائب",الإدخال!$G$5:$G$644,"")&gt;0,"غ",IF(COUNTIFS(الإدخال!$A$5:$A$644,H$5,الإدخال!$D$5:$D$644,$A25,الإدخال!$F$5:$F$644,"معتذر",الإدخال!$G$5:$G$644,"")&gt;0,"ع",IF(SUMIFS(الإدخال!$P$5:$P$644,الإدخال!$A$5:$A$644,H$5,الإدخال!$D$5:$D$644,$A25)&gt;0,SUMIFS(الإدخال!$O$5:$O$644,الإدخال!$A$5:$A$644,H$5,الإدخال!$D$5:$D$644,$A25)/100,""))))</f>
        <v/>
      </c>
      <c r="I25" s="70" t="str">
        <f>IF($A25="","",IF(COUNTIFS(الإدخال!$A$5:$A$644,I$5,الإدخال!$D$5:$D$644,$A25,الإدخال!$F$5:$F$644,"غائب",الإدخال!$G$5:$G$644,"")&gt;0,"غ",IF(COUNTIFS(الإدخال!$A$5:$A$644,I$5,الإدخال!$D$5:$D$644,$A25,الإدخال!$F$5:$F$644,"معتذر",الإدخال!$G$5:$G$644,"")&gt;0,"ع",IF(SUMIFS(الإدخال!$P$5:$P$644,الإدخال!$A$5:$A$644,I$5,الإدخال!$D$5:$D$644,$A25)&gt;0,SUMIFS(الإدخال!$O$5:$O$644,الإدخال!$A$5:$A$644,I$5,الإدخال!$D$5:$D$644,$A25)/100,""))))</f>
        <v/>
      </c>
      <c r="J25" s="70" t="str">
        <f>IF($A25="","",IF(COUNTIFS(الإدخال!$A$5:$A$644,J$5,الإدخال!$D$5:$D$644,$A25,الإدخال!$F$5:$F$644,"غائب",الإدخال!$G$5:$G$644,"")&gt;0,"غ",IF(COUNTIFS(الإدخال!$A$5:$A$644,J$5,الإدخال!$D$5:$D$644,$A25,الإدخال!$F$5:$F$644,"معتذر",الإدخال!$G$5:$G$644,"")&gt;0,"ع",IF(SUMIFS(الإدخال!$P$5:$P$644,الإدخال!$A$5:$A$644,J$5,الإدخال!$D$5:$D$644,$A25)&gt;0,SUMIFS(الإدخال!$O$5:$O$644,الإدخال!$A$5:$A$644,J$5,الإدخال!$D$5:$D$644,$A25)/100,""))))</f>
        <v/>
      </c>
      <c r="K25" s="70" t="str">
        <f>IF($A25="","",IF(COUNTIFS(الإدخال!$A$5:$A$644,K$5,الإدخال!$D$5:$D$644,$A25,الإدخال!$F$5:$F$644,"غائب",الإدخال!$G$5:$G$644,"")&gt;0,"غ",IF(COUNTIFS(الإدخال!$A$5:$A$644,K$5,الإدخال!$D$5:$D$644,$A25,الإدخال!$F$5:$F$644,"معتذر",الإدخال!$G$5:$G$644,"")&gt;0,"ع",IF(SUMIFS(الإدخال!$P$5:$P$644,الإدخال!$A$5:$A$644,K$5,الإدخال!$D$5:$D$644,$A25)&gt;0,SUMIFS(الإدخال!$O$5:$O$644,الإدخال!$A$5:$A$644,K$5,الإدخال!$D$5:$D$644,$A25)/100,""))))</f>
        <v/>
      </c>
      <c r="L25" s="70" t="str">
        <f>IF($A25="","",IF(COUNTIFS(الإدخال!$A$5:$A$644,L$5,الإدخال!$D$5:$D$644,$A25,الإدخال!$F$5:$F$644,"غائب",الإدخال!$G$5:$G$644,"")&gt;0,"غ",IF(COUNTIFS(الإدخال!$A$5:$A$644,L$5,الإدخال!$D$5:$D$644,$A25,الإدخال!$F$5:$F$644,"معتذر",الإدخال!$G$5:$G$644,"")&gt;0,"ع",IF(SUMIFS(الإدخال!$P$5:$P$644,الإدخال!$A$5:$A$644,L$5,الإدخال!$D$5:$D$644,$A25)&gt;0,SUMIFS(الإدخال!$O$5:$O$644,الإدخال!$A$5:$A$644,L$5,الإدخال!$D$5:$D$644,$A25)/100,""))))</f>
        <v/>
      </c>
      <c r="M25" s="70" t="str">
        <f>IF($A25="","",IF(COUNTIFS(الإدخال!$A$5:$A$644,M$5,الإدخال!$D$5:$D$644,$A25,الإدخال!$F$5:$F$644,"غائب",الإدخال!$G$5:$G$644,"")&gt;0,"غ",IF(COUNTIFS(الإدخال!$A$5:$A$644,M$5,الإدخال!$D$5:$D$644,$A25,الإدخال!$F$5:$F$644,"معتذر",الإدخال!$G$5:$G$644,"")&gt;0,"ع",IF(SUMIFS(الإدخال!$P$5:$P$644,الإدخال!$A$5:$A$644,M$5,الإدخال!$D$5:$D$644,$A25)&gt;0,SUMIFS(الإدخال!$O$5:$O$644,الإدخال!$A$5:$A$644,M$5,الإدخال!$D$5:$D$644,$A25)/100,""))))</f>
        <v/>
      </c>
      <c r="N25" s="70" t="str">
        <f>IF($A25="","",IF(COUNTIFS(الإدخال!$A$5:$A$644,N$5,الإدخال!$D$5:$D$644,$A25,الإدخال!$F$5:$F$644,"غائب",الإدخال!$G$5:$G$644,"")&gt;0,"غ",IF(COUNTIFS(الإدخال!$A$5:$A$644,N$5,الإدخال!$D$5:$D$644,$A25,الإدخال!$F$5:$F$644,"معتذر",الإدخال!$G$5:$G$644,"")&gt;0,"ع",IF(SUMIFS(الإدخال!$P$5:$P$644,الإدخال!$A$5:$A$644,N$5,الإدخال!$D$5:$D$644,$A25)&gt;0,SUMIFS(الإدخال!$O$5:$O$644,الإدخال!$A$5:$A$644,N$5,الإدخال!$D$5:$D$644,$A25)/100,""))))</f>
        <v/>
      </c>
      <c r="O25" s="70" t="str">
        <f>IF($A25="","",IF(COUNTIFS(الإدخال!$A$5:$A$644,O$5,الإدخال!$D$5:$D$644,$A25,الإدخال!$F$5:$F$644,"غائب",الإدخال!$G$5:$G$644,"")&gt;0,"غ",IF(COUNTIFS(الإدخال!$A$5:$A$644,O$5,الإدخال!$D$5:$D$644,$A25,الإدخال!$F$5:$F$644,"معتذر",الإدخال!$G$5:$G$644,"")&gt;0,"ع",IF(SUMIFS(الإدخال!$P$5:$P$644,الإدخال!$A$5:$A$644,O$5,الإدخال!$D$5:$D$644,$A25)&gt;0,SUMIFS(الإدخال!$O$5:$O$644,الإدخال!$A$5:$A$644,O$5,الإدخال!$D$5:$D$644,$A25)/100,""))))</f>
        <v/>
      </c>
      <c r="P25" s="70" t="str">
        <f>IF($A25="","",IF(COUNTIFS(الإدخال!$A$5:$A$644,P$5,الإدخال!$D$5:$D$644,$A25,الإدخال!$F$5:$F$644,"غائب",الإدخال!$G$5:$G$644,"")&gt;0,"غ",IF(COUNTIFS(الإدخال!$A$5:$A$644,P$5,الإدخال!$D$5:$D$644,$A25,الإدخال!$F$5:$F$644,"معتذر",الإدخال!$G$5:$G$644,"")&gt;0,"ع",IF(SUMIFS(الإدخال!$P$5:$P$644,الإدخال!$A$5:$A$644,P$5,الإدخال!$D$5:$D$644,$A25)&gt;0,SUMIFS(الإدخال!$O$5:$O$644,الإدخال!$A$5:$A$644,P$5,الإدخال!$D$5:$D$644,$A25)/100,""))))</f>
        <v/>
      </c>
      <c r="Q25" s="70" t="str">
        <f>IF($A25="","",IF(COUNTIFS(الإدخال!$A$5:$A$644,Q$5,الإدخال!$D$5:$D$644,$A25,الإدخال!$F$5:$F$644,"غائب",الإدخال!$G$5:$G$644,"")&gt;0,"غ",IF(COUNTIFS(الإدخال!$A$5:$A$644,Q$5,الإدخال!$D$5:$D$644,$A25,الإدخال!$F$5:$F$644,"معتذر",الإدخال!$G$5:$G$644,"")&gt;0,"ع",IF(SUMIFS(الإدخال!$P$5:$P$644,الإدخال!$A$5:$A$644,Q$5,الإدخال!$D$5:$D$644,$A25)&gt;0,SUMIFS(الإدخال!$O$5:$O$644,الإدخال!$A$5:$A$644,Q$5,الإدخال!$D$5:$D$644,$A25)/100,""))))</f>
        <v/>
      </c>
      <c r="R25" s="70" t="str">
        <f>IF($A25="","",IF(COUNTIFS(الإدخال!$A$5:$A$644,R$5,الإدخال!$D$5:$D$644,$A25,الإدخال!$F$5:$F$644,"غائب",الإدخال!$G$5:$G$644,"")&gt;0,"غ",IF(COUNTIFS(الإدخال!$A$5:$A$644,R$5,الإدخال!$D$5:$D$644,$A25,الإدخال!$F$5:$F$644,"معتذر",الإدخال!$G$5:$G$644,"")&gt;0,"ع",IF(SUMIFS(الإدخال!$P$5:$P$644,الإدخال!$A$5:$A$644,R$5,الإدخال!$D$5:$D$644,$A25)&gt;0,SUMIFS(الإدخال!$O$5:$O$644,الإدخال!$A$5:$A$644,R$5,الإدخال!$D$5:$D$644,$A25)/100,""))))</f>
        <v/>
      </c>
      <c r="S25" s="70" t="str">
        <f>IF($A25="","",IF(COUNTIFS(الإدخال!$A$5:$A$644,S$5,الإدخال!$D$5:$D$644,$A25,الإدخال!$F$5:$F$644,"غائب",الإدخال!$G$5:$G$644,"")&gt;0,"غ",IF(COUNTIFS(الإدخال!$A$5:$A$644,S$5,الإدخال!$D$5:$D$644,$A25,الإدخال!$F$5:$F$644,"معتذر",الإدخال!$G$5:$G$644,"")&gt;0,"ع",IF(SUMIFS(الإدخال!$P$5:$P$644,الإدخال!$A$5:$A$644,S$5,الإدخال!$D$5:$D$644,$A25)&gt;0,SUMIFS(الإدخال!$O$5:$O$644,الإدخال!$A$5:$A$644,S$5,الإدخال!$D$5:$D$644,$A25)/100,""))))</f>
        <v/>
      </c>
      <c r="T25" s="71" t="str">
        <f>IF($A25="","",IFERROR(SUMIFS(الإدخال!$O$5:$O$644,الإدخال!$D$5:$D$644,$A25)/SUMIFS(الإدخال!$P$5:$P$644,الإدخال!$D$5:$D$644,$A25)/100,""))</f>
        <v/>
      </c>
      <c r="U25" s="72" t="str">
        <f t="shared" si="0"/>
        <v/>
      </c>
      <c r="V25" s="72" t="str">
        <f>IF($A25="","",SUMIFS(الإدخال!$N$5:$N$644,الإدخال!$D$5:$D$644,$A25))</f>
        <v/>
      </c>
      <c r="W25" s="73" t="str">
        <f>IF($A25="","",COUNTIFS(الإدخال!$D$5:$D$644,$A25,الإدخال!$F$5:$F$644,"متأخر"))</f>
        <v/>
      </c>
      <c r="X25" s="73" t="str">
        <f>IF($A25="","",COUNTIFS(الإدخال!$D$5:$D$644,$A25,الإدخال!$F$5:$F$644,"غائب"))</f>
        <v/>
      </c>
      <c r="Y25" s="73" t="str">
        <f>IF($A25="","",COUNTIFS(الإدخال!$D$5:$D$644,$A25,الإدخال!$F$5:$F$644,"معتذر"))</f>
        <v/>
      </c>
      <c r="Z25" s="73" t="str">
        <f>IF($A25="","",SUMIFS(الإدخال!$H$5:$H$644,الإدخال!$D$5:$D$644,$A25,الإدخال!$N$5:$N$644,1))</f>
        <v/>
      </c>
      <c r="AA25" s="73" t="str">
        <f>IF($A25="","",SUMIFS(الإدخال!$I$5:$I$644,الإدخال!$D$5:$D$644,$A25,الإدخال!$N$5:$N$644,1))</f>
        <v/>
      </c>
      <c r="AB25" s="73" t="str">
        <f>IF($A25="","",SUMIFS(الإدخال!$J$5:$J$644,الإدخال!$D$5:$D$644,$A25,الإدخال!$N$5:$N$644,1))</f>
        <v/>
      </c>
      <c r="AC25" s="36" t="str">
        <f>IFERROR(MATCH($C$3&amp;"|21",الطلاب!$E$5:$E$44,0),"")</f>
        <v/>
      </c>
    </row>
    <row r="26" spans="1:29">
      <c r="A26" s="18" t="str">
        <f>IF($AC26="","",INDEX(الطلاب!$A$5:$A$44,$AC26))</f>
        <v/>
      </c>
      <c r="B26" s="68" t="str">
        <f>IF($AC26="","",INDEX(الطلاب!$B$5:$B$44,$AC26))</f>
        <v/>
      </c>
      <c r="C26" s="69" t="str">
        <f>IF($AC26="","",INDEX(الطلاب!$D$5:$D$44,$AC26))</f>
        <v/>
      </c>
      <c r="D26" s="70" t="str">
        <f>IF($A26="","",IF(COUNTIFS(الإدخال!$A$5:$A$644,D$5,الإدخال!$D$5:$D$644,$A26,الإدخال!$F$5:$F$644,"غائب",الإدخال!$G$5:$G$644,"")&gt;0,"غ",IF(COUNTIFS(الإدخال!$A$5:$A$644,D$5,الإدخال!$D$5:$D$644,$A26,الإدخال!$F$5:$F$644,"معتذر",الإدخال!$G$5:$G$644,"")&gt;0,"ع",IF(SUMIFS(الإدخال!$P$5:$P$644,الإدخال!$A$5:$A$644,D$5,الإدخال!$D$5:$D$644,$A26)&gt;0,SUMIFS(الإدخال!$O$5:$O$644,الإدخال!$A$5:$A$644,D$5,الإدخال!$D$5:$D$644,$A26)/100,""))))</f>
        <v/>
      </c>
      <c r="E26" s="70" t="str">
        <f>IF($A26="","",IF(COUNTIFS(الإدخال!$A$5:$A$644,E$5,الإدخال!$D$5:$D$644,$A26,الإدخال!$F$5:$F$644,"غائب",الإدخال!$G$5:$G$644,"")&gt;0,"غ",IF(COUNTIFS(الإدخال!$A$5:$A$644,E$5,الإدخال!$D$5:$D$644,$A26,الإدخال!$F$5:$F$644,"معتذر",الإدخال!$G$5:$G$644,"")&gt;0,"ع",IF(SUMIFS(الإدخال!$P$5:$P$644,الإدخال!$A$5:$A$644,E$5,الإدخال!$D$5:$D$644,$A26)&gt;0,SUMIFS(الإدخال!$O$5:$O$644,الإدخال!$A$5:$A$644,E$5,الإدخال!$D$5:$D$644,$A26)/100,""))))</f>
        <v/>
      </c>
      <c r="F26" s="70" t="str">
        <f>IF($A26="","",IF(COUNTIFS(الإدخال!$A$5:$A$644,F$5,الإدخال!$D$5:$D$644,$A26,الإدخال!$F$5:$F$644,"غائب",الإدخال!$G$5:$G$644,"")&gt;0,"غ",IF(COUNTIFS(الإدخال!$A$5:$A$644,F$5,الإدخال!$D$5:$D$644,$A26,الإدخال!$F$5:$F$644,"معتذر",الإدخال!$G$5:$G$644,"")&gt;0,"ع",IF(SUMIFS(الإدخال!$P$5:$P$644,الإدخال!$A$5:$A$644,F$5,الإدخال!$D$5:$D$644,$A26)&gt;0,SUMIFS(الإدخال!$O$5:$O$644,الإدخال!$A$5:$A$644,F$5,الإدخال!$D$5:$D$644,$A26)/100,""))))</f>
        <v/>
      </c>
      <c r="G26" s="70" t="str">
        <f>IF($A26="","",IF(COUNTIFS(الإدخال!$A$5:$A$644,G$5,الإدخال!$D$5:$D$644,$A26,الإدخال!$F$5:$F$644,"غائب",الإدخال!$G$5:$G$644,"")&gt;0,"غ",IF(COUNTIFS(الإدخال!$A$5:$A$644,G$5,الإدخال!$D$5:$D$644,$A26,الإدخال!$F$5:$F$644,"معتذر",الإدخال!$G$5:$G$644,"")&gt;0,"ع",IF(SUMIFS(الإدخال!$P$5:$P$644,الإدخال!$A$5:$A$644,G$5,الإدخال!$D$5:$D$644,$A26)&gt;0,SUMIFS(الإدخال!$O$5:$O$644,الإدخال!$A$5:$A$644,G$5,الإدخال!$D$5:$D$644,$A26)/100,""))))</f>
        <v/>
      </c>
      <c r="H26" s="70" t="str">
        <f>IF($A26="","",IF(COUNTIFS(الإدخال!$A$5:$A$644,H$5,الإدخال!$D$5:$D$644,$A26,الإدخال!$F$5:$F$644,"غائب",الإدخال!$G$5:$G$644,"")&gt;0,"غ",IF(COUNTIFS(الإدخال!$A$5:$A$644,H$5,الإدخال!$D$5:$D$644,$A26,الإدخال!$F$5:$F$644,"معتذر",الإدخال!$G$5:$G$644,"")&gt;0,"ع",IF(SUMIFS(الإدخال!$P$5:$P$644,الإدخال!$A$5:$A$644,H$5,الإدخال!$D$5:$D$644,$A26)&gt;0,SUMIFS(الإدخال!$O$5:$O$644,الإدخال!$A$5:$A$644,H$5,الإدخال!$D$5:$D$644,$A26)/100,""))))</f>
        <v/>
      </c>
      <c r="I26" s="70" t="str">
        <f>IF($A26="","",IF(COUNTIFS(الإدخال!$A$5:$A$644,I$5,الإدخال!$D$5:$D$644,$A26,الإدخال!$F$5:$F$644,"غائب",الإدخال!$G$5:$G$644,"")&gt;0,"غ",IF(COUNTIFS(الإدخال!$A$5:$A$644,I$5,الإدخال!$D$5:$D$644,$A26,الإدخال!$F$5:$F$644,"معتذر",الإدخال!$G$5:$G$644,"")&gt;0,"ع",IF(SUMIFS(الإدخال!$P$5:$P$644,الإدخال!$A$5:$A$644,I$5,الإدخال!$D$5:$D$644,$A26)&gt;0,SUMIFS(الإدخال!$O$5:$O$644,الإدخال!$A$5:$A$644,I$5,الإدخال!$D$5:$D$644,$A26)/100,""))))</f>
        <v/>
      </c>
      <c r="J26" s="70" t="str">
        <f>IF($A26="","",IF(COUNTIFS(الإدخال!$A$5:$A$644,J$5,الإدخال!$D$5:$D$644,$A26,الإدخال!$F$5:$F$644,"غائب",الإدخال!$G$5:$G$644,"")&gt;0,"غ",IF(COUNTIFS(الإدخال!$A$5:$A$644,J$5,الإدخال!$D$5:$D$644,$A26,الإدخال!$F$5:$F$644,"معتذر",الإدخال!$G$5:$G$644,"")&gt;0,"ع",IF(SUMIFS(الإدخال!$P$5:$P$644,الإدخال!$A$5:$A$644,J$5,الإدخال!$D$5:$D$644,$A26)&gt;0,SUMIFS(الإدخال!$O$5:$O$644,الإدخال!$A$5:$A$644,J$5,الإدخال!$D$5:$D$644,$A26)/100,""))))</f>
        <v/>
      </c>
      <c r="K26" s="70" t="str">
        <f>IF($A26="","",IF(COUNTIFS(الإدخال!$A$5:$A$644,K$5,الإدخال!$D$5:$D$644,$A26,الإدخال!$F$5:$F$644,"غائب",الإدخال!$G$5:$G$644,"")&gt;0,"غ",IF(COUNTIFS(الإدخال!$A$5:$A$644,K$5,الإدخال!$D$5:$D$644,$A26,الإدخال!$F$5:$F$644,"معتذر",الإدخال!$G$5:$G$644,"")&gt;0,"ع",IF(SUMIFS(الإدخال!$P$5:$P$644,الإدخال!$A$5:$A$644,K$5,الإدخال!$D$5:$D$644,$A26)&gt;0,SUMIFS(الإدخال!$O$5:$O$644,الإدخال!$A$5:$A$644,K$5,الإدخال!$D$5:$D$644,$A26)/100,""))))</f>
        <v/>
      </c>
      <c r="L26" s="70" t="str">
        <f>IF($A26="","",IF(COUNTIFS(الإدخال!$A$5:$A$644,L$5,الإدخال!$D$5:$D$644,$A26,الإدخال!$F$5:$F$644,"غائب",الإدخال!$G$5:$G$644,"")&gt;0,"غ",IF(COUNTIFS(الإدخال!$A$5:$A$644,L$5,الإدخال!$D$5:$D$644,$A26,الإدخال!$F$5:$F$644,"معتذر",الإدخال!$G$5:$G$644,"")&gt;0,"ع",IF(SUMIFS(الإدخال!$P$5:$P$644,الإدخال!$A$5:$A$644,L$5,الإدخال!$D$5:$D$644,$A26)&gt;0,SUMIFS(الإدخال!$O$5:$O$644,الإدخال!$A$5:$A$644,L$5,الإدخال!$D$5:$D$644,$A26)/100,""))))</f>
        <v/>
      </c>
      <c r="M26" s="70" t="str">
        <f>IF($A26="","",IF(COUNTIFS(الإدخال!$A$5:$A$644,M$5,الإدخال!$D$5:$D$644,$A26,الإدخال!$F$5:$F$644,"غائب",الإدخال!$G$5:$G$644,"")&gt;0,"غ",IF(COUNTIFS(الإدخال!$A$5:$A$644,M$5,الإدخال!$D$5:$D$644,$A26,الإدخال!$F$5:$F$644,"معتذر",الإدخال!$G$5:$G$644,"")&gt;0,"ع",IF(SUMIFS(الإدخال!$P$5:$P$644,الإدخال!$A$5:$A$644,M$5,الإدخال!$D$5:$D$644,$A26)&gt;0,SUMIFS(الإدخال!$O$5:$O$644,الإدخال!$A$5:$A$644,M$5,الإدخال!$D$5:$D$644,$A26)/100,""))))</f>
        <v/>
      </c>
      <c r="N26" s="70" t="str">
        <f>IF($A26="","",IF(COUNTIFS(الإدخال!$A$5:$A$644,N$5,الإدخال!$D$5:$D$644,$A26,الإدخال!$F$5:$F$644,"غائب",الإدخال!$G$5:$G$644,"")&gt;0,"غ",IF(COUNTIFS(الإدخال!$A$5:$A$644,N$5,الإدخال!$D$5:$D$644,$A26,الإدخال!$F$5:$F$644,"معتذر",الإدخال!$G$5:$G$644,"")&gt;0,"ع",IF(SUMIFS(الإدخال!$P$5:$P$644,الإدخال!$A$5:$A$644,N$5,الإدخال!$D$5:$D$644,$A26)&gt;0,SUMIFS(الإدخال!$O$5:$O$644,الإدخال!$A$5:$A$644,N$5,الإدخال!$D$5:$D$644,$A26)/100,""))))</f>
        <v/>
      </c>
      <c r="O26" s="70" t="str">
        <f>IF($A26="","",IF(COUNTIFS(الإدخال!$A$5:$A$644,O$5,الإدخال!$D$5:$D$644,$A26,الإدخال!$F$5:$F$644,"غائب",الإدخال!$G$5:$G$644,"")&gt;0,"غ",IF(COUNTIFS(الإدخال!$A$5:$A$644,O$5,الإدخال!$D$5:$D$644,$A26,الإدخال!$F$5:$F$644,"معتذر",الإدخال!$G$5:$G$644,"")&gt;0,"ع",IF(SUMIFS(الإدخال!$P$5:$P$644,الإدخال!$A$5:$A$644,O$5,الإدخال!$D$5:$D$644,$A26)&gt;0,SUMIFS(الإدخال!$O$5:$O$644,الإدخال!$A$5:$A$644,O$5,الإدخال!$D$5:$D$644,$A26)/100,""))))</f>
        <v/>
      </c>
      <c r="P26" s="70" t="str">
        <f>IF($A26="","",IF(COUNTIFS(الإدخال!$A$5:$A$644,P$5,الإدخال!$D$5:$D$644,$A26,الإدخال!$F$5:$F$644,"غائب",الإدخال!$G$5:$G$644,"")&gt;0,"غ",IF(COUNTIFS(الإدخال!$A$5:$A$644,P$5,الإدخال!$D$5:$D$644,$A26,الإدخال!$F$5:$F$644,"معتذر",الإدخال!$G$5:$G$644,"")&gt;0,"ع",IF(SUMIFS(الإدخال!$P$5:$P$644,الإدخال!$A$5:$A$644,P$5,الإدخال!$D$5:$D$644,$A26)&gt;0,SUMIFS(الإدخال!$O$5:$O$644,الإدخال!$A$5:$A$644,P$5,الإدخال!$D$5:$D$644,$A26)/100,""))))</f>
        <v/>
      </c>
      <c r="Q26" s="70" t="str">
        <f>IF($A26="","",IF(COUNTIFS(الإدخال!$A$5:$A$644,Q$5,الإدخال!$D$5:$D$644,$A26,الإدخال!$F$5:$F$644,"غائب",الإدخال!$G$5:$G$644,"")&gt;0,"غ",IF(COUNTIFS(الإدخال!$A$5:$A$644,Q$5,الإدخال!$D$5:$D$644,$A26,الإدخال!$F$5:$F$644,"معتذر",الإدخال!$G$5:$G$644,"")&gt;0,"ع",IF(SUMIFS(الإدخال!$P$5:$P$644,الإدخال!$A$5:$A$644,Q$5,الإدخال!$D$5:$D$644,$A26)&gt;0,SUMIFS(الإدخال!$O$5:$O$644,الإدخال!$A$5:$A$644,Q$5,الإدخال!$D$5:$D$644,$A26)/100,""))))</f>
        <v/>
      </c>
      <c r="R26" s="70" t="str">
        <f>IF($A26="","",IF(COUNTIFS(الإدخال!$A$5:$A$644,R$5,الإدخال!$D$5:$D$644,$A26,الإدخال!$F$5:$F$644,"غائب",الإدخال!$G$5:$G$644,"")&gt;0,"غ",IF(COUNTIFS(الإدخال!$A$5:$A$644,R$5,الإدخال!$D$5:$D$644,$A26,الإدخال!$F$5:$F$644,"معتذر",الإدخال!$G$5:$G$644,"")&gt;0,"ع",IF(SUMIFS(الإدخال!$P$5:$P$644,الإدخال!$A$5:$A$644,R$5,الإدخال!$D$5:$D$644,$A26)&gt;0,SUMIFS(الإدخال!$O$5:$O$644,الإدخال!$A$5:$A$644,R$5,الإدخال!$D$5:$D$644,$A26)/100,""))))</f>
        <v/>
      </c>
      <c r="S26" s="70" t="str">
        <f>IF($A26="","",IF(COUNTIFS(الإدخال!$A$5:$A$644,S$5,الإدخال!$D$5:$D$644,$A26,الإدخال!$F$5:$F$644,"غائب",الإدخال!$G$5:$G$644,"")&gt;0,"غ",IF(COUNTIFS(الإدخال!$A$5:$A$644,S$5,الإدخال!$D$5:$D$644,$A26,الإدخال!$F$5:$F$644,"معتذر",الإدخال!$G$5:$G$644,"")&gt;0,"ع",IF(SUMIFS(الإدخال!$P$5:$P$644,الإدخال!$A$5:$A$644,S$5,الإدخال!$D$5:$D$644,$A26)&gt;0,SUMIFS(الإدخال!$O$5:$O$644,الإدخال!$A$5:$A$644,S$5,الإدخال!$D$5:$D$644,$A26)/100,""))))</f>
        <v/>
      </c>
      <c r="T26" s="71" t="str">
        <f>IF($A26="","",IFERROR(SUMIFS(الإدخال!$O$5:$O$644,الإدخال!$D$5:$D$644,$A26)/SUMIFS(الإدخال!$P$5:$P$644,الإدخال!$D$5:$D$644,$A26)/100,""))</f>
        <v/>
      </c>
      <c r="U26" s="72" t="str">
        <f t="shared" si="0"/>
        <v/>
      </c>
      <c r="V26" s="72" t="str">
        <f>IF($A26="","",SUMIFS(الإدخال!$N$5:$N$644,الإدخال!$D$5:$D$644,$A26))</f>
        <v/>
      </c>
      <c r="W26" s="73" t="str">
        <f>IF($A26="","",COUNTIFS(الإدخال!$D$5:$D$644,$A26,الإدخال!$F$5:$F$644,"متأخر"))</f>
        <v/>
      </c>
      <c r="X26" s="73" t="str">
        <f>IF($A26="","",COUNTIFS(الإدخال!$D$5:$D$644,$A26,الإدخال!$F$5:$F$644,"غائب"))</f>
        <v/>
      </c>
      <c r="Y26" s="73" t="str">
        <f>IF($A26="","",COUNTIFS(الإدخال!$D$5:$D$644,$A26,الإدخال!$F$5:$F$644,"معتذر"))</f>
        <v/>
      </c>
      <c r="Z26" s="73" t="str">
        <f>IF($A26="","",SUMIFS(الإدخال!$H$5:$H$644,الإدخال!$D$5:$D$644,$A26,الإدخال!$N$5:$N$644,1))</f>
        <v/>
      </c>
      <c r="AA26" s="73" t="str">
        <f>IF($A26="","",SUMIFS(الإدخال!$I$5:$I$644,الإدخال!$D$5:$D$644,$A26,الإدخال!$N$5:$N$644,1))</f>
        <v/>
      </c>
      <c r="AB26" s="73" t="str">
        <f>IF($A26="","",SUMIFS(الإدخال!$J$5:$J$644,الإدخال!$D$5:$D$644,$A26,الإدخال!$N$5:$N$644,1))</f>
        <v/>
      </c>
      <c r="AC26" s="36" t="str">
        <f>IFERROR(MATCH($C$3&amp;"|22",الطلاب!$E$5:$E$44,0),"")</f>
        <v/>
      </c>
    </row>
    <row r="27" spans="1:29">
      <c r="A27" s="18" t="str">
        <f>IF($AC27="","",INDEX(الطلاب!$A$5:$A$44,$AC27))</f>
        <v/>
      </c>
      <c r="B27" s="68" t="str">
        <f>IF($AC27="","",INDEX(الطلاب!$B$5:$B$44,$AC27))</f>
        <v/>
      </c>
      <c r="C27" s="69" t="str">
        <f>IF($AC27="","",INDEX(الطلاب!$D$5:$D$44,$AC27))</f>
        <v/>
      </c>
      <c r="D27" s="70" t="str">
        <f>IF($A27="","",IF(COUNTIFS(الإدخال!$A$5:$A$644,D$5,الإدخال!$D$5:$D$644,$A27,الإدخال!$F$5:$F$644,"غائب",الإدخال!$G$5:$G$644,"")&gt;0,"غ",IF(COUNTIFS(الإدخال!$A$5:$A$644,D$5,الإدخال!$D$5:$D$644,$A27,الإدخال!$F$5:$F$644,"معتذر",الإدخال!$G$5:$G$644,"")&gt;0,"ع",IF(SUMIFS(الإدخال!$P$5:$P$644,الإدخال!$A$5:$A$644,D$5,الإدخال!$D$5:$D$644,$A27)&gt;0,SUMIFS(الإدخال!$O$5:$O$644,الإدخال!$A$5:$A$644,D$5,الإدخال!$D$5:$D$644,$A27)/100,""))))</f>
        <v/>
      </c>
      <c r="E27" s="70" t="str">
        <f>IF($A27="","",IF(COUNTIFS(الإدخال!$A$5:$A$644,E$5,الإدخال!$D$5:$D$644,$A27,الإدخال!$F$5:$F$644,"غائب",الإدخال!$G$5:$G$644,"")&gt;0,"غ",IF(COUNTIFS(الإدخال!$A$5:$A$644,E$5,الإدخال!$D$5:$D$644,$A27,الإدخال!$F$5:$F$644,"معتذر",الإدخال!$G$5:$G$644,"")&gt;0,"ع",IF(SUMIFS(الإدخال!$P$5:$P$644,الإدخال!$A$5:$A$644,E$5,الإدخال!$D$5:$D$644,$A27)&gt;0,SUMIFS(الإدخال!$O$5:$O$644,الإدخال!$A$5:$A$644,E$5,الإدخال!$D$5:$D$644,$A27)/100,""))))</f>
        <v/>
      </c>
      <c r="F27" s="70" t="str">
        <f>IF($A27="","",IF(COUNTIFS(الإدخال!$A$5:$A$644,F$5,الإدخال!$D$5:$D$644,$A27,الإدخال!$F$5:$F$644,"غائب",الإدخال!$G$5:$G$644,"")&gt;0,"غ",IF(COUNTIFS(الإدخال!$A$5:$A$644,F$5,الإدخال!$D$5:$D$644,$A27,الإدخال!$F$5:$F$644,"معتذر",الإدخال!$G$5:$G$644,"")&gt;0,"ع",IF(SUMIFS(الإدخال!$P$5:$P$644,الإدخال!$A$5:$A$644,F$5,الإدخال!$D$5:$D$644,$A27)&gt;0,SUMIFS(الإدخال!$O$5:$O$644,الإدخال!$A$5:$A$644,F$5,الإدخال!$D$5:$D$644,$A27)/100,""))))</f>
        <v/>
      </c>
      <c r="G27" s="70" t="str">
        <f>IF($A27="","",IF(COUNTIFS(الإدخال!$A$5:$A$644,G$5,الإدخال!$D$5:$D$644,$A27,الإدخال!$F$5:$F$644,"غائب",الإدخال!$G$5:$G$644,"")&gt;0,"غ",IF(COUNTIFS(الإدخال!$A$5:$A$644,G$5,الإدخال!$D$5:$D$644,$A27,الإدخال!$F$5:$F$644,"معتذر",الإدخال!$G$5:$G$644,"")&gt;0,"ع",IF(SUMIFS(الإدخال!$P$5:$P$644,الإدخال!$A$5:$A$644,G$5,الإدخال!$D$5:$D$644,$A27)&gt;0,SUMIFS(الإدخال!$O$5:$O$644,الإدخال!$A$5:$A$644,G$5,الإدخال!$D$5:$D$644,$A27)/100,""))))</f>
        <v/>
      </c>
      <c r="H27" s="70" t="str">
        <f>IF($A27="","",IF(COUNTIFS(الإدخال!$A$5:$A$644,H$5,الإدخال!$D$5:$D$644,$A27,الإدخال!$F$5:$F$644,"غائب",الإدخال!$G$5:$G$644,"")&gt;0,"غ",IF(COUNTIFS(الإدخال!$A$5:$A$644,H$5,الإدخال!$D$5:$D$644,$A27,الإدخال!$F$5:$F$644,"معتذر",الإدخال!$G$5:$G$644,"")&gt;0,"ع",IF(SUMIFS(الإدخال!$P$5:$P$644,الإدخال!$A$5:$A$644,H$5,الإدخال!$D$5:$D$644,$A27)&gt;0,SUMIFS(الإدخال!$O$5:$O$644,الإدخال!$A$5:$A$644,H$5,الإدخال!$D$5:$D$644,$A27)/100,""))))</f>
        <v/>
      </c>
      <c r="I27" s="70" t="str">
        <f>IF($A27="","",IF(COUNTIFS(الإدخال!$A$5:$A$644,I$5,الإدخال!$D$5:$D$644,$A27,الإدخال!$F$5:$F$644,"غائب",الإدخال!$G$5:$G$644,"")&gt;0,"غ",IF(COUNTIFS(الإدخال!$A$5:$A$644,I$5,الإدخال!$D$5:$D$644,$A27,الإدخال!$F$5:$F$644,"معتذر",الإدخال!$G$5:$G$644,"")&gt;0,"ع",IF(SUMIFS(الإدخال!$P$5:$P$644,الإدخال!$A$5:$A$644,I$5,الإدخال!$D$5:$D$644,$A27)&gt;0,SUMIFS(الإدخال!$O$5:$O$644,الإدخال!$A$5:$A$644,I$5,الإدخال!$D$5:$D$644,$A27)/100,""))))</f>
        <v/>
      </c>
      <c r="J27" s="70" t="str">
        <f>IF($A27="","",IF(COUNTIFS(الإدخال!$A$5:$A$644,J$5,الإدخال!$D$5:$D$644,$A27,الإدخال!$F$5:$F$644,"غائب",الإدخال!$G$5:$G$644,"")&gt;0,"غ",IF(COUNTIFS(الإدخال!$A$5:$A$644,J$5,الإدخال!$D$5:$D$644,$A27,الإدخال!$F$5:$F$644,"معتذر",الإدخال!$G$5:$G$644,"")&gt;0,"ع",IF(SUMIFS(الإدخال!$P$5:$P$644,الإدخال!$A$5:$A$644,J$5,الإدخال!$D$5:$D$644,$A27)&gt;0,SUMIFS(الإدخال!$O$5:$O$644,الإدخال!$A$5:$A$644,J$5,الإدخال!$D$5:$D$644,$A27)/100,""))))</f>
        <v/>
      </c>
      <c r="K27" s="70" t="str">
        <f>IF($A27="","",IF(COUNTIFS(الإدخال!$A$5:$A$644,K$5,الإدخال!$D$5:$D$644,$A27,الإدخال!$F$5:$F$644,"غائب",الإدخال!$G$5:$G$644,"")&gt;0,"غ",IF(COUNTIFS(الإدخال!$A$5:$A$644,K$5,الإدخال!$D$5:$D$644,$A27,الإدخال!$F$5:$F$644,"معتذر",الإدخال!$G$5:$G$644,"")&gt;0,"ع",IF(SUMIFS(الإدخال!$P$5:$P$644,الإدخال!$A$5:$A$644,K$5,الإدخال!$D$5:$D$644,$A27)&gt;0,SUMIFS(الإدخال!$O$5:$O$644,الإدخال!$A$5:$A$644,K$5,الإدخال!$D$5:$D$644,$A27)/100,""))))</f>
        <v/>
      </c>
      <c r="L27" s="70" t="str">
        <f>IF($A27="","",IF(COUNTIFS(الإدخال!$A$5:$A$644,L$5,الإدخال!$D$5:$D$644,$A27,الإدخال!$F$5:$F$644,"غائب",الإدخال!$G$5:$G$644,"")&gt;0,"غ",IF(COUNTIFS(الإدخال!$A$5:$A$644,L$5,الإدخال!$D$5:$D$644,$A27,الإدخال!$F$5:$F$644,"معتذر",الإدخال!$G$5:$G$644,"")&gt;0,"ع",IF(SUMIFS(الإدخال!$P$5:$P$644,الإدخال!$A$5:$A$644,L$5,الإدخال!$D$5:$D$644,$A27)&gt;0,SUMIFS(الإدخال!$O$5:$O$644,الإدخال!$A$5:$A$644,L$5,الإدخال!$D$5:$D$644,$A27)/100,""))))</f>
        <v/>
      </c>
      <c r="M27" s="70" t="str">
        <f>IF($A27="","",IF(COUNTIFS(الإدخال!$A$5:$A$644,M$5,الإدخال!$D$5:$D$644,$A27,الإدخال!$F$5:$F$644,"غائب",الإدخال!$G$5:$G$644,"")&gt;0,"غ",IF(COUNTIFS(الإدخال!$A$5:$A$644,M$5,الإدخال!$D$5:$D$644,$A27,الإدخال!$F$5:$F$644,"معتذر",الإدخال!$G$5:$G$644,"")&gt;0,"ع",IF(SUMIFS(الإدخال!$P$5:$P$644,الإدخال!$A$5:$A$644,M$5,الإدخال!$D$5:$D$644,$A27)&gt;0,SUMIFS(الإدخال!$O$5:$O$644,الإدخال!$A$5:$A$644,M$5,الإدخال!$D$5:$D$644,$A27)/100,""))))</f>
        <v/>
      </c>
      <c r="N27" s="70" t="str">
        <f>IF($A27="","",IF(COUNTIFS(الإدخال!$A$5:$A$644,N$5,الإدخال!$D$5:$D$644,$A27,الإدخال!$F$5:$F$644,"غائب",الإدخال!$G$5:$G$644,"")&gt;0,"غ",IF(COUNTIFS(الإدخال!$A$5:$A$644,N$5,الإدخال!$D$5:$D$644,$A27,الإدخال!$F$5:$F$644,"معتذر",الإدخال!$G$5:$G$644,"")&gt;0,"ع",IF(SUMIFS(الإدخال!$P$5:$P$644,الإدخال!$A$5:$A$644,N$5,الإدخال!$D$5:$D$644,$A27)&gt;0,SUMIFS(الإدخال!$O$5:$O$644,الإدخال!$A$5:$A$644,N$5,الإدخال!$D$5:$D$644,$A27)/100,""))))</f>
        <v/>
      </c>
      <c r="O27" s="70" t="str">
        <f>IF($A27="","",IF(COUNTIFS(الإدخال!$A$5:$A$644,O$5,الإدخال!$D$5:$D$644,$A27,الإدخال!$F$5:$F$644,"غائب",الإدخال!$G$5:$G$644,"")&gt;0,"غ",IF(COUNTIFS(الإدخال!$A$5:$A$644,O$5,الإدخال!$D$5:$D$644,$A27,الإدخال!$F$5:$F$644,"معتذر",الإدخال!$G$5:$G$644,"")&gt;0,"ع",IF(SUMIFS(الإدخال!$P$5:$P$644,الإدخال!$A$5:$A$644,O$5,الإدخال!$D$5:$D$644,$A27)&gt;0,SUMIFS(الإدخال!$O$5:$O$644,الإدخال!$A$5:$A$644,O$5,الإدخال!$D$5:$D$644,$A27)/100,""))))</f>
        <v/>
      </c>
      <c r="P27" s="70" t="str">
        <f>IF($A27="","",IF(COUNTIFS(الإدخال!$A$5:$A$644,P$5,الإدخال!$D$5:$D$644,$A27,الإدخال!$F$5:$F$644,"غائب",الإدخال!$G$5:$G$644,"")&gt;0,"غ",IF(COUNTIFS(الإدخال!$A$5:$A$644,P$5,الإدخال!$D$5:$D$644,$A27,الإدخال!$F$5:$F$644,"معتذر",الإدخال!$G$5:$G$644,"")&gt;0,"ع",IF(SUMIFS(الإدخال!$P$5:$P$644,الإدخال!$A$5:$A$644,P$5,الإدخال!$D$5:$D$644,$A27)&gt;0,SUMIFS(الإدخال!$O$5:$O$644,الإدخال!$A$5:$A$644,P$5,الإدخال!$D$5:$D$644,$A27)/100,""))))</f>
        <v/>
      </c>
      <c r="Q27" s="70" t="str">
        <f>IF($A27="","",IF(COUNTIFS(الإدخال!$A$5:$A$644,Q$5,الإدخال!$D$5:$D$644,$A27,الإدخال!$F$5:$F$644,"غائب",الإدخال!$G$5:$G$644,"")&gt;0,"غ",IF(COUNTIFS(الإدخال!$A$5:$A$644,Q$5,الإدخال!$D$5:$D$644,$A27,الإدخال!$F$5:$F$644,"معتذر",الإدخال!$G$5:$G$644,"")&gt;0,"ع",IF(SUMIFS(الإدخال!$P$5:$P$644,الإدخال!$A$5:$A$644,Q$5,الإدخال!$D$5:$D$644,$A27)&gt;0,SUMIFS(الإدخال!$O$5:$O$644,الإدخال!$A$5:$A$644,Q$5,الإدخال!$D$5:$D$644,$A27)/100,""))))</f>
        <v/>
      </c>
      <c r="R27" s="70" t="str">
        <f>IF($A27="","",IF(COUNTIFS(الإدخال!$A$5:$A$644,R$5,الإدخال!$D$5:$D$644,$A27,الإدخال!$F$5:$F$644,"غائب",الإدخال!$G$5:$G$644,"")&gt;0,"غ",IF(COUNTIFS(الإدخال!$A$5:$A$644,R$5,الإدخال!$D$5:$D$644,$A27,الإدخال!$F$5:$F$644,"معتذر",الإدخال!$G$5:$G$644,"")&gt;0,"ع",IF(SUMIFS(الإدخال!$P$5:$P$644,الإدخال!$A$5:$A$644,R$5,الإدخال!$D$5:$D$644,$A27)&gt;0,SUMIFS(الإدخال!$O$5:$O$644,الإدخال!$A$5:$A$644,R$5,الإدخال!$D$5:$D$644,$A27)/100,""))))</f>
        <v/>
      </c>
      <c r="S27" s="70" t="str">
        <f>IF($A27="","",IF(COUNTIFS(الإدخال!$A$5:$A$644,S$5,الإدخال!$D$5:$D$644,$A27,الإدخال!$F$5:$F$644,"غائب",الإدخال!$G$5:$G$644,"")&gt;0,"غ",IF(COUNTIFS(الإدخال!$A$5:$A$644,S$5,الإدخال!$D$5:$D$644,$A27,الإدخال!$F$5:$F$644,"معتذر",الإدخال!$G$5:$G$644,"")&gt;0,"ع",IF(SUMIFS(الإدخال!$P$5:$P$644,الإدخال!$A$5:$A$644,S$5,الإدخال!$D$5:$D$644,$A27)&gt;0,SUMIFS(الإدخال!$O$5:$O$644,الإدخال!$A$5:$A$644,S$5,الإدخال!$D$5:$D$644,$A27)/100,""))))</f>
        <v/>
      </c>
      <c r="T27" s="71" t="str">
        <f>IF($A27="","",IFERROR(SUMIFS(الإدخال!$O$5:$O$644,الإدخال!$D$5:$D$644,$A27)/SUMIFS(الإدخال!$P$5:$P$644,الإدخال!$D$5:$D$644,$A27)/100,""))</f>
        <v/>
      </c>
      <c r="U27" s="72" t="str">
        <f t="shared" si="0"/>
        <v/>
      </c>
      <c r="V27" s="72" t="str">
        <f>IF($A27="","",SUMIFS(الإدخال!$N$5:$N$644,الإدخال!$D$5:$D$644,$A27))</f>
        <v/>
      </c>
      <c r="W27" s="73" t="str">
        <f>IF($A27="","",COUNTIFS(الإدخال!$D$5:$D$644,$A27,الإدخال!$F$5:$F$644,"متأخر"))</f>
        <v/>
      </c>
      <c r="X27" s="73" t="str">
        <f>IF($A27="","",COUNTIFS(الإدخال!$D$5:$D$644,$A27,الإدخال!$F$5:$F$644,"غائب"))</f>
        <v/>
      </c>
      <c r="Y27" s="73" t="str">
        <f>IF($A27="","",COUNTIFS(الإدخال!$D$5:$D$644,$A27,الإدخال!$F$5:$F$644,"معتذر"))</f>
        <v/>
      </c>
      <c r="Z27" s="73" t="str">
        <f>IF($A27="","",SUMIFS(الإدخال!$H$5:$H$644,الإدخال!$D$5:$D$644,$A27,الإدخال!$N$5:$N$644,1))</f>
        <v/>
      </c>
      <c r="AA27" s="73" t="str">
        <f>IF($A27="","",SUMIFS(الإدخال!$I$5:$I$644,الإدخال!$D$5:$D$644,$A27,الإدخال!$N$5:$N$644,1))</f>
        <v/>
      </c>
      <c r="AB27" s="73" t="str">
        <f>IF($A27="","",SUMIFS(الإدخال!$J$5:$J$644,الإدخال!$D$5:$D$644,$A27,الإدخال!$N$5:$N$644,1))</f>
        <v/>
      </c>
      <c r="AC27" s="36" t="str">
        <f>IFERROR(MATCH($C$3&amp;"|23",الطلاب!$E$5:$E$44,0),"")</f>
        <v/>
      </c>
    </row>
    <row r="28" spans="1:29">
      <c r="A28" s="18" t="str">
        <f>IF($AC28="","",INDEX(الطلاب!$A$5:$A$44,$AC28))</f>
        <v/>
      </c>
      <c r="B28" s="68" t="str">
        <f>IF($AC28="","",INDEX(الطلاب!$B$5:$B$44,$AC28))</f>
        <v/>
      </c>
      <c r="C28" s="69" t="str">
        <f>IF($AC28="","",INDEX(الطلاب!$D$5:$D$44,$AC28))</f>
        <v/>
      </c>
      <c r="D28" s="70" t="str">
        <f>IF($A28="","",IF(COUNTIFS(الإدخال!$A$5:$A$644,D$5,الإدخال!$D$5:$D$644,$A28,الإدخال!$F$5:$F$644,"غائب",الإدخال!$G$5:$G$644,"")&gt;0,"غ",IF(COUNTIFS(الإدخال!$A$5:$A$644,D$5,الإدخال!$D$5:$D$644,$A28,الإدخال!$F$5:$F$644,"معتذر",الإدخال!$G$5:$G$644,"")&gt;0,"ع",IF(SUMIFS(الإدخال!$P$5:$P$644,الإدخال!$A$5:$A$644,D$5,الإدخال!$D$5:$D$644,$A28)&gt;0,SUMIFS(الإدخال!$O$5:$O$644,الإدخال!$A$5:$A$644,D$5,الإدخال!$D$5:$D$644,$A28)/100,""))))</f>
        <v/>
      </c>
      <c r="E28" s="70" t="str">
        <f>IF($A28="","",IF(COUNTIFS(الإدخال!$A$5:$A$644,E$5,الإدخال!$D$5:$D$644,$A28,الإدخال!$F$5:$F$644,"غائب",الإدخال!$G$5:$G$644,"")&gt;0,"غ",IF(COUNTIFS(الإدخال!$A$5:$A$644,E$5,الإدخال!$D$5:$D$644,$A28,الإدخال!$F$5:$F$644,"معتذر",الإدخال!$G$5:$G$644,"")&gt;0,"ع",IF(SUMIFS(الإدخال!$P$5:$P$644,الإدخال!$A$5:$A$644,E$5,الإدخال!$D$5:$D$644,$A28)&gt;0,SUMIFS(الإدخال!$O$5:$O$644,الإدخال!$A$5:$A$644,E$5,الإدخال!$D$5:$D$644,$A28)/100,""))))</f>
        <v/>
      </c>
      <c r="F28" s="70" t="str">
        <f>IF($A28="","",IF(COUNTIFS(الإدخال!$A$5:$A$644,F$5,الإدخال!$D$5:$D$644,$A28,الإدخال!$F$5:$F$644,"غائب",الإدخال!$G$5:$G$644,"")&gt;0,"غ",IF(COUNTIFS(الإدخال!$A$5:$A$644,F$5,الإدخال!$D$5:$D$644,$A28,الإدخال!$F$5:$F$644,"معتذر",الإدخال!$G$5:$G$644,"")&gt;0,"ع",IF(SUMIFS(الإدخال!$P$5:$P$644,الإدخال!$A$5:$A$644,F$5,الإدخال!$D$5:$D$644,$A28)&gt;0,SUMIFS(الإدخال!$O$5:$O$644,الإدخال!$A$5:$A$644,F$5,الإدخال!$D$5:$D$644,$A28)/100,""))))</f>
        <v/>
      </c>
      <c r="G28" s="70" t="str">
        <f>IF($A28="","",IF(COUNTIFS(الإدخال!$A$5:$A$644,G$5,الإدخال!$D$5:$D$644,$A28,الإدخال!$F$5:$F$644,"غائب",الإدخال!$G$5:$G$644,"")&gt;0,"غ",IF(COUNTIFS(الإدخال!$A$5:$A$644,G$5,الإدخال!$D$5:$D$644,$A28,الإدخال!$F$5:$F$644,"معتذر",الإدخال!$G$5:$G$644,"")&gt;0,"ع",IF(SUMIFS(الإدخال!$P$5:$P$644,الإدخال!$A$5:$A$644,G$5,الإدخال!$D$5:$D$644,$A28)&gt;0,SUMIFS(الإدخال!$O$5:$O$644,الإدخال!$A$5:$A$644,G$5,الإدخال!$D$5:$D$644,$A28)/100,""))))</f>
        <v/>
      </c>
      <c r="H28" s="70" t="str">
        <f>IF($A28="","",IF(COUNTIFS(الإدخال!$A$5:$A$644,H$5,الإدخال!$D$5:$D$644,$A28,الإدخال!$F$5:$F$644,"غائب",الإدخال!$G$5:$G$644,"")&gt;0,"غ",IF(COUNTIFS(الإدخال!$A$5:$A$644,H$5,الإدخال!$D$5:$D$644,$A28,الإدخال!$F$5:$F$644,"معتذر",الإدخال!$G$5:$G$644,"")&gt;0,"ع",IF(SUMIFS(الإدخال!$P$5:$P$644,الإدخال!$A$5:$A$644,H$5,الإدخال!$D$5:$D$644,$A28)&gt;0,SUMIFS(الإدخال!$O$5:$O$644,الإدخال!$A$5:$A$644,H$5,الإدخال!$D$5:$D$644,$A28)/100,""))))</f>
        <v/>
      </c>
      <c r="I28" s="70" t="str">
        <f>IF($A28="","",IF(COUNTIFS(الإدخال!$A$5:$A$644,I$5,الإدخال!$D$5:$D$644,$A28,الإدخال!$F$5:$F$644,"غائب",الإدخال!$G$5:$G$644,"")&gt;0,"غ",IF(COUNTIFS(الإدخال!$A$5:$A$644,I$5,الإدخال!$D$5:$D$644,$A28,الإدخال!$F$5:$F$644,"معتذر",الإدخال!$G$5:$G$644,"")&gt;0,"ع",IF(SUMIFS(الإدخال!$P$5:$P$644,الإدخال!$A$5:$A$644,I$5,الإدخال!$D$5:$D$644,$A28)&gt;0,SUMIFS(الإدخال!$O$5:$O$644,الإدخال!$A$5:$A$644,I$5,الإدخال!$D$5:$D$644,$A28)/100,""))))</f>
        <v/>
      </c>
      <c r="J28" s="70" t="str">
        <f>IF($A28="","",IF(COUNTIFS(الإدخال!$A$5:$A$644,J$5,الإدخال!$D$5:$D$644,$A28,الإدخال!$F$5:$F$644,"غائب",الإدخال!$G$5:$G$644,"")&gt;0,"غ",IF(COUNTIFS(الإدخال!$A$5:$A$644,J$5,الإدخال!$D$5:$D$644,$A28,الإدخال!$F$5:$F$644,"معتذر",الإدخال!$G$5:$G$644,"")&gt;0,"ع",IF(SUMIFS(الإدخال!$P$5:$P$644,الإدخال!$A$5:$A$644,J$5,الإدخال!$D$5:$D$644,$A28)&gt;0,SUMIFS(الإدخال!$O$5:$O$644,الإدخال!$A$5:$A$644,J$5,الإدخال!$D$5:$D$644,$A28)/100,""))))</f>
        <v/>
      </c>
      <c r="K28" s="70" t="str">
        <f>IF($A28="","",IF(COUNTIFS(الإدخال!$A$5:$A$644,K$5,الإدخال!$D$5:$D$644,$A28,الإدخال!$F$5:$F$644,"غائب",الإدخال!$G$5:$G$644,"")&gt;0,"غ",IF(COUNTIFS(الإدخال!$A$5:$A$644,K$5,الإدخال!$D$5:$D$644,$A28,الإدخال!$F$5:$F$644,"معتذر",الإدخال!$G$5:$G$644,"")&gt;0,"ع",IF(SUMIFS(الإدخال!$P$5:$P$644,الإدخال!$A$5:$A$644,K$5,الإدخال!$D$5:$D$644,$A28)&gt;0,SUMIFS(الإدخال!$O$5:$O$644,الإدخال!$A$5:$A$644,K$5,الإدخال!$D$5:$D$644,$A28)/100,""))))</f>
        <v/>
      </c>
      <c r="L28" s="70" t="str">
        <f>IF($A28="","",IF(COUNTIFS(الإدخال!$A$5:$A$644,L$5,الإدخال!$D$5:$D$644,$A28,الإدخال!$F$5:$F$644,"غائب",الإدخال!$G$5:$G$644,"")&gt;0,"غ",IF(COUNTIFS(الإدخال!$A$5:$A$644,L$5,الإدخال!$D$5:$D$644,$A28,الإدخال!$F$5:$F$644,"معتذر",الإدخال!$G$5:$G$644,"")&gt;0,"ع",IF(SUMIFS(الإدخال!$P$5:$P$644,الإدخال!$A$5:$A$644,L$5,الإدخال!$D$5:$D$644,$A28)&gt;0,SUMIFS(الإدخال!$O$5:$O$644,الإدخال!$A$5:$A$644,L$5,الإدخال!$D$5:$D$644,$A28)/100,""))))</f>
        <v/>
      </c>
      <c r="M28" s="70" t="str">
        <f>IF($A28="","",IF(COUNTIFS(الإدخال!$A$5:$A$644,M$5,الإدخال!$D$5:$D$644,$A28,الإدخال!$F$5:$F$644,"غائب",الإدخال!$G$5:$G$644,"")&gt;0,"غ",IF(COUNTIFS(الإدخال!$A$5:$A$644,M$5,الإدخال!$D$5:$D$644,$A28,الإدخال!$F$5:$F$644,"معتذر",الإدخال!$G$5:$G$644,"")&gt;0,"ع",IF(SUMIFS(الإدخال!$P$5:$P$644,الإدخال!$A$5:$A$644,M$5,الإدخال!$D$5:$D$644,$A28)&gt;0,SUMIFS(الإدخال!$O$5:$O$644,الإدخال!$A$5:$A$644,M$5,الإدخال!$D$5:$D$644,$A28)/100,""))))</f>
        <v/>
      </c>
      <c r="N28" s="70" t="str">
        <f>IF($A28="","",IF(COUNTIFS(الإدخال!$A$5:$A$644,N$5,الإدخال!$D$5:$D$644,$A28,الإدخال!$F$5:$F$644,"غائب",الإدخال!$G$5:$G$644,"")&gt;0,"غ",IF(COUNTIFS(الإدخال!$A$5:$A$644,N$5,الإدخال!$D$5:$D$644,$A28,الإدخال!$F$5:$F$644,"معتذر",الإدخال!$G$5:$G$644,"")&gt;0,"ع",IF(SUMIFS(الإدخال!$P$5:$P$644,الإدخال!$A$5:$A$644,N$5,الإدخال!$D$5:$D$644,$A28)&gt;0,SUMIFS(الإدخال!$O$5:$O$644,الإدخال!$A$5:$A$644,N$5,الإدخال!$D$5:$D$644,$A28)/100,""))))</f>
        <v/>
      </c>
      <c r="O28" s="70" t="str">
        <f>IF($A28="","",IF(COUNTIFS(الإدخال!$A$5:$A$644,O$5,الإدخال!$D$5:$D$644,$A28,الإدخال!$F$5:$F$644,"غائب",الإدخال!$G$5:$G$644,"")&gt;0,"غ",IF(COUNTIFS(الإدخال!$A$5:$A$644,O$5,الإدخال!$D$5:$D$644,$A28,الإدخال!$F$5:$F$644,"معتذر",الإدخال!$G$5:$G$644,"")&gt;0,"ع",IF(SUMIFS(الإدخال!$P$5:$P$644,الإدخال!$A$5:$A$644,O$5,الإدخال!$D$5:$D$644,$A28)&gt;0,SUMIFS(الإدخال!$O$5:$O$644,الإدخال!$A$5:$A$644,O$5,الإدخال!$D$5:$D$644,$A28)/100,""))))</f>
        <v/>
      </c>
      <c r="P28" s="70" t="str">
        <f>IF($A28="","",IF(COUNTIFS(الإدخال!$A$5:$A$644,P$5,الإدخال!$D$5:$D$644,$A28,الإدخال!$F$5:$F$644,"غائب",الإدخال!$G$5:$G$644,"")&gt;0,"غ",IF(COUNTIFS(الإدخال!$A$5:$A$644,P$5,الإدخال!$D$5:$D$644,$A28,الإدخال!$F$5:$F$644,"معتذر",الإدخال!$G$5:$G$644,"")&gt;0,"ع",IF(SUMIFS(الإدخال!$P$5:$P$644,الإدخال!$A$5:$A$644,P$5,الإدخال!$D$5:$D$644,$A28)&gt;0,SUMIFS(الإدخال!$O$5:$O$644,الإدخال!$A$5:$A$644,P$5,الإدخال!$D$5:$D$644,$A28)/100,""))))</f>
        <v/>
      </c>
      <c r="Q28" s="70" t="str">
        <f>IF($A28="","",IF(COUNTIFS(الإدخال!$A$5:$A$644,Q$5,الإدخال!$D$5:$D$644,$A28,الإدخال!$F$5:$F$644,"غائب",الإدخال!$G$5:$G$644,"")&gt;0,"غ",IF(COUNTIFS(الإدخال!$A$5:$A$644,Q$5,الإدخال!$D$5:$D$644,$A28,الإدخال!$F$5:$F$644,"معتذر",الإدخال!$G$5:$G$644,"")&gt;0,"ع",IF(SUMIFS(الإدخال!$P$5:$P$644,الإدخال!$A$5:$A$644,Q$5,الإدخال!$D$5:$D$644,$A28)&gt;0,SUMIFS(الإدخال!$O$5:$O$644,الإدخال!$A$5:$A$644,Q$5,الإدخال!$D$5:$D$644,$A28)/100,""))))</f>
        <v/>
      </c>
      <c r="R28" s="70" t="str">
        <f>IF($A28="","",IF(COUNTIFS(الإدخال!$A$5:$A$644,R$5,الإدخال!$D$5:$D$644,$A28,الإدخال!$F$5:$F$644,"غائب",الإدخال!$G$5:$G$644,"")&gt;0,"غ",IF(COUNTIFS(الإدخال!$A$5:$A$644,R$5,الإدخال!$D$5:$D$644,$A28,الإدخال!$F$5:$F$644,"معتذر",الإدخال!$G$5:$G$644,"")&gt;0,"ع",IF(SUMIFS(الإدخال!$P$5:$P$644,الإدخال!$A$5:$A$644,R$5,الإدخال!$D$5:$D$644,$A28)&gt;0,SUMIFS(الإدخال!$O$5:$O$644,الإدخال!$A$5:$A$644,R$5,الإدخال!$D$5:$D$644,$A28)/100,""))))</f>
        <v/>
      </c>
      <c r="S28" s="70" t="str">
        <f>IF($A28="","",IF(COUNTIFS(الإدخال!$A$5:$A$644,S$5,الإدخال!$D$5:$D$644,$A28,الإدخال!$F$5:$F$644,"غائب",الإدخال!$G$5:$G$644,"")&gt;0,"غ",IF(COUNTIFS(الإدخال!$A$5:$A$644,S$5,الإدخال!$D$5:$D$644,$A28,الإدخال!$F$5:$F$644,"معتذر",الإدخال!$G$5:$G$644,"")&gt;0,"ع",IF(SUMIFS(الإدخال!$P$5:$P$644,الإدخال!$A$5:$A$644,S$5,الإدخال!$D$5:$D$644,$A28)&gt;0,SUMIFS(الإدخال!$O$5:$O$644,الإدخال!$A$5:$A$644,S$5,الإدخال!$D$5:$D$644,$A28)/100,""))))</f>
        <v/>
      </c>
      <c r="T28" s="71" t="str">
        <f>IF($A28="","",IFERROR(SUMIFS(الإدخال!$O$5:$O$644,الإدخال!$D$5:$D$644,$A28)/SUMIFS(الإدخال!$P$5:$P$644,الإدخال!$D$5:$D$644,$A28)/100,""))</f>
        <v/>
      </c>
      <c r="U28" s="72" t="str">
        <f t="shared" si="0"/>
        <v/>
      </c>
      <c r="V28" s="72" t="str">
        <f>IF($A28="","",SUMIFS(الإدخال!$N$5:$N$644,الإدخال!$D$5:$D$644,$A28))</f>
        <v/>
      </c>
      <c r="W28" s="73" t="str">
        <f>IF($A28="","",COUNTIFS(الإدخال!$D$5:$D$644,$A28,الإدخال!$F$5:$F$644,"متأخر"))</f>
        <v/>
      </c>
      <c r="X28" s="73" t="str">
        <f>IF($A28="","",COUNTIFS(الإدخال!$D$5:$D$644,$A28,الإدخال!$F$5:$F$644,"غائب"))</f>
        <v/>
      </c>
      <c r="Y28" s="73" t="str">
        <f>IF($A28="","",COUNTIFS(الإدخال!$D$5:$D$644,$A28,الإدخال!$F$5:$F$644,"معتذر"))</f>
        <v/>
      </c>
      <c r="Z28" s="73" t="str">
        <f>IF($A28="","",SUMIFS(الإدخال!$H$5:$H$644,الإدخال!$D$5:$D$644,$A28,الإدخال!$N$5:$N$644,1))</f>
        <v/>
      </c>
      <c r="AA28" s="73" t="str">
        <f>IF($A28="","",SUMIFS(الإدخال!$I$5:$I$644,الإدخال!$D$5:$D$644,$A28,الإدخال!$N$5:$N$644,1))</f>
        <v/>
      </c>
      <c r="AB28" s="73" t="str">
        <f>IF($A28="","",SUMIFS(الإدخال!$J$5:$J$644,الإدخال!$D$5:$D$644,$A28,الإدخال!$N$5:$N$644,1))</f>
        <v/>
      </c>
      <c r="AC28" s="36" t="str">
        <f>IFERROR(MATCH($C$3&amp;"|24",الطلاب!$E$5:$E$44,0),"")</f>
        <v/>
      </c>
    </row>
    <row r="29" spans="1:29">
      <c r="A29" s="18" t="str">
        <f>IF($AC29="","",INDEX(الطلاب!$A$5:$A$44,$AC29))</f>
        <v/>
      </c>
      <c r="B29" s="68" t="str">
        <f>IF($AC29="","",INDEX(الطلاب!$B$5:$B$44,$AC29))</f>
        <v/>
      </c>
      <c r="C29" s="69" t="str">
        <f>IF($AC29="","",INDEX(الطلاب!$D$5:$D$44,$AC29))</f>
        <v/>
      </c>
      <c r="D29" s="70" t="str">
        <f>IF($A29="","",IF(COUNTIFS(الإدخال!$A$5:$A$644,D$5,الإدخال!$D$5:$D$644,$A29,الإدخال!$F$5:$F$644,"غائب",الإدخال!$G$5:$G$644,"")&gt;0,"غ",IF(COUNTIFS(الإدخال!$A$5:$A$644,D$5,الإدخال!$D$5:$D$644,$A29,الإدخال!$F$5:$F$644,"معتذر",الإدخال!$G$5:$G$644,"")&gt;0,"ع",IF(SUMIFS(الإدخال!$P$5:$P$644,الإدخال!$A$5:$A$644,D$5,الإدخال!$D$5:$D$644,$A29)&gt;0,SUMIFS(الإدخال!$O$5:$O$644,الإدخال!$A$5:$A$644,D$5,الإدخال!$D$5:$D$644,$A29)/100,""))))</f>
        <v/>
      </c>
      <c r="E29" s="70" t="str">
        <f>IF($A29="","",IF(COUNTIFS(الإدخال!$A$5:$A$644,E$5,الإدخال!$D$5:$D$644,$A29,الإدخال!$F$5:$F$644,"غائب",الإدخال!$G$5:$G$644,"")&gt;0,"غ",IF(COUNTIFS(الإدخال!$A$5:$A$644,E$5,الإدخال!$D$5:$D$644,$A29,الإدخال!$F$5:$F$644,"معتذر",الإدخال!$G$5:$G$644,"")&gt;0,"ع",IF(SUMIFS(الإدخال!$P$5:$P$644,الإدخال!$A$5:$A$644,E$5,الإدخال!$D$5:$D$644,$A29)&gt;0,SUMIFS(الإدخال!$O$5:$O$644,الإدخال!$A$5:$A$644,E$5,الإدخال!$D$5:$D$644,$A29)/100,""))))</f>
        <v/>
      </c>
      <c r="F29" s="70" t="str">
        <f>IF($A29="","",IF(COUNTIFS(الإدخال!$A$5:$A$644,F$5,الإدخال!$D$5:$D$644,$A29,الإدخال!$F$5:$F$644,"غائب",الإدخال!$G$5:$G$644,"")&gt;0,"غ",IF(COUNTIFS(الإدخال!$A$5:$A$644,F$5,الإدخال!$D$5:$D$644,$A29,الإدخال!$F$5:$F$644,"معتذر",الإدخال!$G$5:$G$644,"")&gt;0,"ع",IF(SUMIFS(الإدخال!$P$5:$P$644,الإدخال!$A$5:$A$644,F$5,الإدخال!$D$5:$D$644,$A29)&gt;0,SUMIFS(الإدخال!$O$5:$O$644,الإدخال!$A$5:$A$644,F$5,الإدخال!$D$5:$D$644,$A29)/100,""))))</f>
        <v/>
      </c>
      <c r="G29" s="70" t="str">
        <f>IF($A29="","",IF(COUNTIFS(الإدخال!$A$5:$A$644,G$5,الإدخال!$D$5:$D$644,$A29,الإدخال!$F$5:$F$644,"غائب",الإدخال!$G$5:$G$644,"")&gt;0,"غ",IF(COUNTIFS(الإدخال!$A$5:$A$644,G$5,الإدخال!$D$5:$D$644,$A29,الإدخال!$F$5:$F$644,"معتذر",الإدخال!$G$5:$G$644,"")&gt;0,"ع",IF(SUMIFS(الإدخال!$P$5:$P$644,الإدخال!$A$5:$A$644,G$5,الإدخال!$D$5:$D$644,$A29)&gt;0,SUMIFS(الإدخال!$O$5:$O$644,الإدخال!$A$5:$A$644,G$5,الإدخال!$D$5:$D$644,$A29)/100,""))))</f>
        <v/>
      </c>
      <c r="H29" s="70" t="str">
        <f>IF($A29="","",IF(COUNTIFS(الإدخال!$A$5:$A$644,H$5,الإدخال!$D$5:$D$644,$A29,الإدخال!$F$5:$F$644,"غائب",الإدخال!$G$5:$G$644,"")&gt;0,"غ",IF(COUNTIFS(الإدخال!$A$5:$A$644,H$5,الإدخال!$D$5:$D$644,$A29,الإدخال!$F$5:$F$644,"معتذر",الإدخال!$G$5:$G$644,"")&gt;0,"ع",IF(SUMIFS(الإدخال!$P$5:$P$644,الإدخال!$A$5:$A$644,H$5,الإدخال!$D$5:$D$644,$A29)&gt;0,SUMIFS(الإدخال!$O$5:$O$644,الإدخال!$A$5:$A$644,H$5,الإدخال!$D$5:$D$644,$A29)/100,""))))</f>
        <v/>
      </c>
      <c r="I29" s="70" t="str">
        <f>IF($A29="","",IF(COUNTIFS(الإدخال!$A$5:$A$644,I$5,الإدخال!$D$5:$D$644,$A29,الإدخال!$F$5:$F$644,"غائب",الإدخال!$G$5:$G$644,"")&gt;0,"غ",IF(COUNTIFS(الإدخال!$A$5:$A$644,I$5,الإدخال!$D$5:$D$644,$A29,الإدخال!$F$5:$F$644,"معتذر",الإدخال!$G$5:$G$644,"")&gt;0,"ع",IF(SUMIFS(الإدخال!$P$5:$P$644,الإدخال!$A$5:$A$644,I$5,الإدخال!$D$5:$D$644,$A29)&gt;0,SUMIFS(الإدخال!$O$5:$O$644,الإدخال!$A$5:$A$644,I$5,الإدخال!$D$5:$D$644,$A29)/100,""))))</f>
        <v/>
      </c>
      <c r="J29" s="70" t="str">
        <f>IF($A29="","",IF(COUNTIFS(الإدخال!$A$5:$A$644,J$5,الإدخال!$D$5:$D$644,$A29,الإدخال!$F$5:$F$644,"غائب",الإدخال!$G$5:$G$644,"")&gt;0,"غ",IF(COUNTIFS(الإدخال!$A$5:$A$644,J$5,الإدخال!$D$5:$D$644,$A29,الإدخال!$F$5:$F$644,"معتذر",الإدخال!$G$5:$G$644,"")&gt;0,"ع",IF(SUMIFS(الإدخال!$P$5:$P$644,الإدخال!$A$5:$A$644,J$5,الإدخال!$D$5:$D$644,$A29)&gt;0,SUMIFS(الإدخال!$O$5:$O$644,الإدخال!$A$5:$A$644,J$5,الإدخال!$D$5:$D$644,$A29)/100,""))))</f>
        <v/>
      </c>
      <c r="K29" s="70" t="str">
        <f>IF($A29="","",IF(COUNTIFS(الإدخال!$A$5:$A$644,K$5,الإدخال!$D$5:$D$644,$A29,الإدخال!$F$5:$F$644,"غائب",الإدخال!$G$5:$G$644,"")&gt;0,"غ",IF(COUNTIFS(الإدخال!$A$5:$A$644,K$5,الإدخال!$D$5:$D$644,$A29,الإدخال!$F$5:$F$644,"معتذر",الإدخال!$G$5:$G$644,"")&gt;0,"ع",IF(SUMIFS(الإدخال!$P$5:$P$644,الإدخال!$A$5:$A$644,K$5,الإدخال!$D$5:$D$644,$A29)&gt;0,SUMIFS(الإدخال!$O$5:$O$644,الإدخال!$A$5:$A$644,K$5,الإدخال!$D$5:$D$644,$A29)/100,""))))</f>
        <v/>
      </c>
      <c r="L29" s="70" t="str">
        <f>IF($A29="","",IF(COUNTIFS(الإدخال!$A$5:$A$644,L$5,الإدخال!$D$5:$D$644,$A29,الإدخال!$F$5:$F$644,"غائب",الإدخال!$G$5:$G$644,"")&gt;0,"غ",IF(COUNTIFS(الإدخال!$A$5:$A$644,L$5,الإدخال!$D$5:$D$644,$A29,الإدخال!$F$5:$F$644,"معتذر",الإدخال!$G$5:$G$644,"")&gt;0,"ع",IF(SUMIFS(الإدخال!$P$5:$P$644,الإدخال!$A$5:$A$644,L$5,الإدخال!$D$5:$D$644,$A29)&gt;0,SUMIFS(الإدخال!$O$5:$O$644,الإدخال!$A$5:$A$644,L$5,الإدخال!$D$5:$D$644,$A29)/100,""))))</f>
        <v/>
      </c>
      <c r="M29" s="70" t="str">
        <f>IF($A29="","",IF(COUNTIFS(الإدخال!$A$5:$A$644,M$5,الإدخال!$D$5:$D$644,$A29,الإدخال!$F$5:$F$644,"غائب",الإدخال!$G$5:$G$644,"")&gt;0,"غ",IF(COUNTIFS(الإدخال!$A$5:$A$644,M$5,الإدخال!$D$5:$D$644,$A29,الإدخال!$F$5:$F$644,"معتذر",الإدخال!$G$5:$G$644,"")&gt;0,"ع",IF(SUMIFS(الإدخال!$P$5:$P$644,الإدخال!$A$5:$A$644,M$5,الإدخال!$D$5:$D$644,$A29)&gt;0,SUMIFS(الإدخال!$O$5:$O$644,الإدخال!$A$5:$A$644,M$5,الإدخال!$D$5:$D$644,$A29)/100,""))))</f>
        <v/>
      </c>
      <c r="N29" s="70" t="str">
        <f>IF($A29="","",IF(COUNTIFS(الإدخال!$A$5:$A$644,N$5,الإدخال!$D$5:$D$644,$A29,الإدخال!$F$5:$F$644,"غائب",الإدخال!$G$5:$G$644,"")&gt;0,"غ",IF(COUNTIFS(الإدخال!$A$5:$A$644,N$5,الإدخال!$D$5:$D$644,$A29,الإدخال!$F$5:$F$644,"معتذر",الإدخال!$G$5:$G$644,"")&gt;0,"ع",IF(SUMIFS(الإدخال!$P$5:$P$644,الإدخال!$A$5:$A$644,N$5,الإدخال!$D$5:$D$644,$A29)&gt;0,SUMIFS(الإدخال!$O$5:$O$644,الإدخال!$A$5:$A$644,N$5,الإدخال!$D$5:$D$644,$A29)/100,""))))</f>
        <v/>
      </c>
      <c r="O29" s="70" t="str">
        <f>IF($A29="","",IF(COUNTIFS(الإدخال!$A$5:$A$644,O$5,الإدخال!$D$5:$D$644,$A29,الإدخال!$F$5:$F$644,"غائب",الإدخال!$G$5:$G$644,"")&gt;0,"غ",IF(COUNTIFS(الإدخال!$A$5:$A$644,O$5,الإدخال!$D$5:$D$644,$A29,الإدخال!$F$5:$F$644,"معتذر",الإدخال!$G$5:$G$644,"")&gt;0,"ع",IF(SUMIFS(الإدخال!$P$5:$P$644,الإدخال!$A$5:$A$644,O$5,الإدخال!$D$5:$D$644,$A29)&gt;0,SUMIFS(الإدخال!$O$5:$O$644,الإدخال!$A$5:$A$644,O$5,الإدخال!$D$5:$D$644,$A29)/100,""))))</f>
        <v/>
      </c>
      <c r="P29" s="70" t="str">
        <f>IF($A29="","",IF(COUNTIFS(الإدخال!$A$5:$A$644,P$5,الإدخال!$D$5:$D$644,$A29,الإدخال!$F$5:$F$644,"غائب",الإدخال!$G$5:$G$644,"")&gt;0,"غ",IF(COUNTIFS(الإدخال!$A$5:$A$644,P$5,الإدخال!$D$5:$D$644,$A29,الإدخال!$F$5:$F$644,"معتذر",الإدخال!$G$5:$G$644,"")&gt;0,"ع",IF(SUMIFS(الإدخال!$P$5:$P$644,الإدخال!$A$5:$A$644,P$5,الإدخال!$D$5:$D$644,$A29)&gt;0,SUMIFS(الإدخال!$O$5:$O$644,الإدخال!$A$5:$A$644,P$5,الإدخال!$D$5:$D$644,$A29)/100,""))))</f>
        <v/>
      </c>
      <c r="Q29" s="70" t="str">
        <f>IF($A29="","",IF(COUNTIFS(الإدخال!$A$5:$A$644,Q$5,الإدخال!$D$5:$D$644,$A29,الإدخال!$F$5:$F$644,"غائب",الإدخال!$G$5:$G$644,"")&gt;0,"غ",IF(COUNTIFS(الإدخال!$A$5:$A$644,Q$5,الإدخال!$D$5:$D$644,$A29,الإدخال!$F$5:$F$644,"معتذر",الإدخال!$G$5:$G$644,"")&gt;0,"ع",IF(SUMIFS(الإدخال!$P$5:$P$644,الإدخال!$A$5:$A$644,Q$5,الإدخال!$D$5:$D$644,$A29)&gt;0,SUMIFS(الإدخال!$O$5:$O$644,الإدخال!$A$5:$A$644,Q$5,الإدخال!$D$5:$D$644,$A29)/100,""))))</f>
        <v/>
      </c>
      <c r="R29" s="70" t="str">
        <f>IF($A29="","",IF(COUNTIFS(الإدخال!$A$5:$A$644,R$5,الإدخال!$D$5:$D$644,$A29,الإدخال!$F$5:$F$644,"غائب",الإدخال!$G$5:$G$644,"")&gt;0,"غ",IF(COUNTIFS(الإدخال!$A$5:$A$644,R$5,الإدخال!$D$5:$D$644,$A29,الإدخال!$F$5:$F$644,"معتذر",الإدخال!$G$5:$G$644,"")&gt;0,"ع",IF(SUMIFS(الإدخال!$P$5:$P$644,الإدخال!$A$5:$A$644,R$5,الإدخال!$D$5:$D$644,$A29)&gt;0,SUMIFS(الإدخال!$O$5:$O$644,الإدخال!$A$5:$A$644,R$5,الإدخال!$D$5:$D$644,$A29)/100,""))))</f>
        <v/>
      </c>
      <c r="S29" s="70" t="str">
        <f>IF($A29="","",IF(COUNTIFS(الإدخال!$A$5:$A$644,S$5,الإدخال!$D$5:$D$644,$A29,الإدخال!$F$5:$F$644,"غائب",الإدخال!$G$5:$G$644,"")&gt;0,"غ",IF(COUNTIFS(الإدخال!$A$5:$A$644,S$5,الإدخال!$D$5:$D$644,$A29,الإدخال!$F$5:$F$644,"معتذر",الإدخال!$G$5:$G$644,"")&gt;0,"ع",IF(SUMIFS(الإدخال!$P$5:$P$644,الإدخال!$A$5:$A$644,S$5,الإدخال!$D$5:$D$644,$A29)&gt;0,SUMIFS(الإدخال!$O$5:$O$644,الإدخال!$A$5:$A$644,S$5,الإدخال!$D$5:$D$644,$A29)/100,""))))</f>
        <v/>
      </c>
      <c r="T29" s="71" t="str">
        <f>IF($A29="","",IFERROR(SUMIFS(الإدخال!$O$5:$O$644,الإدخال!$D$5:$D$644,$A29)/SUMIFS(الإدخال!$P$5:$P$644,الإدخال!$D$5:$D$644,$A29)/100,""))</f>
        <v/>
      </c>
      <c r="U29" s="72" t="str">
        <f t="shared" si="0"/>
        <v/>
      </c>
      <c r="V29" s="72" t="str">
        <f>IF($A29="","",SUMIFS(الإدخال!$N$5:$N$644,الإدخال!$D$5:$D$644,$A29))</f>
        <v/>
      </c>
      <c r="W29" s="73" t="str">
        <f>IF($A29="","",COUNTIFS(الإدخال!$D$5:$D$644,$A29,الإدخال!$F$5:$F$644,"متأخر"))</f>
        <v/>
      </c>
      <c r="X29" s="73" t="str">
        <f>IF($A29="","",COUNTIFS(الإدخال!$D$5:$D$644,$A29,الإدخال!$F$5:$F$644,"غائب"))</f>
        <v/>
      </c>
      <c r="Y29" s="73" t="str">
        <f>IF($A29="","",COUNTIFS(الإدخال!$D$5:$D$644,$A29,الإدخال!$F$5:$F$644,"معتذر"))</f>
        <v/>
      </c>
      <c r="Z29" s="73" t="str">
        <f>IF($A29="","",SUMIFS(الإدخال!$H$5:$H$644,الإدخال!$D$5:$D$644,$A29,الإدخال!$N$5:$N$644,1))</f>
        <v/>
      </c>
      <c r="AA29" s="73" t="str">
        <f>IF($A29="","",SUMIFS(الإدخال!$I$5:$I$644,الإدخال!$D$5:$D$644,$A29,الإدخال!$N$5:$N$644,1))</f>
        <v/>
      </c>
      <c r="AB29" s="73" t="str">
        <f>IF($A29="","",SUMIFS(الإدخال!$J$5:$J$644,الإدخال!$D$5:$D$644,$A29,الإدخال!$N$5:$N$644,1))</f>
        <v/>
      </c>
      <c r="AC29" s="36" t="str">
        <f>IFERROR(MATCH($C$3&amp;"|25",الطلاب!$E$5:$E$44,0),"")</f>
        <v/>
      </c>
    </row>
    <row r="30" spans="1:29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75" t="s">
        <v>123</v>
      </c>
      <c r="U30" s="12"/>
      <c r="V30" s="12"/>
      <c r="W30" s="12"/>
      <c r="X30" s="12"/>
      <c r="Y30" s="12"/>
      <c r="Z30" s="12"/>
      <c r="AA30" s="12"/>
      <c r="AB30" s="12"/>
      <c r="AC30" s="2"/>
    </row>
    <row r="31" spans="1:29">
      <c r="A31" s="165" t="s">
        <v>124</v>
      </c>
      <c r="B31" s="165"/>
      <c r="C31" s="165"/>
      <c r="D31" s="76">
        <f>IFERROR(SUMIFS(الإدخال!$O$5:$O$644,الإدخال!$A$5:$A$644,D$5,الإدخال!$B$5:$B$644,$C$3)/SUMIFS(الإدخال!$P$5:$P$644,الإدخال!$A$5:$A$644,D$5,الإدخال!$B$5:$B$644,$C$3)/100,"")</f>
        <v>0.63062499999999999</v>
      </c>
      <c r="E31" s="76">
        <f>IFERROR(SUMIFS(الإدخال!$O$5:$O$644,الإدخال!$A$5:$A$644,E$5,الإدخال!$B$5:$B$644,$C$3)/SUMIFS(الإدخال!$P$5:$P$644,الإدخال!$A$5:$A$644,E$5,الإدخال!$B$5:$B$644,$C$3)/100,"")</f>
        <v>0.57562500000000005</v>
      </c>
      <c r="F31" s="76" t="str">
        <f>IFERROR(SUMIFS(الإدخال!$O$5:$O$644,الإدخال!$A$5:$A$644,F$5,الإدخال!$B$5:$B$644,$C$3)/SUMIFS(الإدخال!$P$5:$P$644,الإدخال!$A$5:$A$644,F$5,الإدخال!$B$5:$B$644,$C$3)/100,"")</f>
        <v/>
      </c>
      <c r="G31" s="76" t="str">
        <f>IFERROR(SUMIFS(الإدخال!$O$5:$O$644,الإدخال!$A$5:$A$644,G$5,الإدخال!$B$5:$B$644,$C$3)/SUMIFS(الإدخال!$P$5:$P$644,الإدخال!$A$5:$A$644,G$5,الإدخال!$B$5:$B$644,$C$3)/100,"")</f>
        <v/>
      </c>
      <c r="H31" s="76" t="str">
        <f>IFERROR(SUMIFS(الإدخال!$O$5:$O$644,الإدخال!$A$5:$A$644,H$5,الإدخال!$B$5:$B$644,$C$3)/SUMIFS(الإدخال!$P$5:$P$644,الإدخال!$A$5:$A$644,H$5,الإدخال!$B$5:$B$644,$C$3)/100,"")</f>
        <v/>
      </c>
      <c r="I31" s="76" t="str">
        <f>IFERROR(SUMIFS(الإدخال!$O$5:$O$644,الإدخال!$A$5:$A$644,I$5,الإدخال!$B$5:$B$644,$C$3)/SUMIFS(الإدخال!$P$5:$P$644,الإدخال!$A$5:$A$644,I$5,الإدخال!$B$5:$B$644,$C$3)/100,"")</f>
        <v/>
      </c>
      <c r="J31" s="76" t="str">
        <f>IFERROR(SUMIFS(الإدخال!$O$5:$O$644,الإدخال!$A$5:$A$644,J$5,الإدخال!$B$5:$B$644,$C$3)/SUMIFS(الإدخال!$P$5:$P$644,الإدخال!$A$5:$A$644,J$5,الإدخال!$B$5:$B$644,$C$3)/100,"")</f>
        <v/>
      </c>
      <c r="K31" s="76" t="str">
        <f>IFERROR(SUMIFS(الإدخال!$O$5:$O$644,الإدخال!$A$5:$A$644,K$5,الإدخال!$B$5:$B$644,$C$3)/SUMIFS(الإدخال!$P$5:$P$644,الإدخال!$A$5:$A$644,K$5,الإدخال!$B$5:$B$644,$C$3)/100,"")</f>
        <v/>
      </c>
      <c r="L31" s="76" t="str">
        <f>IFERROR(SUMIFS(الإدخال!$O$5:$O$644,الإدخال!$A$5:$A$644,L$5,الإدخال!$B$5:$B$644,$C$3)/SUMIFS(الإدخال!$P$5:$P$644,الإدخال!$A$5:$A$644,L$5,الإدخال!$B$5:$B$644,$C$3)/100,"")</f>
        <v/>
      </c>
      <c r="M31" s="76" t="str">
        <f>IFERROR(SUMIFS(الإدخال!$O$5:$O$644,الإدخال!$A$5:$A$644,M$5,الإدخال!$B$5:$B$644,$C$3)/SUMIFS(الإدخال!$P$5:$P$644,الإدخال!$A$5:$A$644,M$5,الإدخال!$B$5:$B$644,$C$3)/100,"")</f>
        <v/>
      </c>
      <c r="N31" s="76" t="str">
        <f>IFERROR(SUMIFS(الإدخال!$O$5:$O$644,الإدخال!$A$5:$A$644,N$5,الإدخال!$B$5:$B$644,$C$3)/SUMIFS(الإدخال!$P$5:$P$644,الإدخال!$A$5:$A$644,N$5,الإدخال!$B$5:$B$644,$C$3)/100,"")</f>
        <v/>
      </c>
      <c r="O31" s="76" t="str">
        <f>IFERROR(SUMIFS(الإدخال!$O$5:$O$644,الإدخال!$A$5:$A$644,O$5,الإدخال!$B$5:$B$644,$C$3)/SUMIFS(الإدخال!$P$5:$P$644,الإدخال!$A$5:$A$644,O$5,الإدخال!$B$5:$B$644,$C$3)/100,"")</f>
        <v/>
      </c>
      <c r="P31" s="76" t="str">
        <f>IFERROR(SUMIFS(الإدخال!$O$5:$O$644,الإدخال!$A$5:$A$644,P$5,الإدخال!$B$5:$B$644,$C$3)/SUMIFS(الإدخال!$P$5:$P$644,الإدخال!$A$5:$A$644,P$5,الإدخال!$B$5:$B$644,$C$3)/100,"")</f>
        <v/>
      </c>
      <c r="Q31" s="76" t="str">
        <f>IFERROR(SUMIFS(الإدخال!$O$5:$O$644,الإدخال!$A$5:$A$644,Q$5,الإدخال!$B$5:$B$644,$C$3)/SUMIFS(الإدخال!$P$5:$P$644,الإدخال!$A$5:$A$644,Q$5,الإدخال!$B$5:$B$644,$C$3)/100,"")</f>
        <v/>
      </c>
      <c r="R31" s="76" t="str">
        <f>IFERROR(SUMIFS(الإدخال!$O$5:$O$644,الإدخال!$A$5:$A$644,R$5,الإدخال!$B$5:$B$644,$C$3)/SUMIFS(الإدخال!$P$5:$P$644,الإدخال!$A$5:$A$644,R$5,الإدخال!$B$5:$B$644,$C$3)/100,"")</f>
        <v/>
      </c>
      <c r="S31" s="76" t="str">
        <f>IFERROR(SUMIFS(الإدخال!$O$5:$O$644,الإدخال!$A$5:$A$644,S$5,الإدخال!$B$5:$B$644,$C$3)/SUMIFS(الإدخال!$P$5:$P$644,الإدخال!$A$5:$A$644,S$5,الإدخال!$B$5:$B$644,$C$3)/100,"")</f>
        <v/>
      </c>
      <c r="T31" s="77">
        <f>IFERROR(SUMIFS(الإدخال!$O$5:$O$644,الإدخال!$B$5:$B$644,$C$3)/SUMIFS(الإدخال!$P$5:$P$644,الإدخال!$B$5:$B$644,$C$3)/100,"")</f>
        <v>0.60312500000000002</v>
      </c>
      <c r="U31" s="36"/>
      <c r="V31" s="2"/>
      <c r="W31" s="2"/>
      <c r="X31" s="2"/>
      <c r="Y31" s="2"/>
      <c r="Z31" s="2"/>
      <c r="AA31" s="2"/>
      <c r="AB31" s="2"/>
      <c r="AC31" s="2"/>
    </row>
    <row r="32" spans="1:29">
      <c r="A32" s="165" t="s">
        <v>125</v>
      </c>
      <c r="B32" s="165"/>
      <c r="C32" s="165"/>
      <c r="D32" s="78">
        <f>SUMIFS(الإدخال!$N$5:$N$644,الإدخال!$A$5:$A$644,D$5,الإدخال!$B$5:$B$644,$C$3)</f>
        <v>12</v>
      </c>
      <c r="E32" s="78">
        <f>SUMIFS(الإدخال!$N$5:$N$644,الإدخال!$A$5:$A$644,E$5,الإدخال!$B$5:$B$644,$C$3)</f>
        <v>12</v>
      </c>
      <c r="F32" s="78">
        <f>SUMIFS(الإدخال!$N$5:$N$644,الإدخال!$A$5:$A$644,F$5,الإدخال!$B$5:$B$644,$C$3)</f>
        <v>0</v>
      </c>
      <c r="G32" s="78">
        <f>SUMIFS(الإدخال!$N$5:$N$644,الإدخال!$A$5:$A$644,G$5,الإدخال!$B$5:$B$644,$C$3)</f>
        <v>0</v>
      </c>
      <c r="H32" s="78">
        <f>SUMIFS(الإدخال!$N$5:$N$644,الإدخال!$A$5:$A$644,H$5,الإدخال!$B$5:$B$644,$C$3)</f>
        <v>0</v>
      </c>
      <c r="I32" s="78">
        <f>SUMIFS(الإدخال!$N$5:$N$644,الإدخال!$A$5:$A$644,I$5,الإدخال!$B$5:$B$644,$C$3)</f>
        <v>0</v>
      </c>
      <c r="J32" s="78">
        <f>SUMIFS(الإدخال!$N$5:$N$644,الإدخال!$A$5:$A$644,J$5,الإدخال!$B$5:$B$644,$C$3)</f>
        <v>0</v>
      </c>
      <c r="K32" s="78">
        <f>SUMIFS(الإدخال!$N$5:$N$644,الإدخال!$A$5:$A$644,K$5,الإدخال!$B$5:$B$644,$C$3)</f>
        <v>0</v>
      </c>
      <c r="L32" s="78">
        <f>SUMIFS(الإدخال!$N$5:$N$644,الإدخال!$A$5:$A$644,L$5,الإدخال!$B$5:$B$644,$C$3)</f>
        <v>0</v>
      </c>
      <c r="M32" s="78">
        <f>SUMIFS(الإدخال!$N$5:$N$644,الإدخال!$A$5:$A$644,M$5,الإدخال!$B$5:$B$644,$C$3)</f>
        <v>0</v>
      </c>
      <c r="N32" s="78">
        <f>SUMIFS(الإدخال!$N$5:$N$644,الإدخال!$A$5:$A$644,N$5,الإدخال!$B$5:$B$644,$C$3)</f>
        <v>0</v>
      </c>
      <c r="O32" s="78">
        <f>SUMIFS(الإدخال!$N$5:$N$644,الإدخال!$A$5:$A$644,O$5,الإدخال!$B$5:$B$644,$C$3)</f>
        <v>0</v>
      </c>
      <c r="P32" s="78">
        <f>SUMIFS(الإدخال!$N$5:$N$644,الإدخال!$A$5:$A$644,P$5,الإدخال!$B$5:$B$644,$C$3)</f>
        <v>0</v>
      </c>
      <c r="Q32" s="78">
        <f>SUMIFS(الإدخال!$N$5:$N$644,الإدخال!$A$5:$A$644,Q$5,الإدخال!$B$5:$B$644,$C$3)</f>
        <v>0</v>
      </c>
      <c r="R32" s="78">
        <f>SUMIFS(الإدخال!$N$5:$N$644,الإدخال!$A$5:$A$644,R$5,الإدخال!$B$5:$B$644,$C$3)</f>
        <v>0</v>
      </c>
      <c r="S32" s="78">
        <f>SUMIFS(الإدخال!$N$5:$N$644,الإدخال!$A$5:$A$644,S$5,الإدخال!$B$5:$B$644,$C$3)</f>
        <v>0</v>
      </c>
      <c r="T32" s="79">
        <f>SUMIFS(الإدخال!$N$5:$N$644,الإدخال!$B$5:$B$644,$C$3)</f>
        <v>24</v>
      </c>
      <c r="U32" s="36"/>
      <c r="V32" s="2"/>
      <c r="W32" s="2"/>
      <c r="X32" s="2"/>
      <c r="Y32" s="2"/>
      <c r="Z32" s="2"/>
      <c r="AA32" s="2"/>
      <c r="AB32" s="2"/>
      <c r="AC32" s="2"/>
    </row>
    <row r="33" spans="1:29">
      <c r="A33" s="165" t="s">
        <v>126</v>
      </c>
      <c r="B33" s="165"/>
      <c r="C33" s="165"/>
      <c r="D33" s="78">
        <f>COUNTIFS(الإدخال!$A$5:$A$644,D$5,الإدخال!$B$5:$B$644,$C$3,الإدخال!$F$5:$F$644,"متأخر")</f>
        <v>0</v>
      </c>
      <c r="E33" s="78">
        <f>COUNTIFS(الإدخال!$A$5:$A$644,E$5,الإدخال!$B$5:$B$644,$C$3,الإدخال!$F$5:$F$644,"متأخر")</f>
        <v>0</v>
      </c>
      <c r="F33" s="78">
        <f>COUNTIFS(الإدخال!$A$5:$A$644,F$5,الإدخال!$B$5:$B$644,$C$3,الإدخال!$F$5:$F$644,"متأخر")</f>
        <v>0</v>
      </c>
      <c r="G33" s="78">
        <f>COUNTIFS(الإدخال!$A$5:$A$644,G$5,الإدخال!$B$5:$B$644,$C$3,الإدخال!$F$5:$F$644,"متأخر")</f>
        <v>0</v>
      </c>
      <c r="H33" s="78">
        <f>COUNTIFS(الإدخال!$A$5:$A$644,H$5,الإدخال!$B$5:$B$644,$C$3,الإدخال!$F$5:$F$644,"متأخر")</f>
        <v>0</v>
      </c>
      <c r="I33" s="78">
        <f>COUNTIFS(الإدخال!$A$5:$A$644,I$5,الإدخال!$B$5:$B$644,$C$3,الإدخال!$F$5:$F$644,"متأخر")</f>
        <v>0</v>
      </c>
      <c r="J33" s="78">
        <f>COUNTIFS(الإدخال!$A$5:$A$644,J$5,الإدخال!$B$5:$B$644,$C$3,الإدخال!$F$5:$F$644,"متأخر")</f>
        <v>0</v>
      </c>
      <c r="K33" s="78">
        <f>COUNTIFS(الإدخال!$A$5:$A$644,K$5,الإدخال!$B$5:$B$644,$C$3,الإدخال!$F$5:$F$644,"متأخر")</f>
        <v>0</v>
      </c>
      <c r="L33" s="78">
        <f>COUNTIFS(الإدخال!$A$5:$A$644,L$5,الإدخال!$B$5:$B$644,$C$3,الإدخال!$F$5:$F$644,"متأخر")</f>
        <v>0</v>
      </c>
      <c r="M33" s="78">
        <f>COUNTIFS(الإدخال!$A$5:$A$644,M$5,الإدخال!$B$5:$B$644,$C$3,الإدخال!$F$5:$F$644,"متأخر")</f>
        <v>0</v>
      </c>
      <c r="N33" s="78">
        <f>COUNTIFS(الإدخال!$A$5:$A$644,N$5,الإدخال!$B$5:$B$644,$C$3,الإدخال!$F$5:$F$644,"متأخر")</f>
        <v>0</v>
      </c>
      <c r="O33" s="78">
        <f>COUNTIFS(الإدخال!$A$5:$A$644,O$5,الإدخال!$B$5:$B$644,$C$3,الإدخال!$F$5:$F$644,"متأخر")</f>
        <v>0</v>
      </c>
      <c r="P33" s="78">
        <f>COUNTIFS(الإدخال!$A$5:$A$644,P$5,الإدخال!$B$5:$B$644,$C$3,الإدخال!$F$5:$F$644,"متأخر")</f>
        <v>0</v>
      </c>
      <c r="Q33" s="78">
        <f>COUNTIFS(الإدخال!$A$5:$A$644,Q$5,الإدخال!$B$5:$B$644,$C$3,الإدخال!$F$5:$F$644,"متأخر")</f>
        <v>0</v>
      </c>
      <c r="R33" s="78">
        <f>COUNTIFS(الإدخال!$A$5:$A$644,R$5,الإدخال!$B$5:$B$644,$C$3,الإدخال!$F$5:$F$644,"متأخر")</f>
        <v>0</v>
      </c>
      <c r="S33" s="78">
        <f>COUNTIFS(الإدخال!$A$5:$A$644,S$5,الإدخال!$B$5:$B$644,$C$3,الإدخال!$F$5:$F$644,"متأخر")</f>
        <v>0</v>
      </c>
      <c r="T33" s="79">
        <f>COUNTIFS(الإدخال!$B$5:$B$644,$C$3,الإدخال!$F$5:$F$644,"متأخر")</f>
        <v>0</v>
      </c>
      <c r="U33" s="36"/>
      <c r="V33" s="2"/>
      <c r="W33" s="2"/>
      <c r="X33" s="2"/>
      <c r="Y33" s="2"/>
      <c r="Z33" s="2"/>
      <c r="AA33" s="2"/>
      <c r="AB33" s="2"/>
      <c r="AC33" s="2"/>
    </row>
    <row r="34" spans="1:29">
      <c r="A34" s="165" t="s">
        <v>127</v>
      </c>
      <c r="B34" s="165"/>
      <c r="C34" s="165"/>
      <c r="D34" s="78">
        <f>COUNTIFS(الإدخال!$A$5:$A$644,D$5,الإدخال!$B$5:$B$644,$C$3,الإدخال!$F$5:$F$644,"غائب")</f>
        <v>0</v>
      </c>
      <c r="E34" s="78">
        <f>COUNTIFS(الإدخال!$A$5:$A$644,E$5,الإدخال!$B$5:$B$644,$C$3,الإدخال!$F$5:$F$644,"غائب")</f>
        <v>4</v>
      </c>
      <c r="F34" s="78">
        <f>COUNTIFS(الإدخال!$A$5:$A$644,F$5,الإدخال!$B$5:$B$644,$C$3,الإدخال!$F$5:$F$644,"غائب")</f>
        <v>0</v>
      </c>
      <c r="G34" s="78">
        <f>COUNTIFS(الإدخال!$A$5:$A$644,G$5,الإدخال!$B$5:$B$644,$C$3,الإدخال!$F$5:$F$644,"غائب")</f>
        <v>0</v>
      </c>
      <c r="H34" s="78">
        <f>COUNTIFS(الإدخال!$A$5:$A$644,H$5,الإدخال!$B$5:$B$644,$C$3,الإدخال!$F$5:$F$644,"غائب")</f>
        <v>0</v>
      </c>
      <c r="I34" s="78">
        <f>COUNTIFS(الإدخال!$A$5:$A$644,I$5,الإدخال!$B$5:$B$644,$C$3,الإدخال!$F$5:$F$644,"غائب")</f>
        <v>0</v>
      </c>
      <c r="J34" s="78">
        <f>COUNTIFS(الإدخال!$A$5:$A$644,J$5,الإدخال!$B$5:$B$644,$C$3,الإدخال!$F$5:$F$644,"غائب")</f>
        <v>0</v>
      </c>
      <c r="K34" s="78">
        <f>COUNTIFS(الإدخال!$A$5:$A$644,K$5,الإدخال!$B$5:$B$644,$C$3,الإدخال!$F$5:$F$644,"غائب")</f>
        <v>0</v>
      </c>
      <c r="L34" s="78">
        <f>COUNTIFS(الإدخال!$A$5:$A$644,L$5,الإدخال!$B$5:$B$644,$C$3,الإدخال!$F$5:$F$644,"غائب")</f>
        <v>0</v>
      </c>
      <c r="M34" s="78">
        <f>COUNTIFS(الإدخال!$A$5:$A$644,M$5,الإدخال!$B$5:$B$644,$C$3,الإدخال!$F$5:$F$644,"غائب")</f>
        <v>0</v>
      </c>
      <c r="N34" s="78">
        <f>COUNTIFS(الإدخال!$A$5:$A$644,N$5,الإدخال!$B$5:$B$644,$C$3,الإدخال!$F$5:$F$644,"غائب")</f>
        <v>0</v>
      </c>
      <c r="O34" s="78">
        <f>COUNTIFS(الإدخال!$A$5:$A$644,O$5,الإدخال!$B$5:$B$644,$C$3,الإدخال!$F$5:$F$644,"غائب")</f>
        <v>0</v>
      </c>
      <c r="P34" s="78">
        <f>COUNTIFS(الإدخال!$A$5:$A$644,P$5,الإدخال!$B$5:$B$644,$C$3,الإدخال!$F$5:$F$644,"غائب")</f>
        <v>0</v>
      </c>
      <c r="Q34" s="78">
        <f>COUNTIFS(الإدخال!$A$5:$A$644,Q$5,الإدخال!$B$5:$B$644,$C$3,الإدخال!$F$5:$F$644,"غائب")</f>
        <v>0</v>
      </c>
      <c r="R34" s="78">
        <f>COUNTIFS(الإدخال!$A$5:$A$644,R$5,الإدخال!$B$5:$B$644,$C$3,الإدخال!$F$5:$F$644,"غائب")</f>
        <v>0</v>
      </c>
      <c r="S34" s="78">
        <f>COUNTIFS(الإدخال!$A$5:$A$644,S$5,الإدخال!$B$5:$B$644,$C$3,الإدخال!$F$5:$F$644,"غائب")</f>
        <v>0</v>
      </c>
      <c r="T34" s="79">
        <f>COUNTIFS(الإدخال!$B$5:$B$644,$C$3,الإدخال!$F$5:$F$644,"غائب")</f>
        <v>4</v>
      </c>
      <c r="U34" s="36"/>
      <c r="V34" s="2"/>
      <c r="W34" s="2"/>
      <c r="X34" s="2"/>
      <c r="Y34" s="2"/>
      <c r="Z34" s="2"/>
      <c r="AA34" s="2"/>
      <c r="AB34" s="2"/>
      <c r="AC34" s="2"/>
    </row>
    <row r="35" spans="1:29">
      <c r="A35" s="165" t="s">
        <v>128</v>
      </c>
      <c r="B35" s="165"/>
      <c r="C35" s="165"/>
      <c r="D35" s="78">
        <f>COUNTIFS(الإدخال!$A$5:$A$644,D$5,الإدخال!$B$5:$B$644,$C$3,الإدخال!$F$5:$F$644,"معتذر")</f>
        <v>4</v>
      </c>
      <c r="E35" s="78">
        <f>COUNTIFS(الإدخال!$A$5:$A$644,E$5,الإدخال!$B$5:$B$644,$C$3,الإدخال!$F$5:$F$644,"معتذر")</f>
        <v>0</v>
      </c>
      <c r="F35" s="78">
        <f>COUNTIFS(الإدخال!$A$5:$A$644,F$5,الإدخال!$B$5:$B$644,$C$3,الإدخال!$F$5:$F$644,"معتذر")</f>
        <v>0</v>
      </c>
      <c r="G35" s="78">
        <f>COUNTIFS(الإدخال!$A$5:$A$644,G$5,الإدخال!$B$5:$B$644,$C$3,الإدخال!$F$5:$F$644,"معتذر")</f>
        <v>0</v>
      </c>
      <c r="H35" s="78">
        <f>COUNTIFS(الإدخال!$A$5:$A$644,H$5,الإدخال!$B$5:$B$644,$C$3,الإدخال!$F$5:$F$644,"معتذر")</f>
        <v>0</v>
      </c>
      <c r="I35" s="78">
        <f>COUNTIFS(الإدخال!$A$5:$A$644,I$5,الإدخال!$B$5:$B$644,$C$3,الإدخال!$F$5:$F$644,"معتذر")</f>
        <v>0</v>
      </c>
      <c r="J35" s="78">
        <f>COUNTIFS(الإدخال!$A$5:$A$644,J$5,الإدخال!$B$5:$B$644,$C$3,الإدخال!$F$5:$F$644,"معتذر")</f>
        <v>0</v>
      </c>
      <c r="K35" s="78">
        <f>COUNTIFS(الإدخال!$A$5:$A$644,K$5,الإدخال!$B$5:$B$644,$C$3,الإدخال!$F$5:$F$644,"معتذر")</f>
        <v>0</v>
      </c>
      <c r="L35" s="78">
        <f>COUNTIFS(الإدخال!$A$5:$A$644,L$5,الإدخال!$B$5:$B$644,$C$3,الإدخال!$F$5:$F$644,"معتذر")</f>
        <v>0</v>
      </c>
      <c r="M35" s="78">
        <f>COUNTIFS(الإدخال!$A$5:$A$644,M$5,الإدخال!$B$5:$B$644,$C$3,الإدخال!$F$5:$F$644,"معتذر")</f>
        <v>0</v>
      </c>
      <c r="N35" s="78">
        <f>COUNTIFS(الإدخال!$A$5:$A$644,N$5,الإدخال!$B$5:$B$644,$C$3,الإدخال!$F$5:$F$644,"معتذر")</f>
        <v>0</v>
      </c>
      <c r="O35" s="78">
        <f>COUNTIFS(الإدخال!$A$5:$A$644,O$5,الإدخال!$B$5:$B$644,$C$3,الإدخال!$F$5:$F$644,"معتذر")</f>
        <v>0</v>
      </c>
      <c r="P35" s="78">
        <f>COUNTIFS(الإدخال!$A$5:$A$644,P$5,الإدخال!$B$5:$B$644,$C$3,الإدخال!$F$5:$F$644,"معتذر")</f>
        <v>0</v>
      </c>
      <c r="Q35" s="78">
        <f>COUNTIFS(الإدخال!$A$5:$A$644,Q$5,الإدخال!$B$5:$B$644,$C$3,الإدخال!$F$5:$F$644,"معتذر")</f>
        <v>0</v>
      </c>
      <c r="R35" s="78">
        <f>COUNTIFS(الإدخال!$A$5:$A$644,R$5,الإدخال!$B$5:$B$644,$C$3,الإدخال!$F$5:$F$644,"معتذر")</f>
        <v>0</v>
      </c>
      <c r="S35" s="78">
        <f>COUNTIFS(الإدخال!$A$5:$A$644,S$5,الإدخال!$B$5:$B$644,$C$3,الإدخال!$F$5:$F$644,"معتذر")</f>
        <v>0</v>
      </c>
      <c r="T35" s="79">
        <f>COUNTIFS(الإدخال!$B$5:$B$644,$C$3,الإدخال!$F$5:$F$644,"معتذر")</f>
        <v>4</v>
      </c>
      <c r="U35" s="36"/>
      <c r="V35" s="2"/>
      <c r="W35" s="2"/>
      <c r="X35" s="2"/>
      <c r="Y35" s="2"/>
      <c r="Z35" s="2"/>
      <c r="AA35" s="2"/>
      <c r="AB35" s="2"/>
      <c r="AC35" s="2"/>
    </row>
    <row r="36" spans="1:29">
      <c r="A36" s="165" t="s">
        <v>40</v>
      </c>
      <c r="B36" s="165"/>
      <c r="C36" s="165"/>
      <c r="D36" s="76">
        <f>IFERROR(SUMIFS(الإدخال!$N$5:$N$644,الإدخال!$A$5:$A$644,D$5,الإدخال!$B$5:$B$644,$C$3)/COUNTIFS(الإدخال!$A$5:$A$644,D$5,الإدخال!$B$5:$B$644,$C$3,الإدخال!$F$5:$F$644,"&lt;&gt;"),"")</f>
        <v>0.75</v>
      </c>
      <c r="E36" s="76">
        <f>IFERROR(SUMIFS(الإدخال!$N$5:$N$644,الإدخال!$A$5:$A$644,E$5,الإدخال!$B$5:$B$644,$C$3)/COUNTIFS(الإدخال!$A$5:$A$644,E$5,الإدخال!$B$5:$B$644,$C$3,الإدخال!$F$5:$F$644,"&lt;&gt;"),"")</f>
        <v>0.75</v>
      </c>
      <c r="F36" s="76" t="str">
        <f>IFERROR(SUMIFS(الإدخال!$N$5:$N$644,الإدخال!$A$5:$A$644,F$5,الإدخال!$B$5:$B$644,$C$3)/COUNTIFS(الإدخال!$A$5:$A$644,F$5,الإدخال!$B$5:$B$644,$C$3,الإدخال!$F$5:$F$644,"&lt;&gt;"),"")</f>
        <v/>
      </c>
      <c r="G36" s="76" t="str">
        <f>IFERROR(SUMIFS(الإدخال!$N$5:$N$644,الإدخال!$A$5:$A$644,G$5,الإدخال!$B$5:$B$644,$C$3)/COUNTIFS(الإدخال!$A$5:$A$644,G$5,الإدخال!$B$5:$B$644,$C$3,الإدخال!$F$5:$F$644,"&lt;&gt;"),"")</f>
        <v/>
      </c>
      <c r="H36" s="76" t="str">
        <f>IFERROR(SUMIFS(الإدخال!$N$5:$N$644,الإدخال!$A$5:$A$644,H$5,الإدخال!$B$5:$B$644,$C$3)/COUNTIFS(الإدخال!$A$5:$A$644,H$5,الإدخال!$B$5:$B$644,$C$3,الإدخال!$F$5:$F$644,"&lt;&gt;"),"")</f>
        <v/>
      </c>
      <c r="I36" s="76" t="str">
        <f>IFERROR(SUMIFS(الإدخال!$N$5:$N$644,الإدخال!$A$5:$A$644,I$5,الإدخال!$B$5:$B$644,$C$3)/COUNTIFS(الإدخال!$A$5:$A$644,I$5,الإدخال!$B$5:$B$644,$C$3,الإدخال!$F$5:$F$644,"&lt;&gt;"),"")</f>
        <v/>
      </c>
      <c r="J36" s="76" t="str">
        <f>IFERROR(SUMIFS(الإدخال!$N$5:$N$644,الإدخال!$A$5:$A$644,J$5,الإدخال!$B$5:$B$644,$C$3)/COUNTIFS(الإدخال!$A$5:$A$644,J$5,الإدخال!$B$5:$B$644,$C$3,الإدخال!$F$5:$F$644,"&lt;&gt;"),"")</f>
        <v/>
      </c>
      <c r="K36" s="76" t="str">
        <f>IFERROR(SUMIFS(الإدخال!$N$5:$N$644,الإدخال!$A$5:$A$644,K$5,الإدخال!$B$5:$B$644,$C$3)/COUNTIFS(الإدخال!$A$5:$A$644,K$5,الإدخال!$B$5:$B$644,$C$3,الإدخال!$F$5:$F$644,"&lt;&gt;"),"")</f>
        <v/>
      </c>
      <c r="L36" s="76" t="str">
        <f>IFERROR(SUMIFS(الإدخال!$N$5:$N$644,الإدخال!$A$5:$A$644,L$5,الإدخال!$B$5:$B$644,$C$3)/COUNTIFS(الإدخال!$A$5:$A$644,L$5,الإدخال!$B$5:$B$644,$C$3,الإدخال!$F$5:$F$644,"&lt;&gt;"),"")</f>
        <v/>
      </c>
      <c r="M36" s="76" t="str">
        <f>IFERROR(SUMIFS(الإدخال!$N$5:$N$644,الإدخال!$A$5:$A$644,M$5,الإدخال!$B$5:$B$644,$C$3)/COUNTIFS(الإدخال!$A$5:$A$644,M$5,الإدخال!$B$5:$B$644,$C$3,الإدخال!$F$5:$F$644,"&lt;&gt;"),"")</f>
        <v/>
      </c>
      <c r="N36" s="76" t="str">
        <f>IFERROR(SUMIFS(الإدخال!$N$5:$N$644,الإدخال!$A$5:$A$644,N$5,الإدخال!$B$5:$B$644,$C$3)/COUNTIFS(الإدخال!$A$5:$A$644,N$5,الإدخال!$B$5:$B$644,$C$3,الإدخال!$F$5:$F$644,"&lt;&gt;"),"")</f>
        <v/>
      </c>
      <c r="O36" s="76" t="str">
        <f>IFERROR(SUMIFS(الإدخال!$N$5:$N$644,الإدخال!$A$5:$A$644,O$5,الإدخال!$B$5:$B$644,$C$3)/COUNTIFS(الإدخال!$A$5:$A$644,O$5,الإدخال!$B$5:$B$644,$C$3,الإدخال!$F$5:$F$644,"&lt;&gt;"),"")</f>
        <v/>
      </c>
      <c r="P36" s="76" t="str">
        <f>IFERROR(SUMIFS(الإدخال!$N$5:$N$644,الإدخال!$A$5:$A$644,P$5,الإدخال!$B$5:$B$644,$C$3)/COUNTIFS(الإدخال!$A$5:$A$644,P$5,الإدخال!$B$5:$B$644,$C$3,الإدخال!$F$5:$F$644,"&lt;&gt;"),"")</f>
        <v/>
      </c>
      <c r="Q36" s="76" t="str">
        <f>IFERROR(SUMIFS(الإدخال!$N$5:$N$644,الإدخال!$A$5:$A$644,Q$5,الإدخال!$B$5:$B$644,$C$3)/COUNTIFS(الإدخال!$A$5:$A$644,Q$5,الإدخال!$B$5:$B$644,$C$3,الإدخال!$F$5:$F$644,"&lt;&gt;"),"")</f>
        <v/>
      </c>
      <c r="R36" s="76" t="str">
        <f>IFERROR(SUMIFS(الإدخال!$N$5:$N$644,الإدخال!$A$5:$A$644,R$5,الإدخال!$B$5:$B$644,$C$3)/COUNTIFS(الإدخال!$A$5:$A$644,R$5,الإدخال!$B$5:$B$644,$C$3,الإدخال!$F$5:$F$644,"&lt;&gt;"),"")</f>
        <v/>
      </c>
      <c r="S36" s="76" t="str">
        <f>IFERROR(SUMIFS(الإدخال!$N$5:$N$644,الإدخال!$A$5:$A$644,S$5,الإدخال!$B$5:$B$644,$C$3)/COUNTIFS(الإدخال!$A$5:$A$644,S$5,الإدخال!$B$5:$B$644,$C$3,الإدخال!$F$5:$F$644,"&lt;&gt;"),"")</f>
        <v/>
      </c>
      <c r="T36" s="77">
        <f>IFERROR(SUMIFS(الإدخال!$N$5:$N$644,الإدخال!$B$5:$B$644,$C$3)/COUNTIFS(الإدخال!$B$5:$B$644,$C$3,الإدخال!$F$5:$F$644,"&lt;&gt;"),"")</f>
        <v>0.75</v>
      </c>
      <c r="U36" s="36"/>
      <c r="V36" s="2"/>
      <c r="W36" s="2"/>
      <c r="X36" s="2"/>
      <c r="Y36" s="2"/>
      <c r="Z36" s="2"/>
      <c r="AA36" s="2"/>
      <c r="AB36" s="2"/>
      <c r="AC36" s="2"/>
    </row>
    <row r="37" spans="1:29">
      <c r="A37" s="165" t="s">
        <v>61</v>
      </c>
      <c r="B37" s="165"/>
      <c r="C37" s="165"/>
      <c r="D37" s="82">
        <f>SUMIFS(الإدخال!$H$5:$H$644,الإدخال!$A$5:$A$644,D$5,الإدخال!$B$5:$B$644,$C$3,الإدخال!$N$5:$N$644,1)</f>
        <v>40</v>
      </c>
      <c r="E37" s="82">
        <f>SUMIFS(الإدخال!$H$5:$H$644,الإدخال!$A$5:$A$644,E$5,الإدخال!$B$5:$B$644,$C$3,الإدخال!$N$5:$N$644,1)</f>
        <v>33</v>
      </c>
      <c r="F37" s="82">
        <f>SUMIFS(الإدخال!$H$5:$H$644,الإدخال!$A$5:$A$644,F$5,الإدخال!$B$5:$B$644,$C$3,الإدخال!$N$5:$N$644,1)</f>
        <v>0</v>
      </c>
      <c r="G37" s="82">
        <f>SUMIFS(الإدخال!$H$5:$H$644,الإدخال!$A$5:$A$644,G$5,الإدخال!$B$5:$B$644,$C$3,الإدخال!$N$5:$N$644,1)</f>
        <v>0</v>
      </c>
      <c r="H37" s="82">
        <f>SUMIFS(الإدخال!$H$5:$H$644,الإدخال!$A$5:$A$644,H$5,الإدخال!$B$5:$B$644,$C$3,الإدخال!$N$5:$N$644,1)</f>
        <v>0</v>
      </c>
      <c r="I37" s="82">
        <f>SUMIFS(الإدخال!$H$5:$H$644,الإدخال!$A$5:$A$644,I$5,الإدخال!$B$5:$B$644,$C$3,الإدخال!$N$5:$N$644,1)</f>
        <v>0</v>
      </c>
      <c r="J37" s="82">
        <f>SUMIFS(الإدخال!$H$5:$H$644,الإدخال!$A$5:$A$644,J$5,الإدخال!$B$5:$B$644,$C$3,الإدخال!$N$5:$N$644,1)</f>
        <v>0</v>
      </c>
      <c r="K37" s="82">
        <f>SUMIFS(الإدخال!$H$5:$H$644,الإدخال!$A$5:$A$644,K$5,الإدخال!$B$5:$B$644,$C$3,الإدخال!$N$5:$N$644,1)</f>
        <v>0</v>
      </c>
      <c r="L37" s="82">
        <f>SUMIFS(الإدخال!$H$5:$H$644,الإدخال!$A$5:$A$644,L$5,الإدخال!$B$5:$B$644,$C$3,الإدخال!$N$5:$N$644,1)</f>
        <v>0</v>
      </c>
      <c r="M37" s="82">
        <f>SUMIFS(الإدخال!$H$5:$H$644,الإدخال!$A$5:$A$644,M$5,الإدخال!$B$5:$B$644,$C$3,الإدخال!$N$5:$N$644,1)</f>
        <v>0</v>
      </c>
      <c r="N37" s="82">
        <f>SUMIFS(الإدخال!$H$5:$H$644,الإدخال!$A$5:$A$644,N$5,الإدخال!$B$5:$B$644,$C$3,الإدخال!$N$5:$N$644,1)</f>
        <v>0</v>
      </c>
      <c r="O37" s="82">
        <f>SUMIFS(الإدخال!$H$5:$H$644,الإدخال!$A$5:$A$644,O$5,الإدخال!$B$5:$B$644,$C$3,الإدخال!$N$5:$N$644,1)</f>
        <v>0</v>
      </c>
      <c r="P37" s="82">
        <f>SUMIFS(الإدخال!$H$5:$H$644,الإدخال!$A$5:$A$644,P$5,الإدخال!$B$5:$B$644,$C$3,الإدخال!$N$5:$N$644,1)</f>
        <v>0</v>
      </c>
      <c r="Q37" s="82">
        <f>SUMIFS(الإدخال!$H$5:$H$644,الإدخال!$A$5:$A$644,Q$5,الإدخال!$B$5:$B$644,$C$3,الإدخال!$N$5:$N$644,1)</f>
        <v>0</v>
      </c>
      <c r="R37" s="82">
        <f>SUMIFS(الإدخال!$H$5:$H$644,الإدخال!$A$5:$A$644,R$5,الإدخال!$B$5:$B$644,$C$3,الإدخال!$N$5:$N$644,1)</f>
        <v>0</v>
      </c>
      <c r="S37" s="82">
        <f>SUMIFS(الإدخال!$H$5:$H$644,الإدخال!$A$5:$A$644,S$5,الإدخال!$B$5:$B$644,$C$3,الإدخال!$N$5:$N$644,1)</f>
        <v>0</v>
      </c>
      <c r="T37" s="83">
        <f>SUMIFS(الإدخال!$H$5:$H$644,الإدخال!$B$5:$B$644,$C$3,الإدخال!$N$5:$N$644,1)</f>
        <v>73</v>
      </c>
      <c r="U37" s="36"/>
      <c r="V37" s="2"/>
      <c r="W37" s="2"/>
      <c r="X37" s="2"/>
      <c r="Y37" s="2"/>
      <c r="Z37" s="2"/>
      <c r="AA37" s="2"/>
      <c r="AB37" s="2"/>
      <c r="AC37" s="2"/>
    </row>
    <row r="38" spans="1:29">
      <c r="A38" s="165" t="s">
        <v>62</v>
      </c>
      <c r="B38" s="165"/>
      <c r="C38" s="165"/>
      <c r="D38" s="82">
        <f>SUMIFS(الإدخال!$I$5:$I$644,الإدخال!$A$5:$A$644,D$5,الإدخال!$B$5:$B$644,$C$3,الإدخال!$N$5:$N$644,1)</f>
        <v>250</v>
      </c>
      <c r="E38" s="82">
        <f>SUMIFS(الإدخال!$I$5:$I$644,الإدخال!$A$5:$A$644,E$5,الإدخال!$B$5:$B$644,$C$3,الإدخال!$N$5:$N$644,1)</f>
        <v>248</v>
      </c>
      <c r="F38" s="82">
        <f>SUMIFS(الإدخال!$I$5:$I$644,الإدخال!$A$5:$A$644,F$5,الإدخال!$B$5:$B$644,$C$3,الإدخال!$N$5:$N$644,1)</f>
        <v>0</v>
      </c>
      <c r="G38" s="82">
        <f>SUMIFS(الإدخال!$I$5:$I$644,الإدخال!$A$5:$A$644,G$5,الإدخال!$B$5:$B$644,$C$3,الإدخال!$N$5:$N$644,1)</f>
        <v>0</v>
      </c>
      <c r="H38" s="82">
        <f>SUMIFS(الإدخال!$I$5:$I$644,الإدخال!$A$5:$A$644,H$5,الإدخال!$B$5:$B$644,$C$3,الإدخال!$N$5:$N$644,1)</f>
        <v>0</v>
      </c>
      <c r="I38" s="82">
        <f>SUMIFS(الإدخال!$I$5:$I$644,الإدخال!$A$5:$A$644,I$5,الإدخال!$B$5:$B$644,$C$3,الإدخال!$N$5:$N$644,1)</f>
        <v>0</v>
      </c>
      <c r="J38" s="82">
        <f>SUMIFS(الإدخال!$I$5:$I$644,الإدخال!$A$5:$A$644,J$5,الإدخال!$B$5:$B$644,$C$3,الإدخال!$N$5:$N$644,1)</f>
        <v>0</v>
      </c>
      <c r="K38" s="82">
        <f>SUMIFS(الإدخال!$I$5:$I$644,الإدخال!$A$5:$A$644,K$5,الإدخال!$B$5:$B$644,$C$3,الإدخال!$N$5:$N$644,1)</f>
        <v>0</v>
      </c>
      <c r="L38" s="82">
        <f>SUMIFS(الإدخال!$I$5:$I$644,الإدخال!$A$5:$A$644,L$5,الإدخال!$B$5:$B$644,$C$3,الإدخال!$N$5:$N$644,1)</f>
        <v>0</v>
      </c>
      <c r="M38" s="82">
        <f>SUMIFS(الإدخال!$I$5:$I$644,الإدخال!$A$5:$A$644,M$5,الإدخال!$B$5:$B$644,$C$3,الإدخال!$N$5:$N$644,1)</f>
        <v>0</v>
      </c>
      <c r="N38" s="82">
        <f>SUMIFS(الإدخال!$I$5:$I$644,الإدخال!$A$5:$A$644,N$5,الإدخال!$B$5:$B$644,$C$3,الإدخال!$N$5:$N$644,1)</f>
        <v>0</v>
      </c>
      <c r="O38" s="82">
        <f>SUMIFS(الإدخال!$I$5:$I$644,الإدخال!$A$5:$A$644,O$5,الإدخال!$B$5:$B$644,$C$3,الإدخال!$N$5:$N$644,1)</f>
        <v>0</v>
      </c>
      <c r="P38" s="82">
        <f>SUMIFS(الإدخال!$I$5:$I$644,الإدخال!$A$5:$A$644,P$5,الإدخال!$B$5:$B$644,$C$3,الإدخال!$N$5:$N$644,1)</f>
        <v>0</v>
      </c>
      <c r="Q38" s="82">
        <f>SUMIFS(الإدخال!$I$5:$I$644,الإدخال!$A$5:$A$644,Q$5,الإدخال!$B$5:$B$644,$C$3,الإدخال!$N$5:$N$644,1)</f>
        <v>0</v>
      </c>
      <c r="R38" s="82">
        <f>SUMIFS(الإدخال!$I$5:$I$644,الإدخال!$A$5:$A$644,R$5,الإدخال!$B$5:$B$644,$C$3,الإدخال!$N$5:$N$644,1)</f>
        <v>0</v>
      </c>
      <c r="S38" s="82">
        <f>SUMIFS(الإدخال!$I$5:$I$644,الإدخال!$A$5:$A$644,S$5,الإدخال!$B$5:$B$644,$C$3,الإدخال!$N$5:$N$644,1)</f>
        <v>0</v>
      </c>
      <c r="T38" s="83">
        <f>SUMIFS(الإدخال!$I$5:$I$644,الإدخال!$B$5:$B$644,$C$3,الإدخال!$N$5:$N$644,1)</f>
        <v>498</v>
      </c>
      <c r="U38" s="36"/>
      <c r="V38" s="2"/>
      <c r="W38" s="2"/>
      <c r="X38" s="2"/>
      <c r="Y38" s="2"/>
      <c r="Z38" s="2"/>
      <c r="AA38" s="2"/>
      <c r="AB38" s="2"/>
      <c r="AC38" s="2"/>
    </row>
    <row r="39" spans="1:29">
      <c r="A39" s="166" t="s">
        <v>63</v>
      </c>
      <c r="B39" s="166"/>
      <c r="C39" s="166"/>
      <c r="D39" s="80">
        <f>SUMIFS(الإدخال!$J$5:$J$644,الإدخال!$A$5:$A$644,D$5,الإدخال!$B$5:$B$644,$C$3,الإدخال!$N$5:$N$644,1)</f>
        <v>0</v>
      </c>
      <c r="E39" s="80">
        <f>SUMIFS(الإدخال!$J$5:$J$644,الإدخال!$A$5:$A$644,E$5,الإدخال!$B$5:$B$644,$C$3,الإدخال!$N$5:$N$644,1)</f>
        <v>0</v>
      </c>
      <c r="F39" s="80">
        <f>SUMIFS(الإدخال!$J$5:$J$644,الإدخال!$A$5:$A$644,F$5,الإدخال!$B$5:$B$644,$C$3,الإدخال!$N$5:$N$644,1)</f>
        <v>0</v>
      </c>
      <c r="G39" s="80">
        <f>SUMIFS(الإدخال!$J$5:$J$644,الإدخال!$A$5:$A$644,G$5,الإدخال!$B$5:$B$644,$C$3,الإدخال!$N$5:$N$644,1)</f>
        <v>0</v>
      </c>
      <c r="H39" s="80">
        <f>SUMIFS(الإدخال!$J$5:$J$644,الإدخال!$A$5:$A$644,H$5,الإدخال!$B$5:$B$644,$C$3,الإدخال!$N$5:$N$644,1)</f>
        <v>0</v>
      </c>
      <c r="I39" s="80">
        <f>SUMIFS(الإدخال!$J$5:$J$644,الإدخال!$A$5:$A$644,I$5,الإدخال!$B$5:$B$644,$C$3,الإدخال!$N$5:$N$644,1)</f>
        <v>0</v>
      </c>
      <c r="J39" s="80">
        <f>SUMIFS(الإدخال!$J$5:$J$644,الإدخال!$A$5:$A$644,J$5,الإدخال!$B$5:$B$644,$C$3,الإدخال!$N$5:$N$644,1)</f>
        <v>0</v>
      </c>
      <c r="K39" s="80">
        <f>SUMIFS(الإدخال!$J$5:$J$644,الإدخال!$A$5:$A$644,K$5,الإدخال!$B$5:$B$644,$C$3,الإدخال!$N$5:$N$644,1)</f>
        <v>0</v>
      </c>
      <c r="L39" s="80">
        <f>SUMIFS(الإدخال!$J$5:$J$644,الإدخال!$A$5:$A$644,L$5,الإدخال!$B$5:$B$644,$C$3,الإدخال!$N$5:$N$644,1)</f>
        <v>0</v>
      </c>
      <c r="M39" s="80">
        <f>SUMIFS(الإدخال!$J$5:$J$644,الإدخال!$A$5:$A$644,M$5,الإدخال!$B$5:$B$644,$C$3,الإدخال!$N$5:$N$644,1)</f>
        <v>0</v>
      </c>
      <c r="N39" s="80">
        <f>SUMIFS(الإدخال!$J$5:$J$644,الإدخال!$A$5:$A$644,N$5,الإدخال!$B$5:$B$644,$C$3,الإدخال!$N$5:$N$644,1)</f>
        <v>0</v>
      </c>
      <c r="O39" s="80">
        <f>SUMIFS(الإدخال!$J$5:$J$644,الإدخال!$A$5:$A$644,O$5,الإدخال!$B$5:$B$644,$C$3,الإدخال!$N$5:$N$644,1)</f>
        <v>0</v>
      </c>
      <c r="P39" s="80">
        <f>SUMIFS(الإدخال!$J$5:$J$644,الإدخال!$A$5:$A$644,P$5,الإدخال!$B$5:$B$644,$C$3,الإدخال!$N$5:$N$644,1)</f>
        <v>0</v>
      </c>
      <c r="Q39" s="80">
        <f>SUMIFS(الإدخال!$J$5:$J$644,الإدخال!$A$5:$A$644,Q$5,الإدخال!$B$5:$B$644,$C$3,الإدخال!$N$5:$N$644,1)</f>
        <v>0</v>
      </c>
      <c r="R39" s="80">
        <f>SUMIFS(الإدخال!$J$5:$J$644,الإدخال!$A$5:$A$644,R$5,الإدخال!$B$5:$B$644,$C$3,الإدخال!$N$5:$N$644,1)</f>
        <v>0</v>
      </c>
      <c r="S39" s="80">
        <f>SUMIFS(الإدخال!$J$5:$J$644,الإدخال!$A$5:$A$644,S$5,الإدخال!$B$5:$B$644,$C$3,الإدخال!$N$5:$N$644,1)</f>
        <v>0</v>
      </c>
      <c r="T39" s="81">
        <f>SUMIFS(الإدخال!$J$5:$J$644,الإدخال!$B$5:$B$644,$C$3,الإدخال!$N$5:$N$644,1)</f>
        <v>0</v>
      </c>
      <c r="U39" s="36"/>
      <c r="V39" s="2"/>
      <c r="W39" s="2"/>
      <c r="X39" s="2"/>
      <c r="Y39" s="2"/>
      <c r="Z39" s="2"/>
      <c r="AA39" s="2"/>
      <c r="AB39" s="2"/>
      <c r="AC39" s="2"/>
    </row>
  </sheetData>
  <sheetProtection algorithmName="SHA-512" hashValue="2EOxzFglfXAq42E4YB9bgDNRrrVBCa9xxHDLFXP1haOOwqvgHMy21/EVKRgC1MdJqVe5DJemqzH6aBckcdCS0w==" saltValue="GZTVN8I4EznsOiMsgH8+/A==" spinCount="100000" sheet="1" objects="1" scenarios="1"/>
  <mergeCells count="9">
    <mergeCell ref="A36:C36"/>
    <mergeCell ref="A37:C37"/>
    <mergeCell ref="A38:C38"/>
    <mergeCell ref="A39:C39"/>
    <mergeCell ref="A31:C31"/>
    <mergeCell ref="A32:C32"/>
    <mergeCell ref="A33:C33"/>
    <mergeCell ref="A34:C34"/>
    <mergeCell ref="A35:C35"/>
  </mergeCells>
  <conditionalFormatting sqref="D6:S29">
    <cfRule type="expression" dxfId="13" priority="4">
      <formula>D6="غ"</formula>
    </cfRule>
    <cfRule type="expression" dxfId="12" priority="5">
      <formula>D6="ع"</formula>
    </cfRule>
  </conditionalFormatting>
  <conditionalFormatting sqref="D6:T29">
    <cfRule type="colorScale" priority="2">
      <colorScale>
        <cfvo type="num" val="0.5"/>
        <cfvo type="num" val="0.75"/>
        <cfvo type="num" val="1"/>
        <color rgb="FFF7DBD8"/>
        <color rgb="FFF9EACB"/>
        <color rgb="FFCFE0D2"/>
      </colorScale>
    </cfRule>
  </conditionalFormatting>
  <conditionalFormatting sqref="D31:T31">
    <cfRule type="colorScale" priority="3">
      <colorScale>
        <cfvo type="num" val="0.5"/>
        <cfvo type="num" val="0.75"/>
        <cfvo type="num" val="1"/>
        <color rgb="FFF7DBD8"/>
        <color rgb="FFF9EACB"/>
        <color rgb="FFCFE0D2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ورقة7">
    <pageSetUpPr fitToPage="1"/>
  </sheetPr>
  <dimension ref="A1:L22"/>
  <sheetViews>
    <sheetView showGridLines="0" rightToLeft="1" zoomScaleNormal="100" workbookViewId="0">
      <selection activeCell="C4" sqref="C4"/>
    </sheetView>
  </sheetViews>
  <sheetFormatPr defaultColWidth="8.7109375" defaultRowHeight="15"/>
  <cols>
    <col min="1" max="1" width="3" customWidth="1"/>
    <col min="2" max="2" width="10" customWidth="1"/>
    <col min="3" max="3" width="26" customWidth="1"/>
    <col min="4" max="4" width="16" customWidth="1"/>
    <col min="5" max="5" width="12" customWidth="1"/>
    <col min="6" max="6" width="14" customWidth="1"/>
    <col min="7" max="8" width="12" customWidth="1"/>
    <col min="9" max="9" width="14" customWidth="1"/>
    <col min="10" max="10" width="12" customWidth="1"/>
    <col min="12" max="12" width="13" hidden="1" customWidth="1"/>
  </cols>
  <sheetData>
    <row r="1" spans="1:12" ht="30" customHeight="1">
      <c r="A1" s="4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5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.95">
      <c r="A3" s="2"/>
      <c r="B3" s="90" t="s">
        <v>131</v>
      </c>
      <c r="C3" s="163">
        <v>2</v>
      </c>
      <c r="D3" s="61" t="str">
        <f>IF(الإعدادات!$C$4="","","تاريخ الجلسة: "&amp;TEXT(الإعدادات!$C$4+(C3-1)*7,"yyyy/mm/dd"))</f>
        <v/>
      </c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8">
      <c r="A5" s="2"/>
      <c r="B5" s="91" t="str">
        <f>الإعدادات!$C$8</f>
        <v>المقرأة الأولى</v>
      </c>
      <c r="C5" s="2"/>
      <c r="D5" s="2"/>
      <c r="E5" s="61" t="s">
        <v>132</v>
      </c>
      <c r="F5" s="2"/>
      <c r="G5" s="92">
        <f>IFERROR(SUMIFS(الإدخال!$O$5:$O$644,الإدخال!$A$5:$A$644,$C$3,الإدخال!$B$5:$B$644,الإعدادات!$C$8)/SUMIFS(الإدخال!$P$5:$P$644,الإدخال!$A$5:$A$644,$C$3,الإدخال!$B$5:$B$644,الإعدادات!$C$8)/100,"")</f>
        <v>0.77142857142857135</v>
      </c>
      <c r="H5" s="2"/>
      <c r="I5" s="2"/>
      <c r="J5" s="2"/>
      <c r="K5" s="2"/>
      <c r="L5" s="2"/>
    </row>
    <row r="6" spans="1:12" ht="31.5" customHeight="1">
      <c r="A6" s="2"/>
      <c r="B6" s="13" t="s">
        <v>133</v>
      </c>
      <c r="C6" s="141" t="s">
        <v>58</v>
      </c>
      <c r="D6" s="15" t="s">
        <v>12</v>
      </c>
      <c r="E6" s="13" t="s">
        <v>59</v>
      </c>
      <c r="F6" s="141" t="s">
        <v>38</v>
      </c>
      <c r="G6" s="13" t="s">
        <v>44</v>
      </c>
      <c r="H6" s="141" t="s">
        <v>61</v>
      </c>
      <c r="I6" s="15" t="s">
        <v>62</v>
      </c>
      <c r="J6" s="15" t="s">
        <v>63</v>
      </c>
      <c r="K6" s="36"/>
      <c r="L6" s="2"/>
    </row>
    <row r="7" spans="1:12" ht="27.95">
      <c r="A7" s="2"/>
      <c r="B7" s="143">
        <v>1</v>
      </c>
      <c r="C7" s="93" t="str">
        <f>IF($L7="","",INDEX(الإدخال!$E$5:$E$644,$L7))</f>
        <v>عبدالله الحفير</v>
      </c>
      <c r="D7" s="94" t="str">
        <f>IF($L7="","",INDEX(الإدخال!$C$5:$C$644,$L7))</f>
        <v xml:space="preserve">عبدالرحمن بن النعمان </v>
      </c>
      <c r="E7" s="144" t="str">
        <f>IF($L7="","",INDEX(الإدخال!$F$5:$F$644,$L7))</f>
        <v>حاضر</v>
      </c>
      <c r="F7" s="77">
        <f>IF($L7="","",INDEX(الإدخال!$G$5:$G$644,$L7)/100)</f>
        <v>1</v>
      </c>
      <c r="G7" s="144" t="str">
        <f>IF(F7="","",IF(F7&gt;=0.9,"ممتاز",IF(F7&gt;=0.8,"جيد جدًا",IF(F7&gt;=0.7,"جيد",IF(F7&gt;=0.6,"مقبول","يحتاج متابعة")))))</f>
        <v>ممتاز</v>
      </c>
      <c r="H7" s="95">
        <f>IF($L7="","",INDEX(الإدخال!$H$5:$H$644,$L7))</f>
        <v>4</v>
      </c>
      <c r="I7" s="95">
        <f>IF($L7="","",INDEX(الإدخال!$I$5:$I$644,$L7))</f>
        <v>28</v>
      </c>
      <c r="J7" s="95">
        <f>IF($L7="","",INDEX(الإدخال!$J$5:$J$644,$L7))</f>
        <v>0</v>
      </c>
      <c r="K7" s="36"/>
      <c r="L7" s="2">
        <f>IFERROR(IF(LARGE(الإدخال!$L$5:$L$644,1)&gt;0,MATCH(LARGE(الإدخال!$L$5:$L$644,1),الإدخال!$L$5:$L$644,0),""),"")</f>
        <v>44</v>
      </c>
    </row>
    <row r="8" spans="1:12" ht="27.95">
      <c r="A8" s="2"/>
      <c r="B8" s="96">
        <v>2</v>
      </c>
      <c r="C8" s="74" t="str">
        <f>IF($L8="","",INDEX(الإدخال!$E$5:$E$644,$L8))</f>
        <v xml:space="preserve">فهد المشيقح </v>
      </c>
      <c r="D8" s="72" t="str">
        <f>IF($L8="","",INDEX(الإدخال!$C$5:$C$644,$L8))</f>
        <v xml:space="preserve">عبدالرحمن بن النعمان </v>
      </c>
      <c r="E8" s="72" t="str">
        <f>IF($L8="","",INDEX(الإدخال!$F$5:$F$644,$L8))</f>
        <v>حاضر</v>
      </c>
      <c r="F8" s="71">
        <f>IF($L8="","",INDEX(الإدخال!$G$5:$G$644,$L8)/100)</f>
        <v>0.99</v>
      </c>
      <c r="G8" s="72" t="str">
        <f>IF(F8="","",IF(F8&gt;=0.9,"ممتاز",IF(F8&gt;=0.8,"جيد جدًا",IF(F8&gt;=0.7,"جيد",IF(F8&gt;=0.6,"مقبول","يحتاج متابعة")))))</f>
        <v>ممتاز</v>
      </c>
      <c r="H8" s="73">
        <f>IF($L8="","",INDEX(الإدخال!$H$5:$H$644,$L8))</f>
        <v>4</v>
      </c>
      <c r="I8" s="73">
        <f>IF($L8="","",INDEX(الإدخال!$I$5:$I$644,$L8))</f>
        <v>30</v>
      </c>
      <c r="J8" s="73">
        <f>IF($L8="","",INDEX(الإدخال!$J$5:$J$644,$L8))</f>
        <v>0</v>
      </c>
      <c r="K8" s="36"/>
      <c r="L8" s="2">
        <f>IFERROR(IF(LARGE(الإدخال!$L$5:$L$644,2)&gt;0,MATCH(LARGE(الإدخال!$L$5:$L$644,2),الإدخال!$L$5:$L$644,0),""),"")</f>
        <v>43</v>
      </c>
    </row>
    <row r="9" spans="1:12">
      <c r="A9" s="2"/>
      <c r="B9" s="96">
        <v>3</v>
      </c>
      <c r="C9" s="74" t="str">
        <f>IF($L9="","",INDEX(الإدخال!$E$5:$E$644,$L9))</f>
        <v xml:space="preserve">كنان الجريفاني </v>
      </c>
      <c r="D9" s="72" t="str">
        <f>IF($L9="","",INDEX(الإدخال!$C$5:$C$644,$L9))</f>
        <v xml:space="preserve">حسان بن ثابت </v>
      </c>
      <c r="E9" s="72" t="str">
        <f>IF($L9="","",INDEX(الإدخال!$F$5:$F$644,$L9))</f>
        <v>حاضر</v>
      </c>
      <c r="F9" s="71">
        <f>IF($L9="","",INDEX(الإدخال!$G$5:$G$644,$L9)/100)</f>
        <v>0.99</v>
      </c>
      <c r="G9" s="72" t="str">
        <f>IF(F9="","",IF(F9&gt;=0.9,"ممتاز",IF(F9&gt;=0.8,"جيد جدًا",IF(F9&gt;=0.7,"جيد",IF(F9&gt;=0.6,"مقبول","يحتاج متابعة")))))</f>
        <v>ممتاز</v>
      </c>
      <c r="H9" s="73">
        <f>IF($L9="","",INDEX(الإدخال!$H$5:$H$644,$L9))</f>
        <v>3</v>
      </c>
      <c r="I9" s="73">
        <f>IF($L9="","",INDEX(الإدخال!$I$5:$I$644,$L9))</f>
        <v>17</v>
      </c>
      <c r="J9" s="73">
        <f>IF($L9="","",INDEX(الإدخال!$J$5:$J$644,$L9))</f>
        <v>0</v>
      </c>
      <c r="K9" s="36"/>
      <c r="L9" s="2">
        <f>IFERROR(IF(LARGE(الإدخال!$L$5:$L$644,3)&gt;0,MATCH(LARGE(الإدخال!$L$5:$L$644,3),الإدخال!$L$5:$L$644,0),""),"")</f>
        <v>51</v>
      </c>
    </row>
    <row r="10" spans="1:12">
      <c r="A10" s="2"/>
      <c r="B10" s="96">
        <v>4</v>
      </c>
      <c r="C10" s="74" t="str">
        <f>IF($L10="","",INDEX(الإدخال!$E$5:$E$644,$L10))</f>
        <v xml:space="preserve">محمد الثنيان </v>
      </c>
      <c r="D10" s="72" t="str">
        <f>IF($L10="","",INDEX(الإدخال!$C$5:$C$644,$L10))</f>
        <v xml:space="preserve">حسان بن ثابت </v>
      </c>
      <c r="E10" s="72" t="str">
        <f>IF($L10="","",INDEX(الإدخال!$F$5:$F$644,$L10))</f>
        <v>حاضر</v>
      </c>
      <c r="F10" s="71">
        <f>IF($L10="","",INDEX(الإدخال!$G$5:$G$644,$L10)/100)</f>
        <v>0.99</v>
      </c>
      <c r="G10" s="72" t="str">
        <f>IF(F10="","",IF(F10&gt;=0.9,"ممتاز",IF(F10&gt;=0.8,"جيد جدًا",IF(F10&gt;=0.7,"جيد",IF(F10&gt;=0.6,"مقبول","يحتاج متابعة")))))</f>
        <v>ممتاز</v>
      </c>
      <c r="H10" s="73">
        <f>IF($L10="","",INDEX(الإدخال!$H$5:$H$644,$L10))</f>
        <v>3</v>
      </c>
      <c r="I10" s="73">
        <f>IF($L10="","",INDEX(الإدخال!$I$5:$I$644,$L10))</f>
        <v>8</v>
      </c>
      <c r="J10" s="73">
        <f>IF($L10="","",INDEX(الإدخال!$J$5:$J$644,$L10))</f>
        <v>0</v>
      </c>
      <c r="K10" s="36"/>
      <c r="L10" s="2">
        <f>IFERROR(IF(LARGE(الإدخال!$L$5:$L$644,4)&gt;0,MATCH(LARGE(الإدخال!$L$5:$L$644,4),الإدخال!$L$5:$L$644,0),""),"")</f>
        <v>50</v>
      </c>
    </row>
    <row r="11" spans="1:12">
      <c r="A11" s="2"/>
      <c r="B11" s="96">
        <v>5</v>
      </c>
      <c r="C11" s="74" t="str">
        <f>IF($L11="","",INDEX(الإدخال!$E$5:$E$644,$L11))</f>
        <v xml:space="preserve">فيصل الدخيل </v>
      </c>
      <c r="D11" s="72" t="str">
        <f>IF($L11="","",INDEX(الإدخال!$C$5:$C$644,$L11))</f>
        <v xml:space="preserve">حسان بن ثابت </v>
      </c>
      <c r="E11" s="72" t="str">
        <f>IF($L11="","",INDEX(الإدخال!$F$5:$F$644,$L11))</f>
        <v>حاضر</v>
      </c>
      <c r="F11" s="71">
        <f>IF($L11="","",INDEX(الإدخال!$G$5:$G$644,$L11)/100)</f>
        <v>0.94</v>
      </c>
      <c r="G11" s="72" t="str">
        <f>IF(F11="","",IF(F11&gt;=0.9,"ممتاز",IF(F11&gt;=0.8,"جيد جدًا",IF(F11&gt;=0.7,"جيد",IF(F11&gt;=0.6,"مقبول","يحتاج متابعة")))))</f>
        <v>ممتاز</v>
      </c>
      <c r="H11" s="73">
        <f>IF($L11="","",INDEX(الإدخال!$H$5:$H$644,$L11))</f>
        <v>4</v>
      </c>
      <c r="I11" s="73">
        <f>IF($L11="","",INDEX(الإدخال!$I$5:$I$644,$L11))</f>
        <v>10</v>
      </c>
      <c r="J11" s="73">
        <f>IF($L11="","",INDEX(الإدخال!$J$5:$J$644,$L11))</f>
        <v>0</v>
      </c>
      <c r="K11" s="36"/>
      <c r="L11" s="2">
        <f>IFERROR(IF(LARGE(الإدخال!$L$5:$L$644,5)&gt;0,MATCH(LARGE(الإدخال!$L$5:$L$644,5),الإدخال!$L$5:$L$644,0),""),"")</f>
        <v>58</v>
      </c>
    </row>
    <row r="12" spans="1:12">
      <c r="A12" s="2"/>
      <c r="B12" s="97" t="s">
        <v>134</v>
      </c>
      <c r="C12" s="12"/>
      <c r="D12" s="12"/>
      <c r="E12" s="12"/>
      <c r="F12" s="12"/>
      <c r="G12" s="12"/>
      <c r="H12" s="12"/>
      <c r="I12" s="12"/>
      <c r="J12" s="1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8">
      <c r="A15" s="2"/>
      <c r="B15" s="91" t="str">
        <f>الإعدادات!$C$9</f>
        <v>المقرأة الثانية</v>
      </c>
      <c r="C15" s="2"/>
      <c r="D15" s="2"/>
      <c r="E15" s="61" t="s">
        <v>132</v>
      </c>
      <c r="F15" s="2"/>
      <c r="G15" s="92">
        <f>IFERROR(SUMIFS(الإدخال!$O$5:$O$644,الإدخال!$A$5:$A$644,$C$3,الإدخال!$B$5:$B$644,الإعدادات!$C$9)/SUMIFS(الإدخال!$P$5:$P$644,الإدخال!$A$5:$A$644,$C$3,الإدخال!$B$5:$B$644,الإعدادات!$C$9)/100,"")</f>
        <v>0.57562500000000005</v>
      </c>
      <c r="H15" s="2"/>
      <c r="I15" s="2"/>
      <c r="J15" s="2"/>
      <c r="K15" s="2"/>
      <c r="L15" s="2"/>
    </row>
    <row r="16" spans="1:12" ht="31.5" customHeight="1">
      <c r="A16" s="2"/>
      <c r="B16" s="13" t="s">
        <v>133</v>
      </c>
      <c r="C16" s="141" t="s">
        <v>58</v>
      </c>
      <c r="D16" s="15" t="s">
        <v>12</v>
      </c>
      <c r="E16" s="13" t="s">
        <v>59</v>
      </c>
      <c r="F16" s="141" t="s">
        <v>38</v>
      </c>
      <c r="G16" s="13" t="s">
        <v>44</v>
      </c>
      <c r="H16" s="141" t="s">
        <v>61</v>
      </c>
      <c r="I16" s="15" t="s">
        <v>62</v>
      </c>
      <c r="J16" s="15" t="s">
        <v>63</v>
      </c>
      <c r="K16" s="36"/>
      <c r="L16" s="2"/>
    </row>
    <row r="17" spans="1:12">
      <c r="A17" s="2"/>
      <c r="B17" s="143">
        <v>1</v>
      </c>
      <c r="C17" s="93" t="str">
        <f>IF($L17="","",INDEX(الإدخال!$E$5:$E$644,$L17))</f>
        <v xml:space="preserve">عبدالعزيز الصقعبي </v>
      </c>
      <c r="D17" s="94" t="str">
        <f>IF($L17="","",INDEX(الإدخال!$C$5:$C$644,$L17))</f>
        <v xml:space="preserve">ابي بن مالك </v>
      </c>
      <c r="E17" s="144" t="str">
        <f>IF($L17="","",INDEX(الإدخال!$F$5:$F$644,$L17))</f>
        <v>حاضر</v>
      </c>
      <c r="F17" s="77">
        <f>IF($L17="","",INDEX(الإدخال!$G$5:$G$644,$L17)/100)</f>
        <v>0.97</v>
      </c>
      <c r="G17" s="144" t="str">
        <f>IF(F17="","",IF(F17&gt;=0.9,"ممتاز",IF(F17&gt;=0.8,"جيد جدًا",IF(F17&gt;=0.7,"جيد",IF(F17&gt;=0.6,"مقبول","يحتاج متابعة")))))</f>
        <v>ممتاز</v>
      </c>
      <c r="H17" s="95">
        <f>IF($L17="","",INDEX(الإدخال!$H$5:$H$644,$L17))</f>
        <v>5</v>
      </c>
      <c r="I17" s="95">
        <f>IF($L17="","",INDEX(الإدخال!$I$5:$I$644,$L17))</f>
        <v>40</v>
      </c>
      <c r="J17" s="95">
        <f>IF($L17="","",INDEX(الإدخال!$J$5:$J$644,$L17))</f>
        <v>0</v>
      </c>
      <c r="K17" s="36"/>
      <c r="L17" s="2">
        <f>IFERROR(IF(LARGE(الإدخال!$M$5:$M$644,1)&gt;0,MATCH(LARGE(الإدخال!$M$5:$M$644,1),الإدخال!$M$5:$M$644,0),""),"")</f>
        <v>68</v>
      </c>
    </row>
    <row r="18" spans="1:12">
      <c r="A18" s="2"/>
      <c r="B18" s="96">
        <v>2</v>
      </c>
      <c r="C18" s="74" t="str">
        <f>IF($L18="","",INDEX(الإدخال!$E$5:$E$644,$L18))</f>
        <v>محمد الطامي</v>
      </c>
      <c r="D18" s="72" t="str">
        <f>IF($L18="","",INDEX(الإدخال!$C$5:$C$644,$L18))</f>
        <v xml:space="preserve">ابي بن مالك </v>
      </c>
      <c r="E18" s="72" t="str">
        <f>IF($L18="","",INDEX(الإدخال!$F$5:$F$644,$L18))</f>
        <v>حاضر</v>
      </c>
      <c r="F18" s="71">
        <f>IF($L18="","",INDEX(الإدخال!$G$5:$G$644,$L18)/100)</f>
        <v>0.96</v>
      </c>
      <c r="G18" s="72" t="str">
        <f>IF(F18="","",IF(F18&gt;=0.9,"ممتاز",IF(F18&gt;=0.8,"جيد جدًا",IF(F18&gt;=0.7,"جيد",IF(F18&gt;=0.6,"مقبول","يحتاج متابعة")))))</f>
        <v>ممتاز</v>
      </c>
      <c r="H18" s="73">
        <f>IF($L18="","",INDEX(الإدخال!$H$5:$H$644,$L18))</f>
        <v>2</v>
      </c>
      <c r="I18" s="73">
        <f>IF($L18="","",INDEX(الإدخال!$I$5:$I$644,$L18))</f>
        <v>40</v>
      </c>
      <c r="J18" s="73">
        <f>IF($L18="","",INDEX(الإدخال!$J$5:$J$644,$L18))</f>
        <v>0</v>
      </c>
      <c r="K18" s="36"/>
      <c r="L18" s="2">
        <f>IFERROR(IF(LARGE(الإدخال!$M$5:$M$644,2)&gt;0,MATCH(LARGE(الإدخال!$M$5:$M$644,2),الإدخال!$M$5:$M$644,0),""),"")</f>
        <v>71</v>
      </c>
    </row>
    <row r="19" spans="1:12">
      <c r="A19" s="2"/>
      <c r="B19" s="96">
        <v>3</v>
      </c>
      <c r="C19" s="74" t="str">
        <f>IF($L19="","",INDEX(الإدخال!$E$5:$E$644,$L19))</f>
        <v xml:space="preserve">عمار الفضل </v>
      </c>
      <c r="D19" s="72" t="str">
        <f>IF($L19="","",INDEX(الإدخال!$C$5:$C$644,$L19))</f>
        <v xml:space="preserve">ابن رجب </v>
      </c>
      <c r="E19" s="72" t="str">
        <f>IF($L19="","",INDEX(الإدخال!$F$5:$F$644,$L19))</f>
        <v>حاضر</v>
      </c>
      <c r="F19" s="71">
        <f>IF($L19="","",INDEX(الإدخال!$G$5:$G$644,$L19)/100)</f>
        <v>0.93</v>
      </c>
      <c r="G19" s="72" t="str">
        <f>IF(F19="","",IF(F19&gt;=0.9,"ممتاز",IF(F19&gt;=0.8,"جيد جدًا",IF(F19&gt;=0.7,"جيد",IF(F19&gt;=0.6,"مقبول","يحتاج متابعة")))))</f>
        <v>ممتاز</v>
      </c>
      <c r="H19" s="73">
        <f>IF($L19="","",INDEX(الإدخال!$H$5:$H$644,$L19))</f>
        <v>5</v>
      </c>
      <c r="I19" s="73">
        <f>IF($L19="","",INDEX(الإدخال!$I$5:$I$644,$L19))</f>
        <v>20</v>
      </c>
      <c r="J19" s="73">
        <f>IF($L19="","",INDEX(الإدخال!$J$5:$J$644,$L19))</f>
        <v>0</v>
      </c>
      <c r="K19" s="36"/>
      <c r="L19" s="2">
        <f>IFERROR(IF(LARGE(الإدخال!$M$5:$M$644,3)&gt;0,MATCH(LARGE(الإدخال!$M$5:$M$644,3),الإدخال!$M$5:$M$644,0),""),"")</f>
        <v>63</v>
      </c>
    </row>
    <row r="20" spans="1:12">
      <c r="A20" s="2"/>
      <c r="B20" s="96">
        <v>4</v>
      </c>
      <c r="C20" s="74" t="str">
        <f>IF($L20="","",INDEX(الإدخال!$E$5:$E$644,$L20))</f>
        <v>جهاد الجدعان</v>
      </c>
      <c r="D20" s="72" t="str">
        <f>IF($L20="","",INDEX(الإدخال!$C$5:$C$644,$L20))</f>
        <v xml:space="preserve">ابن رجب </v>
      </c>
      <c r="E20" s="72" t="str">
        <f>IF($L20="","",INDEX(الإدخال!$F$5:$F$644,$L20))</f>
        <v>حاضر</v>
      </c>
      <c r="F20" s="71">
        <f>IF($L20="","",INDEX(الإدخال!$G$5:$G$644,$L20)/100)</f>
        <v>0.92</v>
      </c>
      <c r="G20" s="72" t="str">
        <f>IF(F20="","",IF(F20&gt;=0.9,"ممتاز",IF(F20&gt;=0.8,"جيد جدًا",IF(F20&gt;=0.7,"جيد",IF(F20&gt;=0.6,"مقبول","يحتاج متابعة")))))</f>
        <v>ممتاز</v>
      </c>
      <c r="H20" s="73">
        <f>IF($L20="","",INDEX(الإدخال!$H$5:$H$644,$L20))</f>
        <v>6</v>
      </c>
      <c r="I20" s="73">
        <f>IF($L20="","",INDEX(الإدخال!$I$5:$I$644,$L20))</f>
        <v>20</v>
      </c>
      <c r="J20" s="73">
        <f>IF($L20="","",INDEX(الإدخال!$J$5:$J$644,$L20))</f>
        <v>0</v>
      </c>
      <c r="K20" s="36"/>
      <c r="L20" s="2">
        <f>IFERROR(IF(LARGE(الإدخال!$M$5:$M$644,4)&gt;0,MATCH(LARGE(الإدخال!$M$5:$M$644,4),الإدخال!$M$5:$M$644,0),""),"")</f>
        <v>65</v>
      </c>
    </row>
    <row r="21" spans="1:12">
      <c r="A21" s="2"/>
      <c r="B21" s="96">
        <v>5</v>
      </c>
      <c r="C21" s="74" t="str">
        <f>IF($L21="","",INDEX(الإدخال!$E$5:$E$644,$L21))</f>
        <v>فواز الشدوخي</v>
      </c>
      <c r="D21" s="72" t="str">
        <f>IF($L21="","",INDEX(الإدخال!$C$5:$C$644,$L21))</f>
        <v xml:space="preserve">ابي بن مالك </v>
      </c>
      <c r="E21" s="72" t="str">
        <f>IF($L21="","",INDEX(الإدخال!$F$5:$F$644,$L21))</f>
        <v>حاضر</v>
      </c>
      <c r="F21" s="71">
        <f>IF($L21="","",INDEX(الإدخال!$G$5:$G$644,$L21)/100)</f>
        <v>0.92</v>
      </c>
      <c r="G21" s="72" t="str">
        <f>IF(F21="","",IF(F21&gt;=0.9,"ممتاز",IF(F21&gt;=0.8,"جيد جدًا",IF(F21&gt;=0.7,"جيد",IF(F21&gt;=0.6,"مقبول","يحتاج متابعة")))))</f>
        <v>ممتاز</v>
      </c>
      <c r="H21" s="73">
        <f>IF($L21="","",INDEX(الإدخال!$H$5:$H$644,$L21))</f>
        <v>4</v>
      </c>
      <c r="I21" s="73">
        <f>IF($L21="","",INDEX(الإدخال!$I$5:$I$644,$L21))</f>
        <v>30</v>
      </c>
      <c r="J21" s="73">
        <f>IF($L21="","",INDEX(الإدخال!$J$5:$J$644,$L21))</f>
        <v>0</v>
      </c>
      <c r="K21" s="36"/>
      <c r="L21" s="2">
        <f>IFERROR(IF(LARGE(الإدخال!$M$5:$M$644,5)&gt;0,MATCH(LARGE(الإدخال!$M$5:$M$644,5),الإدخال!$M$5:$M$644,0),""),"")</f>
        <v>70</v>
      </c>
    </row>
    <row r="22" spans="1:12">
      <c r="A22" s="2"/>
      <c r="B22" s="97" t="s">
        <v>134</v>
      </c>
      <c r="C22" s="12"/>
      <c r="D22" s="12"/>
      <c r="E22" s="12"/>
      <c r="F22" s="12"/>
      <c r="G22" s="12"/>
      <c r="H22" s="12"/>
      <c r="I22" s="12"/>
      <c r="J22" s="12"/>
      <c r="K22" s="2"/>
      <c r="L22" s="2"/>
    </row>
  </sheetData>
  <sheetProtection algorithmName="SHA-512" hashValue="cdWKl+BtFfy5enfXpQL4Hu6LP9DPAD3YsXXePtPLsDBEUWqQF3TJ0edP7m1n7zqaOHQX+tDwqqQjj8H6h9A3gA==" saltValue="iJ7Hz9yz6cyg4lvirXdXww==" spinCount="100000" sheet="1" objects="1" scenarios="1"/>
  <dataValidations count="1">
    <dataValidation type="whole" showErrorMessage="1" errorTitle="أسبوع غير صحيح" error="اكتب رقمًا من 1 إلى 16" sqref="C3" xr:uid="{00000000-0002-0000-0700-000000000000}">
      <formula1>1</formula1>
      <formula2>16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ورقة8">
    <pageSetUpPr fitToPage="1"/>
  </sheetPr>
  <dimension ref="A1:S36"/>
  <sheetViews>
    <sheetView showGridLines="0" rightToLeft="1" zoomScale="193" zoomScaleNormal="100" workbookViewId="0">
      <selection activeCell="D6" sqref="D6:D10"/>
    </sheetView>
  </sheetViews>
  <sheetFormatPr defaultColWidth="8.7109375" defaultRowHeight="15"/>
  <cols>
    <col min="1" max="1" width="3" customWidth="1"/>
    <col min="2" max="2" width="20" customWidth="1"/>
    <col min="3" max="15" width="9.42578125" customWidth="1"/>
    <col min="16" max="19" width="8.42578125" customWidth="1"/>
  </cols>
  <sheetData>
    <row r="1" spans="1:19" ht="30" customHeight="1">
      <c r="A1" s="4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98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/>
      <c r="B4" s="99" t="s">
        <v>38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31.5" customHeight="1">
      <c r="A5" s="2"/>
      <c r="B5" s="13" t="s">
        <v>12</v>
      </c>
      <c r="C5" s="145">
        <v>1</v>
      </c>
      <c r="D5" s="63">
        <v>2</v>
      </c>
      <c r="E5" s="63">
        <v>3</v>
      </c>
      <c r="F5" s="63">
        <v>4</v>
      </c>
      <c r="G5" s="63">
        <v>5</v>
      </c>
      <c r="H5" s="63">
        <v>6</v>
      </c>
      <c r="I5" s="63">
        <v>7</v>
      </c>
      <c r="J5" s="63">
        <v>8</v>
      </c>
      <c r="K5" s="63">
        <v>9</v>
      </c>
      <c r="L5" s="63">
        <v>10</v>
      </c>
      <c r="M5" s="63">
        <v>11</v>
      </c>
      <c r="N5" s="63">
        <v>12</v>
      </c>
      <c r="O5" s="63">
        <v>13</v>
      </c>
      <c r="P5" s="63">
        <v>14</v>
      </c>
      <c r="Q5" s="63">
        <v>15</v>
      </c>
      <c r="R5" s="63">
        <v>16</v>
      </c>
      <c r="S5" s="17" t="s">
        <v>123</v>
      </c>
    </row>
    <row r="6" spans="1:19">
      <c r="A6" s="2"/>
      <c r="B6" s="146" t="str">
        <f>الإعدادات!$C$12</f>
        <v xml:space="preserve">ابي بن مالك </v>
      </c>
      <c r="C6" s="70">
        <f>IFERROR(SUMIFS(الإدخال!$O$5:$O$644,الإدخال!$A$5:$A$644,C$5,الإدخال!$C$5:$C$644,$B6)/SUMIFS(الإدخال!$P$5:$P$644,الإدخال!$A$5:$A$644,C$5,الإدخال!$C$5:$C$644,$B6)/100,"")</f>
        <v>0.52111111111111119</v>
      </c>
      <c r="D6" s="70">
        <f>IFERROR(SUMIFS(الإدخال!$O$5:$O$644,الإدخال!$A$5:$A$644,D$5,الإدخال!$C$5:$C$644,$B6)/SUMIFS(الإدخال!$P$5:$P$644,الإدخال!$A$5:$A$644,D$5,الإدخال!$C$5:$C$644,$B6)/100,"")</f>
        <v>0.68777777777777771</v>
      </c>
      <c r="E6" s="70" t="str">
        <f>IFERROR(SUMIFS(الإدخال!$O$5:$O$644,الإدخال!$A$5:$A$644,E$5,الإدخال!$C$5:$C$644,$B6)/SUMIFS(الإدخال!$P$5:$P$644,الإدخال!$A$5:$A$644,E$5,الإدخال!$C$5:$C$644,$B6)/100,"")</f>
        <v/>
      </c>
      <c r="F6" s="70" t="str">
        <f>IFERROR(SUMIFS(الإدخال!$O$5:$O$644,الإدخال!$A$5:$A$644,F$5,الإدخال!$C$5:$C$644,$B6)/SUMIFS(الإدخال!$P$5:$P$644,الإدخال!$A$5:$A$644,F$5,الإدخال!$C$5:$C$644,$B6)/100,"")</f>
        <v/>
      </c>
      <c r="G6" s="70" t="str">
        <f>IFERROR(SUMIFS(الإدخال!$O$5:$O$644,الإدخال!$A$5:$A$644,G$5,الإدخال!$C$5:$C$644,$B6)/SUMIFS(الإدخال!$P$5:$P$644,الإدخال!$A$5:$A$644,G$5,الإدخال!$C$5:$C$644,$B6)/100,"")</f>
        <v/>
      </c>
      <c r="H6" s="70" t="str">
        <f>IFERROR(SUMIFS(الإدخال!$O$5:$O$644,الإدخال!$A$5:$A$644,H$5,الإدخال!$C$5:$C$644,$B6)/SUMIFS(الإدخال!$P$5:$P$644,الإدخال!$A$5:$A$644,H$5,الإدخال!$C$5:$C$644,$B6)/100,"")</f>
        <v/>
      </c>
      <c r="I6" s="70" t="str">
        <f>IFERROR(SUMIFS(الإدخال!$O$5:$O$644,الإدخال!$A$5:$A$644,I$5,الإدخال!$C$5:$C$644,$B6)/SUMIFS(الإدخال!$P$5:$P$644,الإدخال!$A$5:$A$644,I$5,الإدخال!$C$5:$C$644,$B6)/100,"")</f>
        <v/>
      </c>
      <c r="J6" s="70" t="str">
        <f>IFERROR(SUMIFS(الإدخال!$O$5:$O$644,الإدخال!$A$5:$A$644,J$5,الإدخال!$C$5:$C$644,$B6)/SUMIFS(الإدخال!$P$5:$P$644,الإدخال!$A$5:$A$644,J$5,الإدخال!$C$5:$C$644,$B6)/100,"")</f>
        <v/>
      </c>
      <c r="K6" s="70" t="str">
        <f>IFERROR(SUMIFS(الإدخال!$O$5:$O$644,الإدخال!$A$5:$A$644,K$5,الإدخال!$C$5:$C$644,$B6)/SUMIFS(الإدخال!$P$5:$P$644,الإدخال!$A$5:$A$644,K$5,الإدخال!$C$5:$C$644,$B6)/100,"")</f>
        <v/>
      </c>
      <c r="L6" s="70" t="str">
        <f>IFERROR(SUMIFS(الإدخال!$O$5:$O$644,الإدخال!$A$5:$A$644,L$5,الإدخال!$C$5:$C$644,$B6)/SUMIFS(الإدخال!$P$5:$P$644,الإدخال!$A$5:$A$644,L$5,الإدخال!$C$5:$C$644,$B6)/100,"")</f>
        <v/>
      </c>
      <c r="M6" s="70" t="str">
        <f>IFERROR(SUMIFS(الإدخال!$O$5:$O$644,الإدخال!$A$5:$A$644,M$5,الإدخال!$C$5:$C$644,$B6)/SUMIFS(الإدخال!$P$5:$P$644,الإدخال!$A$5:$A$644,M$5,الإدخال!$C$5:$C$644,$B6)/100,"")</f>
        <v/>
      </c>
      <c r="N6" s="70" t="str">
        <f>IFERROR(SUMIFS(الإدخال!$O$5:$O$644,الإدخال!$A$5:$A$644,N$5,الإدخال!$C$5:$C$644,$B6)/SUMIFS(الإدخال!$P$5:$P$644,الإدخال!$A$5:$A$644,N$5,الإدخال!$C$5:$C$644,$B6)/100,"")</f>
        <v/>
      </c>
      <c r="O6" s="70" t="str">
        <f>IFERROR(SUMIFS(الإدخال!$O$5:$O$644,الإدخال!$A$5:$A$644,O$5,الإدخال!$C$5:$C$644,$B6)/SUMIFS(الإدخال!$P$5:$P$644,الإدخال!$A$5:$A$644,O$5,الإدخال!$C$5:$C$644,$B6)/100,"")</f>
        <v/>
      </c>
      <c r="P6" s="70" t="str">
        <f>IFERROR(SUMIFS(الإدخال!$O$5:$O$644,الإدخال!$A$5:$A$644,P$5,الإدخال!$C$5:$C$644,$B6)/SUMIFS(الإدخال!$P$5:$P$644,الإدخال!$A$5:$A$644,P$5,الإدخال!$C$5:$C$644,$B6)/100,"")</f>
        <v/>
      </c>
      <c r="Q6" s="70" t="str">
        <f>IFERROR(SUMIFS(الإدخال!$O$5:$O$644,الإدخال!$A$5:$A$644,Q$5,الإدخال!$C$5:$C$644,$B6)/SUMIFS(الإدخال!$P$5:$P$644,الإدخال!$A$5:$A$644,Q$5,الإدخال!$C$5:$C$644,$B6)/100,"")</f>
        <v/>
      </c>
      <c r="R6" s="70" t="str">
        <f>IFERROR(SUMIFS(الإدخال!$O$5:$O$644,الإدخال!$A$5:$A$644,R$5,الإدخال!$C$5:$C$644,$B6)/SUMIFS(الإدخال!$P$5:$P$644,الإدخال!$A$5:$A$644,R$5,الإدخال!$C$5:$C$644,$B6)/100,"")</f>
        <v/>
      </c>
      <c r="S6" s="102">
        <f>IFERROR(SUMIFS(الإدخال!$O$5:$O$644,الإدخال!$C$5:$C$644,$B6)/SUMIFS(الإدخال!$P$5:$P$644,الإدخال!$C$5:$C$644,$B6)/100,"")</f>
        <v>0.60444444444444445</v>
      </c>
    </row>
    <row r="7" spans="1:19">
      <c r="A7" s="2"/>
      <c r="B7" s="101" t="str">
        <f>الإعدادات!$C$13</f>
        <v xml:space="preserve">ابن رجب </v>
      </c>
      <c r="C7" s="70">
        <f>IFERROR(SUMIFS(الإدخال!$O$5:$O$644,الإدخال!$A$5:$A$644,C$5,الإدخال!$C$5:$C$644,$B7)/SUMIFS(الإدخال!$P$5:$P$644,الإدخال!$A$5:$A$644,C$5,الإدخال!$C$5:$C$644,$B7)/100,"")</f>
        <v>0.75090909090909097</v>
      </c>
      <c r="D7" s="70">
        <f>IFERROR(SUMIFS(الإدخال!$O$5:$O$644,الإدخال!$A$5:$A$644,D$5,الإدخال!$C$5:$C$644,$B7)/SUMIFS(الإدخال!$P$5:$P$644,الإدخال!$A$5:$A$644,D$5,الإدخال!$C$5:$C$644,$B7)/100,"")</f>
        <v>0.52</v>
      </c>
      <c r="E7" s="70" t="str">
        <f>IFERROR(SUMIFS(الإدخال!$O$5:$O$644,الإدخال!$A$5:$A$644,E$5,الإدخال!$C$5:$C$644,$B7)/SUMIFS(الإدخال!$P$5:$P$644,الإدخال!$A$5:$A$644,E$5,الإدخال!$C$5:$C$644,$B7)/100,"")</f>
        <v/>
      </c>
      <c r="F7" s="70" t="str">
        <f>IFERROR(SUMIFS(الإدخال!$O$5:$O$644,الإدخال!$A$5:$A$644,F$5,الإدخال!$C$5:$C$644,$B7)/SUMIFS(الإدخال!$P$5:$P$644,الإدخال!$A$5:$A$644,F$5,الإدخال!$C$5:$C$644,$B7)/100,"")</f>
        <v/>
      </c>
      <c r="G7" s="70" t="str">
        <f>IFERROR(SUMIFS(الإدخال!$O$5:$O$644,الإدخال!$A$5:$A$644,G$5,الإدخال!$C$5:$C$644,$B7)/SUMIFS(الإدخال!$P$5:$P$644,الإدخال!$A$5:$A$644,G$5,الإدخال!$C$5:$C$644,$B7)/100,"")</f>
        <v/>
      </c>
      <c r="H7" s="70" t="str">
        <f>IFERROR(SUMIFS(الإدخال!$O$5:$O$644,الإدخال!$A$5:$A$644,H$5,الإدخال!$C$5:$C$644,$B7)/SUMIFS(الإدخال!$P$5:$P$644,الإدخال!$A$5:$A$644,H$5,الإدخال!$C$5:$C$644,$B7)/100,"")</f>
        <v/>
      </c>
      <c r="I7" s="70" t="str">
        <f>IFERROR(SUMIFS(الإدخال!$O$5:$O$644,الإدخال!$A$5:$A$644,I$5,الإدخال!$C$5:$C$644,$B7)/SUMIFS(الإدخال!$P$5:$P$644,الإدخال!$A$5:$A$644,I$5,الإدخال!$C$5:$C$644,$B7)/100,"")</f>
        <v/>
      </c>
      <c r="J7" s="70" t="str">
        <f>IFERROR(SUMIFS(الإدخال!$O$5:$O$644,الإدخال!$A$5:$A$644,J$5,الإدخال!$C$5:$C$644,$B7)/SUMIFS(الإدخال!$P$5:$P$644,الإدخال!$A$5:$A$644,J$5,الإدخال!$C$5:$C$644,$B7)/100,"")</f>
        <v/>
      </c>
      <c r="K7" s="70" t="str">
        <f>IFERROR(SUMIFS(الإدخال!$O$5:$O$644,الإدخال!$A$5:$A$644,K$5,الإدخال!$C$5:$C$644,$B7)/SUMIFS(الإدخال!$P$5:$P$644,الإدخال!$A$5:$A$644,K$5,الإدخال!$C$5:$C$644,$B7)/100,"")</f>
        <v/>
      </c>
      <c r="L7" s="70" t="str">
        <f>IFERROR(SUMIFS(الإدخال!$O$5:$O$644,الإدخال!$A$5:$A$644,L$5,الإدخال!$C$5:$C$644,$B7)/SUMIFS(الإدخال!$P$5:$P$644,الإدخال!$A$5:$A$644,L$5,الإدخال!$C$5:$C$644,$B7)/100,"")</f>
        <v/>
      </c>
      <c r="M7" s="70" t="str">
        <f>IFERROR(SUMIFS(الإدخال!$O$5:$O$644,الإدخال!$A$5:$A$644,M$5,الإدخال!$C$5:$C$644,$B7)/SUMIFS(الإدخال!$P$5:$P$644,الإدخال!$A$5:$A$644,M$5,الإدخال!$C$5:$C$644,$B7)/100,"")</f>
        <v/>
      </c>
      <c r="N7" s="70" t="str">
        <f>IFERROR(SUMIFS(الإدخال!$O$5:$O$644,الإدخال!$A$5:$A$644,N$5,الإدخال!$C$5:$C$644,$B7)/SUMIFS(الإدخال!$P$5:$P$644,الإدخال!$A$5:$A$644,N$5,الإدخال!$C$5:$C$644,$B7)/100,"")</f>
        <v/>
      </c>
      <c r="O7" s="70" t="str">
        <f>IFERROR(SUMIFS(الإدخال!$O$5:$O$644,الإدخال!$A$5:$A$644,O$5,الإدخال!$C$5:$C$644,$B7)/SUMIFS(الإدخال!$P$5:$P$644,الإدخال!$A$5:$A$644,O$5,الإدخال!$C$5:$C$644,$B7)/100,"")</f>
        <v/>
      </c>
      <c r="P7" s="70" t="str">
        <f>IFERROR(SUMIFS(الإدخال!$O$5:$O$644,الإدخال!$A$5:$A$644,P$5,الإدخال!$C$5:$C$644,$B7)/SUMIFS(الإدخال!$P$5:$P$644,الإدخال!$A$5:$A$644,P$5,الإدخال!$C$5:$C$644,$B7)/100,"")</f>
        <v/>
      </c>
      <c r="Q7" s="70" t="str">
        <f>IFERROR(SUMIFS(الإدخال!$O$5:$O$644,الإدخال!$A$5:$A$644,Q$5,الإدخال!$C$5:$C$644,$B7)/SUMIFS(الإدخال!$P$5:$P$644,الإدخال!$A$5:$A$644,Q$5,الإدخال!$C$5:$C$644,$B7)/100,"")</f>
        <v/>
      </c>
      <c r="R7" s="70" t="str">
        <f>IFERROR(SUMIFS(الإدخال!$O$5:$O$644,الإدخال!$A$5:$A$644,R$5,الإدخال!$C$5:$C$644,$B7)/SUMIFS(الإدخال!$P$5:$P$644,الإدخال!$A$5:$A$644,R$5,الإدخال!$C$5:$C$644,$B7)/100,"")</f>
        <v/>
      </c>
      <c r="S7" s="102">
        <f>IFERROR(SUMIFS(الإدخال!$O$5:$O$644,الإدخال!$C$5:$C$644,$B7)/SUMIFS(الإدخال!$P$5:$P$644,الإدخال!$C$5:$C$644,$B7)/100,"")</f>
        <v>0.63545454545454549</v>
      </c>
    </row>
    <row r="8" spans="1:19">
      <c r="A8" s="2"/>
      <c r="B8" s="101" t="str">
        <f>الإعدادات!$C$14</f>
        <v xml:space="preserve">حسان بن ثابت </v>
      </c>
      <c r="C8" s="70">
        <f>IFERROR(SUMIFS(الإدخال!$O$5:$O$644,الإدخال!$A$5:$A$644,C$5,الإدخال!$C$5:$C$644,$B8)/SUMIFS(الإدخال!$P$5:$P$644,الإدخال!$A$5:$A$644,C$5,الإدخال!$C$5:$C$644,$B8)/100,"")</f>
        <v>0.72499999999999998</v>
      </c>
      <c r="D8" s="70">
        <f>IFERROR(SUMIFS(الإدخال!$O$5:$O$644,الإدخال!$A$5:$A$644,D$5,الإدخال!$C$5:$C$644,$B8)/SUMIFS(الإدخال!$P$5:$P$644,الإدخال!$A$5:$A$644,D$5,الإدخال!$C$5:$C$644,$B8)/100,"")</f>
        <v>0.72909090909090901</v>
      </c>
      <c r="E8" s="70" t="str">
        <f>IFERROR(SUMIFS(الإدخال!$O$5:$O$644,الإدخال!$A$5:$A$644,E$5,الإدخال!$C$5:$C$644,$B8)/SUMIFS(الإدخال!$P$5:$P$644,الإدخال!$A$5:$A$644,E$5,الإدخال!$C$5:$C$644,$B8)/100,"")</f>
        <v/>
      </c>
      <c r="F8" s="70" t="str">
        <f>IFERROR(SUMIFS(الإدخال!$O$5:$O$644,الإدخال!$A$5:$A$644,F$5,الإدخال!$C$5:$C$644,$B8)/SUMIFS(الإدخال!$P$5:$P$644,الإدخال!$A$5:$A$644,F$5,الإدخال!$C$5:$C$644,$B8)/100,"")</f>
        <v/>
      </c>
      <c r="G8" s="70" t="str">
        <f>IFERROR(SUMIFS(الإدخال!$O$5:$O$644,الإدخال!$A$5:$A$644,G$5,الإدخال!$C$5:$C$644,$B8)/SUMIFS(الإدخال!$P$5:$P$644,الإدخال!$A$5:$A$644,G$5,الإدخال!$C$5:$C$644,$B8)/100,"")</f>
        <v/>
      </c>
      <c r="H8" s="70" t="str">
        <f>IFERROR(SUMIFS(الإدخال!$O$5:$O$644,الإدخال!$A$5:$A$644,H$5,الإدخال!$C$5:$C$644,$B8)/SUMIFS(الإدخال!$P$5:$P$644,الإدخال!$A$5:$A$644,H$5,الإدخال!$C$5:$C$644,$B8)/100,"")</f>
        <v/>
      </c>
      <c r="I8" s="70" t="str">
        <f>IFERROR(SUMIFS(الإدخال!$O$5:$O$644,الإدخال!$A$5:$A$644,I$5,الإدخال!$C$5:$C$644,$B8)/SUMIFS(الإدخال!$P$5:$P$644,الإدخال!$A$5:$A$644,I$5,الإدخال!$C$5:$C$644,$B8)/100,"")</f>
        <v/>
      </c>
      <c r="J8" s="70" t="str">
        <f>IFERROR(SUMIFS(الإدخال!$O$5:$O$644,الإدخال!$A$5:$A$644,J$5,الإدخال!$C$5:$C$644,$B8)/SUMIFS(الإدخال!$P$5:$P$644,الإدخال!$A$5:$A$644,J$5,الإدخال!$C$5:$C$644,$B8)/100,"")</f>
        <v/>
      </c>
      <c r="K8" s="70" t="str">
        <f>IFERROR(SUMIFS(الإدخال!$O$5:$O$644,الإدخال!$A$5:$A$644,K$5,الإدخال!$C$5:$C$644,$B8)/SUMIFS(الإدخال!$P$5:$P$644,الإدخال!$A$5:$A$644,K$5,الإدخال!$C$5:$C$644,$B8)/100,"")</f>
        <v/>
      </c>
      <c r="L8" s="70" t="str">
        <f>IFERROR(SUMIFS(الإدخال!$O$5:$O$644,الإدخال!$A$5:$A$644,L$5,الإدخال!$C$5:$C$644,$B8)/SUMIFS(الإدخال!$P$5:$P$644,الإدخال!$A$5:$A$644,L$5,الإدخال!$C$5:$C$644,$B8)/100,"")</f>
        <v/>
      </c>
      <c r="M8" s="70" t="str">
        <f>IFERROR(SUMIFS(الإدخال!$O$5:$O$644,الإدخال!$A$5:$A$644,M$5,الإدخال!$C$5:$C$644,$B8)/SUMIFS(الإدخال!$P$5:$P$644,الإدخال!$A$5:$A$644,M$5,الإدخال!$C$5:$C$644,$B8)/100,"")</f>
        <v/>
      </c>
      <c r="N8" s="70" t="str">
        <f>IFERROR(SUMIFS(الإدخال!$O$5:$O$644,الإدخال!$A$5:$A$644,N$5,الإدخال!$C$5:$C$644,$B8)/SUMIFS(الإدخال!$P$5:$P$644,الإدخال!$A$5:$A$644,N$5,الإدخال!$C$5:$C$644,$B8)/100,"")</f>
        <v/>
      </c>
      <c r="O8" s="70" t="str">
        <f>IFERROR(SUMIFS(الإدخال!$O$5:$O$644,الإدخال!$A$5:$A$644,O$5,الإدخال!$C$5:$C$644,$B8)/SUMIFS(الإدخال!$P$5:$P$644,الإدخال!$A$5:$A$644,O$5,الإدخال!$C$5:$C$644,$B8)/100,"")</f>
        <v/>
      </c>
      <c r="P8" s="70" t="str">
        <f>IFERROR(SUMIFS(الإدخال!$O$5:$O$644,الإدخال!$A$5:$A$644,P$5,الإدخال!$C$5:$C$644,$B8)/SUMIFS(الإدخال!$P$5:$P$644,الإدخال!$A$5:$A$644,P$5,الإدخال!$C$5:$C$644,$B8)/100,"")</f>
        <v/>
      </c>
      <c r="Q8" s="70" t="str">
        <f>IFERROR(SUMIFS(الإدخال!$O$5:$O$644,الإدخال!$A$5:$A$644,Q$5,الإدخال!$C$5:$C$644,$B8)/SUMIFS(الإدخال!$P$5:$P$644,الإدخال!$A$5:$A$644,Q$5,الإدخال!$C$5:$C$644,$B8)/100,"")</f>
        <v/>
      </c>
      <c r="R8" s="70" t="str">
        <f>IFERROR(SUMIFS(الإدخال!$O$5:$O$644,الإدخال!$A$5:$A$644,R$5,الإدخال!$C$5:$C$644,$B8)/SUMIFS(الإدخال!$P$5:$P$644,الإدخال!$A$5:$A$644,R$5,الإدخال!$C$5:$C$644,$B8)/100,"")</f>
        <v/>
      </c>
      <c r="S8" s="102">
        <f>IFERROR(SUMIFS(الإدخال!$O$5:$O$644,الإدخال!$C$5:$C$644,$B8)/SUMIFS(الإدخال!$P$5:$P$644,الإدخال!$C$5:$C$644,$B8)/100,"")</f>
        <v>0.72714285714285709</v>
      </c>
    </row>
    <row r="9" spans="1:19">
      <c r="A9" s="2"/>
      <c r="B9" s="101" t="str">
        <f>الإعدادات!$C$15</f>
        <v xml:space="preserve">عبدالرحمن بن النعمان </v>
      </c>
      <c r="C9" s="70">
        <f>IFERROR(SUMIFS(الإدخال!$O$5:$O$644,الإدخال!$A$5:$A$644,C$5,الإدخال!$C$5:$C$644,$B9)/SUMIFS(الإدخال!$P$5:$P$644,الإدخال!$A$5:$A$644,C$5,الإدخال!$C$5:$C$644,$B9)/100,"")</f>
        <v>0.66</v>
      </c>
      <c r="D9" s="70">
        <f>IFERROR(SUMIFS(الإدخال!$O$5:$O$644,الإدخال!$A$5:$A$644,D$5,الإدخال!$C$5:$C$644,$B9)/SUMIFS(الإدخال!$P$5:$P$644,الإدخال!$A$5:$A$644,D$5,الإدخال!$C$5:$C$644,$B9)/100,"")</f>
        <v>0.91333333333333333</v>
      </c>
      <c r="E9" s="70" t="str">
        <f>IFERROR(SUMIFS(الإدخال!$O$5:$O$644,الإدخال!$A$5:$A$644,E$5,الإدخال!$C$5:$C$644,$B9)/SUMIFS(الإدخال!$P$5:$P$644,الإدخال!$A$5:$A$644,E$5,الإدخال!$C$5:$C$644,$B9)/100,"")</f>
        <v/>
      </c>
      <c r="F9" s="70" t="str">
        <f>IFERROR(SUMIFS(الإدخال!$O$5:$O$644,الإدخال!$A$5:$A$644,F$5,الإدخال!$C$5:$C$644,$B9)/SUMIFS(الإدخال!$P$5:$P$644,الإدخال!$A$5:$A$644,F$5,الإدخال!$C$5:$C$644,$B9)/100,"")</f>
        <v/>
      </c>
      <c r="G9" s="70" t="str">
        <f>IFERROR(SUMIFS(الإدخال!$O$5:$O$644,الإدخال!$A$5:$A$644,G$5,الإدخال!$C$5:$C$644,$B9)/SUMIFS(الإدخال!$P$5:$P$644,الإدخال!$A$5:$A$644,G$5,الإدخال!$C$5:$C$644,$B9)/100,"")</f>
        <v/>
      </c>
      <c r="H9" s="70" t="str">
        <f>IFERROR(SUMIFS(الإدخال!$O$5:$O$644,الإدخال!$A$5:$A$644,H$5,الإدخال!$C$5:$C$644,$B9)/SUMIFS(الإدخال!$P$5:$P$644,الإدخال!$A$5:$A$644,H$5,الإدخال!$C$5:$C$644,$B9)/100,"")</f>
        <v/>
      </c>
      <c r="I9" s="70" t="str">
        <f>IFERROR(SUMIFS(الإدخال!$O$5:$O$644,الإدخال!$A$5:$A$644,I$5,الإدخال!$C$5:$C$644,$B9)/SUMIFS(الإدخال!$P$5:$P$644,الإدخال!$A$5:$A$644,I$5,الإدخال!$C$5:$C$644,$B9)/100,"")</f>
        <v/>
      </c>
      <c r="J9" s="70" t="str">
        <f>IFERROR(SUMIFS(الإدخال!$O$5:$O$644,الإدخال!$A$5:$A$644,J$5,الإدخال!$C$5:$C$644,$B9)/SUMIFS(الإدخال!$P$5:$P$644,الإدخال!$A$5:$A$644,J$5,الإدخال!$C$5:$C$644,$B9)/100,"")</f>
        <v/>
      </c>
      <c r="K9" s="70" t="str">
        <f>IFERROR(SUMIFS(الإدخال!$O$5:$O$644,الإدخال!$A$5:$A$644,K$5,الإدخال!$C$5:$C$644,$B9)/SUMIFS(الإدخال!$P$5:$P$644,الإدخال!$A$5:$A$644,K$5,الإدخال!$C$5:$C$644,$B9)/100,"")</f>
        <v/>
      </c>
      <c r="L9" s="70" t="str">
        <f>IFERROR(SUMIFS(الإدخال!$O$5:$O$644,الإدخال!$A$5:$A$644,L$5,الإدخال!$C$5:$C$644,$B9)/SUMIFS(الإدخال!$P$5:$P$644,الإدخال!$A$5:$A$644,L$5,الإدخال!$C$5:$C$644,$B9)/100,"")</f>
        <v/>
      </c>
      <c r="M9" s="70" t="str">
        <f>IFERROR(SUMIFS(الإدخال!$O$5:$O$644,الإدخال!$A$5:$A$644,M$5,الإدخال!$C$5:$C$644,$B9)/SUMIFS(الإدخال!$P$5:$P$644,الإدخال!$A$5:$A$644,M$5,الإدخال!$C$5:$C$644,$B9)/100,"")</f>
        <v/>
      </c>
      <c r="N9" s="70" t="str">
        <f>IFERROR(SUMIFS(الإدخال!$O$5:$O$644,الإدخال!$A$5:$A$644,N$5,الإدخال!$C$5:$C$644,$B9)/SUMIFS(الإدخال!$P$5:$P$644,الإدخال!$A$5:$A$644,N$5,الإدخال!$C$5:$C$644,$B9)/100,"")</f>
        <v/>
      </c>
      <c r="O9" s="70" t="str">
        <f>IFERROR(SUMIFS(الإدخال!$O$5:$O$644,الإدخال!$A$5:$A$644,O$5,الإدخال!$C$5:$C$644,$B9)/SUMIFS(الإدخال!$P$5:$P$644,الإدخال!$A$5:$A$644,O$5,الإدخال!$C$5:$C$644,$B9)/100,"")</f>
        <v/>
      </c>
      <c r="P9" s="70" t="str">
        <f>IFERROR(SUMIFS(الإدخال!$O$5:$O$644,الإدخال!$A$5:$A$644,P$5,الإدخال!$C$5:$C$644,$B9)/SUMIFS(الإدخال!$P$5:$P$644,الإدخال!$A$5:$A$644,P$5,الإدخال!$C$5:$C$644,$B9)/100,"")</f>
        <v/>
      </c>
      <c r="Q9" s="70" t="str">
        <f>IFERROR(SUMIFS(الإدخال!$O$5:$O$644,الإدخال!$A$5:$A$644,Q$5,الإدخال!$C$5:$C$644,$B9)/SUMIFS(الإدخال!$P$5:$P$644,الإدخال!$A$5:$A$644,Q$5,الإدخال!$C$5:$C$644,$B9)/100,"")</f>
        <v/>
      </c>
      <c r="R9" s="70" t="str">
        <f>IFERROR(SUMIFS(الإدخال!$O$5:$O$644,الإدخال!$A$5:$A$644,R$5,الإدخال!$C$5:$C$644,$B9)/SUMIFS(الإدخال!$P$5:$P$644,الإدخال!$A$5:$A$644,R$5,الإدخال!$C$5:$C$644,$B9)/100,"")</f>
        <v/>
      </c>
      <c r="S9" s="102">
        <f>IFERROR(SUMIFS(الإدخال!$O$5:$O$644,الإدخال!$C$5:$C$644,$B9)/SUMIFS(الإدخال!$P$5:$P$644,الإدخال!$C$5:$C$644,$B9)/100,"")</f>
        <v>0.7981818181818181</v>
      </c>
    </row>
    <row r="10" spans="1:19">
      <c r="A10" s="2"/>
      <c r="B10" s="103" t="s">
        <v>137</v>
      </c>
      <c r="C10" s="76">
        <f>IFERROR(SUMIFS(الإدخال!$O$5:$O$644,الإدخال!$A$5:$A$644,C$5)/SUMIFS(الإدخال!$P$5:$P$644,الإدخال!$A$5:$A$644,C$5)/100,"")</f>
        <v>0.67142857142857137</v>
      </c>
      <c r="D10" s="76">
        <f>IFERROR(SUMIFS(الإدخال!$O$5:$O$644,الإدخال!$A$5:$A$644,D$5)/SUMIFS(الإدخال!$P$5:$P$644,الإدخال!$A$5:$A$644,D$5)/100,"")</f>
        <v>0.6942105263157895</v>
      </c>
      <c r="E10" s="76" t="str">
        <f>IFERROR(SUMIFS(الإدخال!$O$5:$O$644,الإدخال!$A$5:$A$644,E$5)/SUMIFS(الإدخال!$P$5:$P$644,الإدخال!$A$5:$A$644,E$5)/100,"")</f>
        <v/>
      </c>
      <c r="F10" s="76" t="str">
        <f>IFERROR(SUMIFS(الإدخال!$O$5:$O$644,الإدخال!$A$5:$A$644,F$5)/SUMIFS(الإدخال!$P$5:$P$644,الإدخال!$A$5:$A$644,F$5)/100,"")</f>
        <v/>
      </c>
      <c r="G10" s="76" t="str">
        <f>IFERROR(SUMIFS(الإدخال!$O$5:$O$644,الإدخال!$A$5:$A$644,G$5)/SUMIFS(الإدخال!$P$5:$P$644,الإدخال!$A$5:$A$644,G$5)/100,"")</f>
        <v/>
      </c>
      <c r="H10" s="76" t="str">
        <f>IFERROR(SUMIFS(الإدخال!$O$5:$O$644,الإدخال!$A$5:$A$644,H$5)/SUMIFS(الإدخال!$P$5:$P$644,الإدخال!$A$5:$A$644,H$5)/100,"")</f>
        <v/>
      </c>
      <c r="I10" s="76" t="str">
        <f>IFERROR(SUMIFS(الإدخال!$O$5:$O$644,الإدخال!$A$5:$A$644,I$5)/SUMIFS(الإدخال!$P$5:$P$644,الإدخال!$A$5:$A$644,I$5)/100,"")</f>
        <v/>
      </c>
      <c r="J10" s="76" t="str">
        <f>IFERROR(SUMIFS(الإدخال!$O$5:$O$644,الإدخال!$A$5:$A$644,J$5)/SUMIFS(الإدخال!$P$5:$P$644,الإدخال!$A$5:$A$644,J$5)/100,"")</f>
        <v/>
      </c>
      <c r="K10" s="76" t="str">
        <f>IFERROR(SUMIFS(الإدخال!$O$5:$O$644,الإدخال!$A$5:$A$644,K$5)/SUMIFS(الإدخال!$P$5:$P$644,الإدخال!$A$5:$A$644,K$5)/100,"")</f>
        <v/>
      </c>
      <c r="L10" s="76" t="str">
        <f>IFERROR(SUMIFS(الإدخال!$O$5:$O$644,الإدخال!$A$5:$A$644,L$5)/SUMIFS(الإدخال!$P$5:$P$644,الإدخال!$A$5:$A$644,L$5)/100,"")</f>
        <v/>
      </c>
      <c r="M10" s="76" t="str">
        <f>IFERROR(SUMIFS(الإدخال!$O$5:$O$644,الإدخال!$A$5:$A$644,M$5)/SUMIFS(الإدخال!$P$5:$P$644,الإدخال!$A$5:$A$644,M$5)/100,"")</f>
        <v/>
      </c>
      <c r="N10" s="76" t="str">
        <f>IFERROR(SUMIFS(الإدخال!$O$5:$O$644,الإدخال!$A$5:$A$644,N$5)/SUMIFS(الإدخال!$P$5:$P$644,الإدخال!$A$5:$A$644,N$5)/100,"")</f>
        <v/>
      </c>
      <c r="O10" s="76" t="str">
        <f>IFERROR(SUMIFS(الإدخال!$O$5:$O$644,الإدخال!$A$5:$A$644,O$5)/SUMIFS(الإدخال!$P$5:$P$644,الإدخال!$A$5:$A$644,O$5)/100,"")</f>
        <v/>
      </c>
      <c r="P10" s="76" t="str">
        <f>IFERROR(SUMIFS(الإدخال!$O$5:$O$644,الإدخال!$A$5:$A$644,P$5)/SUMIFS(الإدخال!$P$5:$P$644,الإدخال!$A$5:$A$644,P$5)/100,"")</f>
        <v/>
      </c>
      <c r="Q10" s="76" t="str">
        <f>IFERROR(SUMIFS(الإدخال!$O$5:$O$644,الإدخال!$A$5:$A$644,Q$5)/SUMIFS(الإدخال!$P$5:$P$644,الإدخال!$A$5:$A$644,Q$5)/100,"")</f>
        <v/>
      </c>
      <c r="R10" s="76" t="str">
        <f>IFERROR(SUMIFS(الإدخال!$O$5:$O$644,الإدخال!$A$5:$A$644,R$5)/SUMIFS(الإدخال!$P$5:$P$644,الإدخال!$A$5:$A$644,R$5)/100,"")</f>
        <v/>
      </c>
      <c r="S10" s="104">
        <f>IFERROR(SUM(الإدخال!$O$5:$O$644)/SUM(الإدخال!$P$5:$P$644)/100,"")</f>
        <v>0.68328767123287681</v>
      </c>
    </row>
    <row r="11" spans="1:19">
      <c r="A11" s="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/>
      <c r="B13" s="99" t="s">
        <v>138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31.5" customHeight="1">
      <c r="A14" s="2"/>
      <c r="B14" s="13" t="s">
        <v>12</v>
      </c>
      <c r="C14" s="145">
        <v>1</v>
      </c>
      <c r="D14" s="63">
        <v>2</v>
      </c>
      <c r="E14" s="63">
        <v>3</v>
      </c>
      <c r="F14" s="63">
        <v>4</v>
      </c>
      <c r="G14" s="63">
        <v>5</v>
      </c>
      <c r="H14" s="63">
        <v>6</v>
      </c>
      <c r="I14" s="63">
        <v>7</v>
      </c>
      <c r="J14" s="63">
        <v>8</v>
      </c>
      <c r="K14" s="63">
        <v>9</v>
      </c>
      <c r="L14" s="63">
        <v>10</v>
      </c>
      <c r="M14" s="63">
        <v>11</v>
      </c>
      <c r="N14" s="63">
        <v>12</v>
      </c>
      <c r="O14" s="63">
        <v>13</v>
      </c>
      <c r="P14" s="63">
        <v>14</v>
      </c>
      <c r="Q14" s="63">
        <v>15</v>
      </c>
      <c r="R14" s="63">
        <v>16</v>
      </c>
      <c r="S14" s="17" t="s">
        <v>123</v>
      </c>
    </row>
    <row r="15" spans="1:19">
      <c r="A15" s="2"/>
      <c r="B15" s="146" t="str">
        <f>الإعدادات!$C$12</f>
        <v xml:space="preserve">ابي بن مالك </v>
      </c>
      <c r="C15" s="105">
        <f>SUMIFS(الإدخال!$N$5:$N$644,الإدخال!$A$5:$A$644,C$14,الإدخال!$C$5:$C$644,$B15)</f>
        <v>6</v>
      </c>
      <c r="D15" s="105">
        <f>SUMIFS(الإدخال!$N$5:$N$644,الإدخال!$A$5:$A$644,D$14,الإدخال!$C$5:$C$644,$B15)</f>
        <v>8</v>
      </c>
      <c r="E15" s="105">
        <f>SUMIFS(الإدخال!$N$5:$N$644,الإدخال!$A$5:$A$644,E$14,الإدخال!$C$5:$C$644,$B15)</f>
        <v>0</v>
      </c>
      <c r="F15" s="105">
        <f>SUMIFS(الإدخال!$N$5:$N$644,الإدخال!$A$5:$A$644,F$14,الإدخال!$C$5:$C$644,$B15)</f>
        <v>0</v>
      </c>
      <c r="G15" s="105">
        <f>SUMIFS(الإدخال!$N$5:$N$644,الإدخال!$A$5:$A$644,G$14,الإدخال!$C$5:$C$644,$B15)</f>
        <v>0</v>
      </c>
      <c r="H15" s="105">
        <f>SUMIFS(الإدخال!$N$5:$N$644,الإدخال!$A$5:$A$644,H$14,الإدخال!$C$5:$C$644,$B15)</f>
        <v>0</v>
      </c>
      <c r="I15" s="105">
        <f>SUMIFS(الإدخال!$N$5:$N$644,الإدخال!$A$5:$A$644,I$14,الإدخال!$C$5:$C$644,$B15)</f>
        <v>0</v>
      </c>
      <c r="J15" s="105">
        <f>SUMIFS(الإدخال!$N$5:$N$644,الإدخال!$A$5:$A$644,J$14,الإدخال!$C$5:$C$644,$B15)</f>
        <v>0</v>
      </c>
      <c r="K15" s="105">
        <f>SUMIFS(الإدخال!$N$5:$N$644,الإدخال!$A$5:$A$644,K$14,الإدخال!$C$5:$C$644,$B15)</f>
        <v>0</v>
      </c>
      <c r="L15" s="105">
        <f>SUMIFS(الإدخال!$N$5:$N$644,الإدخال!$A$5:$A$644,L$14,الإدخال!$C$5:$C$644,$B15)</f>
        <v>0</v>
      </c>
      <c r="M15" s="105">
        <f>SUMIFS(الإدخال!$N$5:$N$644,الإدخال!$A$5:$A$644,M$14,الإدخال!$C$5:$C$644,$B15)</f>
        <v>0</v>
      </c>
      <c r="N15" s="105">
        <f>SUMIFS(الإدخال!$N$5:$N$644,الإدخال!$A$5:$A$644,N$14,الإدخال!$C$5:$C$644,$B15)</f>
        <v>0</v>
      </c>
      <c r="O15" s="105">
        <f>SUMIFS(الإدخال!$N$5:$N$644,الإدخال!$A$5:$A$644,O$14,الإدخال!$C$5:$C$644,$B15)</f>
        <v>0</v>
      </c>
      <c r="P15" s="105">
        <f>SUMIFS(الإدخال!$N$5:$N$644,الإدخال!$A$5:$A$644,P$14,الإدخال!$C$5:$C$644,$B15)</f>
        <v>0</v>
      </c>
      <c r="Q15" s="105">
        <f>SUMIFS(الإدخال!$N$5:$N$644,الإدخال!$A$5:$A$644,Q$14,الإدخال!$C$5:$C$644,$B15)</f>
        <v>0</v>
      </c>
      <c r="R15" s="105">
        <f>SUMIFS(الإدخال!$N$5:$N$644,الإدخال!$A$5:$A$644,R$14,الإدخال!$C$5:$C$644,$B15)</f>
        <v>0</v>
      </c>
      <c r="S15" s="106">
        <f>SUMIFS(الإدخال!$N$5:$N$644,الإدخال!$C$5:$C$644,$B15)</f>
        <v>14</v>
      </c>
    </row>
    <row r="16" spans="1:19">
      <c r="A16" s="2"/>
      <c r="B16" s="101" t="str">
        <f>الإعدادات!$C$13</f>
        <v xml:space="preserve">ابن رجب </v>
      </c>
      <c r="C16" s="105">
        <f>SUMIFS(الإدخال!$N$5:$N$644,الإدخال!$A$5:$A$644,C$14,الإدخال!$C$5:$C$644,$B16)</f>
        <v>9</v>
      </c>
      <c r="D16" s="105">
        <f>SUMIFS(الإدخال!$N$5:$N$644,الإدخال!$A$5:$A$644,D$14,الإدخال!$C$5:$C$644,$B16)</f>
        <v>7</v>
      </c>
      <c r="E16" s="105">
        <f>SUMIFS(الإدخال!$N$5:$N$644,الإدخال!$A$5:$A$644,E$14,الإدخال!$C$5:$C$644,$B16)</f>
        <v>0</v>
      </c>
      <c r="F16" s="105">
        <f>SUMIFS(الإدخال!$N$5:$N$644,الإدخال!$A$5:$A$644,F$14,الإدخال!$C$5:$C$644,$B16)</f>
        <v>0</v>
      </c>
      <c r="G16" s="105">
        <f>SUMIFS(الإدخال!$N$5:$N$644,الإدخال!$A$5:$A$644,G$14,الإدخال!$C$5:$C$644,$B16)</f>
        <v>0</v>
      </c>
      <c r="H16" s="105">
        <f>SUMIFS(الإدخال!$N$5:$N$644,الإدخال!$A$5:$A$644,H$14,الإدخال!$C$5:$C$644,$B16)</f>
        <v>0</v>
      </c>
      <c r="I16" s="105">
        <f>SUMIFS(الإدخال!$N$5:$N$644,الإدخال!$A$5:$A$644,I$14,الإدخال!$C$5:$C$644,$B16)</f>
        <v>0</v>
      </c>
      <c r="J16" s="105">
        <f>SUMIFS(الإدخال!$N$5:$N$644,الإدخال!$A$5:$A$644,J$14,الإدخال!$C$5:$C$644,$B16)</f>
        <v>0</v>
      </c>
      <c r="K16" s="105">
        <f>SUMIFS(الإدخال!$N$5:$N$644,الإدخال!$A$5:$A$644,K$14,الإدخال!$C$5:$C$644,$B16)</f>
        <v>0</v>
      </c>
      <c r="L16" s="105">
        <f>SUMIFS(الإدخال!$N$5:$N$644,الإدخال!$A$5:$A$644,L$14,الإدخال!$C$5:$C$644,$B16)</f>
        <v>0</v>
      </c>
      <c r="M16" s="105">
        <f>SUMIFS(الإدخال!$N$5:$N$644,الإدخال!$A$5:$A$644,M$14,الإدخال!$C$5:$C$644,$B16)</f>
        <v>0</v>
      </c>
      <c r="N16" s="105">
        <f>SUMIFS(الإدخال!$N$5:$N$644,الإدخال!$A$5:$A$644,N$14,الإدخال!$C$5:$C$644,$B16)</f>
        <v>0</v>
      </c>
      <c r="O16" s="105">
        <f>SUMIFS(الإدخال!$N$5:$N$644,الإدخال!$A$5:$A$644,O$14,الإدخال!$C$5:$C$644,$B16)</f>
        <v>0</v>
      </c>
      <c r="P16" s="105">
        <f>SUMIFS(الإدخال!$N$5:$N$644,الإدخال!$A$5:$A$644,P$14,الإدخال!$C$5:$C$644,$B16)</f>
        <v>0</v>
      </c>
      <c r="Q16" s="105">
        <f>SUMIFS(الإدخال!$N$5:$N$644,الإدخال!$A$5:$A$644,Q$14,الإدخال!$C$5:$C$644,$B16)</f>
        <v>0</v>
      </c>
      <c r="R16" s="105">
        <f>SUMIFS(الإدخال!$N$5:$N$644,الإدخال!$A$5:$A$644,R$14,الإدخال!$C$5:$C$644,$B16)</f>
        <v>0</v>
      </c>
      <c r="S16" s="106">
        <f>SUMIFS(الإدخال!$N$5:$N$644,الإدخال!$C$5:$C$644,$B16)</f>
        <v>16</v>
      </c>
    </row>
    <row r="17" spans="1:19">
      <c r="A17" s="2"/>
      <c r="B17" s="101" t="str">
        <f>الإعدادات!$C$14</f>
        <v xml:space="preserve">حسان بن ثابت </v>
      </c>
      <c r="C17" s="105">
        <f>SUMIFS(الإدخال!$N$5:$N$644,الإدخال!$A$5:$A$644,C$14,الإدخال!$C$5:$C$644,$B17)</f>
        <v>9</v>
      </c>
      <c r="D17" s="105">
        <f>SUMIFS(الإدخال!$N$5:$N$644,الإدخال!$A$5:$A$644,D$14,الإدخال!$C$5:$C$644,$B17)</f>
        <v>7</v>
      </c>
      <c r="E17" s="105">
        <f>SUMIFS(الإدخال!$N$5:$N$644,الإدخال!$A$5:$A$644,E$14,الإدخال!$C$5:$C$644,$B17)</f>
        <v>0</v>
      </c>
      <c r="F17" s="105">
        <f>SUMIFS(الإدخال!$N$5:$N$644,الإدخال!$A$5:$A$644,F$14,الإدخال!$C$5:$C$644,$B17)</f>
        <v>0</v>
      </c>
      <c r="G17" s="105">
        <f>SUMIFS(الإدخال!$N$5:$N$644,الإدخال!$A$5:$A$644,G$14,الإدخال!$C$5:$C$644,$B17)</f>
        <v>0</v>
      </c>
      <c r="H17" s="105">
        <f>SUMIFS(الإدخال!$N$5:$N$644,الإدخال!$A$5:$A$644,H$14,الإدخال!$C$5:$C$644,$B17)</f>
        <v>0</v>
      </c>
      <c r="I17" s="105">
        <f>SUMIFS(الإدخال!$N$5:$N$644,الإدخال!$A$5:$A$644,I$14,الإدخال!$C$5:$C$644,$B17)</f>
        <v>0</v>
      </c>
      <c r="J17" s="105">
        <f>SUMIFS(الإدخال!$N$5:$N$644,الإدخال!$A$5:$A$644,J$14,الإدخال!$C$5:$C$644,$B17)</f>
        <v>0</v>
      </c>
      <c r="K17" s="105">
        <f>SUMIFS(الإدخال!$N$5:$N$644,الإدخال!$A$5:$A$644,K$14,الإدخال!$C$5:$C$644,$B17)</f>
        <v>0</v>
      </c>
      <c r="L17" s="105">
        <f>SUMIFS(الإدخال!$N$5:$N$644,الإدخال!$A$5:$A$644,L$14,الإدخال!$C$5:$C$644,$B17)</f>
        <v>0</v>
      </c>
      <c r="M17" s="105">
        <f>SUMIFS(الإدخال!$N$5:$N$644,الإدخال!$A$5:$A$644,M$14,الإدخال!$C$5:$C$644,$B17)</f>
        <v>0</v>
      </c>
      <c r="N17" s="105">
        <f>SUMIFS(الإدخال!$N$5:$N$644,الإدخال!$A$5:$A$644,N$14,الإدخال!$C$5:$C$644,$B17)</f>
        <v>0</v>
      </c>
      <c r="O17" s="105">
        <f>SUMIFS(الإدخال!$N$5:$N$644,الإدخال!$A$5:$A$644,O$14,الإدخال!$C$5:$C$644,$B17)</f>
        <v>0</v>
      </c>
      <c r="P17" s="105">
        <f>SUMIFS(الإدخال!$N$5:$N$644,الإدخال!$A$5:$A$644,P$14,الإدخال!$C$5:$C$644,$B17)</f>
        <v>0</v>
      </c>
      <c r="Q17" s="105">
        <f>SUMIFS(الإدخال!$N$5:$N$644,الإدخال!$A$5:$A$644,Q$14,الإدخال!$C$5:$C$644,$B17)</f>
        <v>0</v>
      </c>
      <c r="R17" s="105">
        <f>SUMIFS(الإدخال!$N$5:$N$644,الإدخال!$A$5:$A$644,R$14,الإدخال!$C$5:$C$644,$B17)</f>
        <v>0</v>
      </c>
      <c r="S17" s="106">
        <f>SUMIFS(الإدخال!$N$5:$N$644,الإدخال!$C$5:$C$644,$B17)</f>
        <v>16</v>
      </c>
    </row>
    <row r="18" spans="1:19">
      <c r="A18" s="2"/>
      <c r="B18" s="101" t="str">
        <f>الإعدادات!$C$15</f>
        <v xml:space="preserve">عبدالرحمن بن النعمان </v>
      </c>
      <c r="C18" s="105">
        <f>SUMIFS(الإدخال!$N$5:$N$644,الإدخال!$A$5:$A$644,C$14,الإدخال!$C$5:$C$644,$B18)</f>
        <v>5</v>
      </c>
      <c r="D18" s="105">
        <f>SUMIFS(الإدخال!$N$5:$N$644,الإدخال!$A$5:$A$644,D$14,الإدخال!$C$5:$C$644,$B18)</f>
        <v>6</v>
      </c>
      <c r="E18" s="105">
        <f>SUMIFS(الإدخال!$N$5:$N$644,الإدخال!$A$5:$A$644,E$14,الإدخال!$C$5:$C$644,$B18)</f>
        <v>0</v>
      </c>
      <c r="F18" s="105">
        <f>SUMIFS(الإدخال!$N$5:$N$644,الإدخال!$A$5:$A$644,F$14,الإدخال!$C$5:$C$644,$B18)</f>
        <v>0</v>
      </c>
      <c r="G18" s="105">
        <f>SUMIFS(الإدخال!$N$5:$N$644,الإدخال!$A$5:$A$644,G$14,الإدخال!$C$5:$C$644,$B18)</f>
        <v>0</v>
      </c>
      <c r="H18" s="105">
        <f>SUMIFS(الإدخال!$N$5:$N$644,الإدخال!$A$5:$A$644,H$14,الإدخال!$C$5:$C$644,$B18)</f>
        <v>0</v>
      </c>
      <c r="I18" s="105">
        <f>SUMIFS(الإدخال!$N$5:$N$644,الإدخال!$A$5:$A$644,I$14,الإدخال!$C$5:$C$644,$B18)</f>
        <v>0</v>
      </c>
      <c r="J18" s="105">
        <f>SUMIFS(الإدخال!$N$5:$N$644,الإدخال!$A$5:$A$644,J$14,الإدخال!$C$5:$C$644,$B18)</f>
        <v>0</v>
      </c>
      <c r="K18" s="105">
        <f>SUMIFS(الإدخال!$N$5:$N$644,الإدخال!$A$5:$A$644,K$14,الإدخال!$C$5:$C$644,$B18)</f>
        <v>0</v>
      </c>
      <c r="L18" s="105">
        <f>SUMIFS(الإدخال!$N$5:$N$644,الإدخال!$A$5:$A$644,L$14,الإدخال!$C$5:$C$644,$B18)</f>
        <v>0</v>
      </c>
      <c r="M18" s="105">
        <f>SUMIFS(الإدخال!$N$5:$N$644,الإدخال!$A$5:$A$644,M$14,الإدخال!$C$5:$C$644,$B18)</f>
        <v>0</v>
      </c>
      <c r="N18" s="105">
        <f>SUMIFS(الإدخال!$N$5:$N$644,الإدخال!$A$5:$A$644,N$14,الإدخال!$C$5:$C$644,$B18)</f>
        <v>0</v>
      </c>
      <c r="O18" s="105">
        <f>SUMIFS(الإدخال!$N$5:$N$644,الإدخال!$A$5:$A$644,O$14,الإدخال!$C$5:$C$644,$B18)</f>
        <v>0</v>
      </c>
      <c r="P18" s="105">
        <f>SUMIFS(الإدخال!$N$5:$N$644,الإدخال!$A$5:$A$644,P$14,الإدخال!$C$5:$C$644,$B18)</f>
        <v>0</v>
      </c>
      <c r="Q18" s="105">
        <f>SUMIFS(الإدخال!$N$5:$N$644,الإدخال!$A$5:$A$644,Q$14,الإدخال!$C$5:$C$644,$B18)</f>
        <v>0</v>
      </c>
      <c r="R18" s="105">
        <f>SUMIFS(الإدخال!$N$5:$N$644,الإدخال!$A$5:$A$644,R$14,الإدخال!$C$5:$C$644,$B18)</f>
        <v>0</v>
      </c>
      <c r="S18" s="106">
        <f>SUMIFS(الإدخال!$N$5:$N$644,الإدخال!$C$5:$C$644,$B18)</f>
        <v>11</v>
      </c>
    </row>
    <row r="19" spans="1:19">
      <c r="A19" s="2"/>
      <c r="B19" s="103" t="s">
        <v>137</v>
      </c>
      <c r="C19" s="78">
        <f>SUMIFS(الإدخال!$N$5:$N$644,الإدخال!$A$5:$A$644,C$14)</f>
        <v>29</v>
      </c>
      <c r="D19" s="78">
        <f>SUMIFS(الإدخال!$N$5:$N$644,الإدخال!$A$5:$A$644,D$14)</f>
        <v>29</v>
      </c>
      <c r="E19" s="78">
        <f>SUMIFS(الإدخال!$N$5:$N$644,الإدخال!$A$5:$A$644,E$14)</f>
        <v>0</v>
      </c>
      <c r="F19" s="78">
        <f>SUMIFS(الإدخال!$N$5:$N$644,الإدخال!$A$5:$A$644,F$14)</f>
        <v>0</v>
      </c>
      <c r="G19" s="78">
        <f>SUMIFS(الإدخال!$N$5:$N$644,الإدخال!$A$5:$A$644,G$14)</f>
        <v>0</v>
      </c>
      <c r="H19" s="78">
        <f>SUMIFS(الإدخال!$N$5:$N$644,الإدخال!$A$5:$A$644,H$14)</f>
        <v>0</v>
      </c>
      <c r="I19" s="78">
        <f>SUMIFS(الإدخال!$N$5:$N$644,الإدخال!$A$5:$A$644,I$14)</f>
        <v>0</v>
      </c>
      <c r="J19" s="78">
        <f>SUMIFS(الإدخال!$N$5:$N$644,الإدخال!$A$5:$A$644,J$14)</f>
        <v>0</v>
      </c>
      <c r="K19" s="78">
        <f>SUMIFS(الإدخال!$N$5:$N$644,الإدخال!$A$5:$A$644,K$14)</f>
        <v>0</v>
      </c>
      <c r="L19" s="78">
        <f>SUMIFS(الإدخال!$N$5:$N$644,الإدخال!$A$5:$A$644,L$14)</f>
        <v>0</v>
      </c>
      <c r="M19" s="78">
        <f>SUMIFS(الإدخال!$N$5:$N$644,الإدخال!$A$5:$A$644,M$14)</f>
        <v>0</v>
      </c>
      <c r="N19" s="78">
        <f>SUMIFS(الإدخال!$N$5:$N$644,الإدخال!$A$5:$A$644,N$14)</f>
        <v>0</v>
      </c>
      <c r="O19" s="78">
        <f>SUMIFS(الإدخال!$N$5:$N$644,الإدخال!$A$5:$A$644,O$14)</f>
        <v>0</v>
      </c>
      <c r="P19" s="78">
        <f>SUMIFS(الإدخال!$N$5:$N$644,الإدخال!$A$5:$A$644,P$14)</f>
        <v>0</v>
      </c>
      <c r="Q19" s="78">
        <f>SUMIFS(الإدخال!$N$5:$N$644,الإدخال!$A$5:$A$644,Q$14)</f>
        <v>0</v>
      </c>
      <c r="R19" s="78">
        <f>SUMIFS(الإدخال!$N$5:$N$644,الإدخال!$A$5:$A$644,R$14)</f>
        <v>0</v>
      </c>
      <c r="S19" s="107">
        <f>SUM(الإدخال!$N$5:$N$644)</f>
        <v>58</v>
      </c>
    </row>
    <row r="20" spans="1:19">
      <c r="A20" s="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/>
      <c r="B22" s="99" t="s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31.5" customHeight="1">
      <c r="A23" s="2"/>
      <c r="B23" s="13" t="s">
        <v>12</v>
      </c>
      <c r="C23" s="145">
        <v>1</v>
      </c>
      <c r="D23" s="63">
        <v>2</v>
      </c>
      <c r="E23" s="63">
        <v>3</v>
      </c>
      <c r="F23" s="63">
        <v>4</v>
      </c>
      <c r="G23" s="63">
        <v>5</v>
      </c>
      <c r="H23" s="63">
        <v>6</v>
      </c>
      <c r="I23" s="63">
        <v>7</v>
      </c>
      <c r="J23" s="63">
        <v>8</v>
      </c>
      <c r="K23" s="63">
        <v>9</v>
      </c>
      <c r="L23" s="63">
        <v>10</v>
      </c>
      <c r="M23" s="63">
        <v>11</v>
      </c>
      <c r="N23" s="63">
        <v>12</v>
      </c>
      <c r="O23" s="63">
        <v>13</v>
      </c>
      <c r="P23" s="63">
        <v>14</v>
      </c>
      <c r="Q23" s="63">
        <v>15</v>
      </c>
      <c r="R23" s="63">
        <v>16</v>
      </c>
      <c r="S23" s="17" t="s">
        <v>123</v>
      </c>
    </row>
    <row r="24" spans="1:19">
      <c r="A24" s="2"/>
      <c r="B24" s="146" t="str">
        <f>الإعدادات!$C$12</f>
        <v xml:space="preserve">ابي بن مالك </v>
      </c>
      <c r="C24" s="70">
        <f>IFERROR(SUMIFS(الإدخال!$N$5:$N$644,الإدخال!$A$5:$A$644,C$23,الإدخال!$C$5:$C$644,$B24)/COUNTIFS(الإدخال!$A$5:$A$644,C$23,الإدخال!$C$5:$C$644,$B24,الإدخال!$F$5:$F$644,"&lt;&gt;"),"")</f>
        <v>0.66666666666666663</v>
      </c>
      <c r="D24" s="70">
        <f>IFERROR(SUMIFS(الإدخال!$N$5:$N$644,الإدخال!$A$5:$A$644,D$23,الإدخال!$C$5:$C$644,$B24)/COUNTIFS(الإدخال!$A$5:$A$644,D$23,الإدخال!$C$5:$C$644,$B24,الإدخال!$F$5:$F$644,"&lt;&gt;"),"")</f>
        <v>0.88888888888888884</v>
      </c>
      <c r="E24" s="70" t="str">
        <f>IFERROR(SUMIFS(الإدخال!$N$5:$N$644,الإدخال!$A$5:$A$644,E$23,الإدخال!$C$5:$C$644,$B24)/COUNTIFS(الإدخال!$A$5:$A$644,E$23,الإدخال!$C$5:$C$644,$B24,الإدخال!$F$5:$F$644,"&lt;&gt;"),"")</f>
        <v/>
      </c>
      <c r="F24" s="70" t="str">
        <f>IFERROR(SUMIFS(الإدخال!$N$5:$N$644,الإدخال!$A$5:$A$644,F$23,الإدخال!$C$5:$C$644,$B24)/COUNTIFS(الإدخال!$A$5:$A$644,F$23,الإدخال!$C$5:$C$644,$B24,الإدخال!$F$5:$F$644,"&lt;&gt;"),"")</f>
        <v/>
      </c>
      <c r="G24" s="70" t="str">
        <f>IFERROR(SUMIFS(الإدخال!$N$5:$N$644,الإدخال!$A$5:$A$644,G$23,الإدخال!$C$5:$C$644,$B24)/COUNTIFS(الإدخال!$A$5:$A$644,G$23,الإدخال!$C$5:$C$644,$B24,الإدخال!$F$5:$F$644,"&lt;&gt;"),"")</f>
        <v/>
      </c>
      <c r="H24" s="70" t="str">
        <f>IFERROR(SUMIFS(الإدخال!$N$5:$N$644,الإدخال!$A$5:$A$644,H$23,الإدخال!$C$5:$C$644,$B24)/COUNTIFS(الإدخال!$A$5:$A$644,H$23,الإدخال!$C$5:$C$644,$B24,الإدخال!$F$5:$F$644,"&lt;&gt;"),"")</f>
        <v/>
      </c>
      <c r="I24" s="70" t="str">
        <f>IFERROR(SUMIFS(الإدخال!$N$5:$N$644,الإدخال!$A$5:$A$644,I$23,الإدخال!$C$5:$C$644,$B24)/COUNTIFS(الإدخال!$A$5:$A$644,I$23,الإدخال!$C$5:$C$644,$B24,الإدخال!$F$5:$F$644,"&lt;&gt;"),"")</f>
        <v/>
      </c>
      <c r="J24" s="70" t="str">
        <f>IFERROR(SUMIFS(الإدخال!$N$5:$N$644,الإدخال!$A$5:$A$644,J$23,الإدخال!$C$5:$C$644,$B24)/COUNTIFS(الإدخال!$A$5:$A$644,J$23,الإدخال!$C$5:$C$644,$B24,الإدخال!$F$5:$F$644,"&lt;&gt;"),"")</f>
        <v/>
      </c>
      <c r="K24" s="70" t="str">
        <f>IFERROR(SUMIFS(الإدخال!$N$5:$N$644,الإدخال!$A$5:$A$644,K$23,الإدخال!$C$5:$C$644,$B24)/COUNTIFS(الإدخال!$A$5:$A$644,K$23,الإدخال!$C$5:$C$644,$B24,الإدخال!$F$5:$F$644,"&lt;&gt;"),"")</f>
        <v/>
      </c>
      <c r="L24" s="70" t="str">
        <f>IFERROR(SUMIFS(الإدخال!$N$5:$N$644,الإدخال!$A$5:$A$644,L$23,الإدخال!$C$5:$C$644,$B24)/COUNTIFS(الإدخال!$A$5:$A$644,L$23,الإدخال!$C$5:$C$644,$B24,الإدخال!$F$5:$F$644,"&lt;&gt;"),"")</f>
        <v/>
      </c>
      <c r="M24" s="70" t="str">
        <f>IFERROR(SUMIFS(الإدخال!$N$5:$N$644,الإدخال!$A$5:$A$644,M$23,الإدخال!$C$5:$C$644,$B24)/COUNTIFS(الإدخال!$A$5:$A$644,M$23,الإدخال!$C$5:$C$644,$B24,الإدخال!$F$5:$F$644,"&lt;&gt;"),"")</f>
        <v/>
      </c>
      <c r="N24" s="70" t="str">
        <f>IFERROR(SUMIFS(الإدخال!$N$5:$N$644,الإدخال!$A$5:$A$644,N$23,الإدخال!$C$5:$C$644,$B24)/COUNTIFS(الإدخال!$A$5:$A$644,N$23,الإدخال!$C$5:$C$644,$B24,الإدخال!$F$5:$F$644,"&lt;&gt;"),"")</f>
        <v/>
      </c>
      <c r="O24" s="70" t="str">
        <f>IFERROR(SUMIFS(الإدخال!$N$5:$N$644,الإدخال!$A$5:$A$644,O$23,الإدخال!$C$5:$C$644,$B24)/COUNTIFS(الإدخال!$A$5:$A$644,O$23,الإدخال!$C$5:$C$644,$B24,الإدخال!$F$5:$F$644,"&lt;&gt;"),"")</f>
        <v/>
      </c>
      <c r="P24" s="70" t="str">
        <f>IFERROR(SUMIFS(الإدخال!$N$5:$N$644,الإدخال!$A$5:$A$644,P$23,الإدخال!$C$5:$C$644,$B24)/COUNTIFS(الإدخال!$A$5:$A$644,P$23,الإدخال!$C$5:$C$644,$B24,الإدخال!$F$5:$F$644,"&lt;&gt;"),"")</f>
        <v/>
      </c>
      <c r="Q24" s="70" t="str">
        <f>IFERROR(SUMIFS(الإدخال!$N$5:$N$644,الإدخال!$A$5:$A$644,Q$23,الإدخال!$C$5:$C$644,$B24)/COUNTIFS(الإدخال!$A$5:$A$644,Q$23,الإدخال!$C$5:$C$644,$B24,الإدخال!$F$5:$F$644,"&lt;&gt;"),"")</f>
        <v/>
      </c>
      <c r="R24" s="70" t="str">
        <f>IFERROR(SUMIFS(الإدخال!$N$5:$N$644,الإدخال!$A$5:$A$644,R$23,الإدخال!$C$5:$C$644,$B24)/COUNTIFS(الإدخال!$A$5:$A$644,R$23,الإدخال!$C$5:$C$644,$B24,الإدخال!$F$5:$F$644,"&lt;&gt;"),"")</f>
        <v/>
      </c>
      <c r="S24" s="102">
        <f>IFERROR(SUMIFS(الإدخال!$N$5:$N$644,الإدخال!$C$5:$C$644,$B24)/COUNTIFS(الإدخال!$C$5:$C$644,$B24,الإدخال!$F$5:$F$644,"&lt;&gt;"),"")</f>
        <v>0.77777777777777779</v>
      </c>
    </row>
    <row r="25" spans="1:19">
      <c r="A25" s="2"/>
      <c r="B25" s="101" t="str">
        <f>الإعدادات!$C$13</f>
        <v xml:space="preserve">ابن رجب </v>
      </c>
      <c r="C25" s="70">
        <f>IFERROR(SUMIFS(الإدخال!$N$5:$N$644,الإدخال!$A$5:$A$644,C$23,الإدخال!$C$5:$C$644,$B25)/COUNTIFS(الإدخال!$A$5:$A$644,C$23,الإدخال!$C$5:$C$644,$B25,الإدخال!$F$5:$F$644,"&lt;&gt;"),"")</f>
        <v>0.81818181818181823</v>
      </c>
      <c r="D25" s="70">
        <f>IFERROR(SUMIFS(الإدخال!$N$5:$N$644,الإدخال!$A$5:$A$644,D$23,الإدخال!$C$5:$C$644,$B25)/COUNTIFS(الإدخال!$A$5:$A$644,D$23,الإدخال!$C$5:$C$644,$B25,الإدخال!$F$5:$F$644,"&lt;&gt;"),"")</f>
        <v>0.63636363636363635</v>
      </c>
      <c r="E25" s="70" t="str">
        <f>IFERROR(SUMIFS(الإدخال!$N$5:$N$644,الإدخال!$A$5:$A$644,E$23,الإدخال!$C$5:$C$644,$B25)/COUNTIFS(الإدخال!$A$5:$A$644,E$23,الإدخال!$C$5:$C$644,$B25,الإدخال!$F$5:$F$644,"&lt;&gt;"),"")</f>
        <v/>
      </c>
      <c r="F25" s="70" t="str">
        <f>IFERROR(SUMIFS(الإدخال!$N$5:$N$644,الإدخال!$A$5:$A$644,F$23,الإدخال!$C$5:$C$644,$B25)/COUNTIFS(الإدخال!$A$5:$A$644,F$23,الإدخال!$C$5:$C$644,$B25,الإدخال!$F$5:$F$644,"&lt;&gt;"),"")</f>
        <v/>
      </c>
      <c r="G25" s="70" t="str">
        <f>IFERROR(SUMIFS(الإدخال!$N$5:$N$644,الإدخال!$A$5:$A$644,G$23,الإدخال!$C$5:$C$644,$B25)/COUNTIFS(الإدخال!$A$5:$A$644,G$23,الإدخال!$C$5:$C$644,$B25,الإدخال!$F$5:$F$644,"&lt;&gt;"),"")</f>
        <v/>
      </c>
      <c r="H25" s="70" t="str">
        <f>IFERROR(SUMIFS(الإدخال!$N$5:$N$644,الإدخال!$A$5:$A$644,H$23,الإدخال!$C$5:$C$644,$B25)/COUNTIFS(الإدخال!$A$5:$A$644,H$23,الإدخال!$C$5:$C$644,$B25,الإدخال!$F$5:$F$644,"&lt;&gt;"),"")</f>
        <v/>
      </c>
      <c r="I25" s="70" t="str">
        <f>IFERROR(SUMIFS(الإدخال!$N$5:$N$644,الإدخال!$A$5:$A$644,I$23,الإدخال!$C$5:$C$644,$B25)/COUNTIFS(الإدخال!$A$5:$A$644,I$23,الإدخال!$C$5:$C$644,$B25,الإدخال!$F$5:$F$644,"&lt;&gt;"),"")</f>
        <v/>
      </c>
      <c r="J25" s="70" t="str">
        <f>IFERROR(SUMIFS(الإدخال!$N$5:$N$644,الإدخال!$A$5:$A$644,J$23,الإدخال!$C$5:$C$644,$B25)/COUNTIFS(الإدخال!$A$5:$A$644,J$23,الإدخال!$C$5:$C$644,$B25,الإدخال!$F$5:$F$644,"&lt;&gt;"),"")</f>
        <v/>
      </c>
      <c r="K25" s="70" t="str">
        <f>IFERROR(SUMIFS(الإدخال!$N$5:$N$644,الإدخال!$A$5:$A$644,K$23,الإدخال!$C$5:$C$644,$B25)/COUNTIFS(الإدخال!$A$5:$A$644,K$23,الإدخال!$C$5:$C$644,$B25,الإدخال!$F$5:$F$644,"&lt;&gt;"),"")</f>
        <v/>
      </c>
      <c r="L25" s="70" t="str">
        <f>IFERROR(SUMIFS(الإدخال!$N$5:$N$644,الإدخال!$A$5:$A$644,L$23,الإدخال!$C$5:$C$644,$B25)/COUNTIFS(الإدخال!$A$5:$A$644,L$23,الإدخال!$C$5:$C$644,$B25,الإدخال!$F$5:$F$644,"&lt;&gt;"),"")</f>
        <v/>
      </c>
      <c r="M25" s="70" t="str">
        <f>IFERROR(SUMIFS(الإدخال!$N$5:$N$644,الإدخال!$A$5:$A$644,M$23,الإدخال!$C$5:$C$644,$B25)/COUNTIFS(الإدخال!$A$5:$A$644,M$23,الإدخال!$C$5:$C$644,$B25,الإدخال!$F$5:$F$644,"&lt;&gt;"),"")</f>
        <v/>
      </c>
      <c r="N25" s="70" t="str">
        <f>IFERROR(SUMIFS(الإدخال!$N$5:$N$644,الإدخال!$A$5:$A$644,N$23,الإدخال!$C$5:$C$644,$B25)/COUNTIFS(الإدخال!$A$5:$A$644,N$23,الإدخال!$C$5:$C$644,$B25,الإدخال!$F$5:$F$644,"&lt;&gt;"),"")</f>
        <v/>
      </c>
      <c r="O25" s="70" t="str">
        <f>IFERROR(SUMIFS(الإدخال!$N$5:$N$644,الإدخال!$A$5:$A$644,O$23,الإدخال!$C$5:$C$644,$B25)/COUNTIFS(الإدخال!$A$5:$A$644,O$23,الإدخال!$C$5:$C$644,$B25,الإدخال!$F$5:$F$644,"&lt;&gt;"),"")</f>
        <v/>
      </c>
      <c r="P25" s="70" t="str">
        <f>IFERROR(SUMIFS(الإدخال!$N$5:$N$644,الإدخال!$A$5:$A$644,P$23,الإدخال!$C$5:$C$644,$B25)/COUNTIFS(الإدخال!$A$5:$A$644,P$23,الإدخال!$C$5:$C$644,$B25,الإدخال!$F$5:$F$644,"&lt;&gt;"),"")</f>
        <v/>
      </c>
      <c r="Q25" s="70" t="str">
        <f>IFERROR(SUMIFS(الإدخال!$N$5:$N$644,الإدخال!$A$5:$A$644,Q$23,الإدخال!$C$5:$C$644,$B25)/COUNTIFS(الإدخال!$A$5:$A$644,Q$23,الإدخال!$C$5:$C$644,$B25,الإدخال!$F$5:$F$644,"&lt;&gt;"),"")</f>
        <v/>
      </c>
      <c r="R25" s="70" t="str">
        <f>IFERROR(SUMIFS(الإدخال!$N$5:$N$644,الإدخال!$A$5:$A$644,R$23,الإدخال!$C$5:$C$644,$B25)/COUNTIFS(الإدخال!$A$5:$A$644,R$23,الإدخال!$C$5:$C$644,$B25,الإدخال!$F$5:$F$644,"&lt;&gt;"),"")</f>
        <v/>
      </c>
      <c r="S25" s="102">
        <f>IFERROR(SUMIFS(الإدخال!$N$5:$N$644,الإدخال!$C$5:$C$644,$B25)/COUNTIFS(الإدخال!$C$5:$C$644,$B25,الإدخال!$F$5:$F$644,"&lt;&gt;"),"")</f>
        <v>0.72727272727272729</v>
      </c>
    </row>
    <row r="26" spans="1:19">
      <c r="A26" s="2"/>
      <c r="B26" s="101" t="str">
        <f>الإعدادات!$C$14</f>
        <v xml:space="preserve">حسان بن ثابت </v>
      </c>
      <c r="C26" s="70">
        <f>IFERROR(SUMIFS(الإدخال!$N$5:$N$644,الإدخال!$A$5:$A$644,C$23,الإدخال!$C$5:$C$644,$B26)/COUNTIFS(الإدخال!$A$5:$A$644,C$23,الإدخال!$C$5:$C$644,$B26,الإدخال!$F$5:$F$644,"&lt;&gt;"),"")</f>
        <v>0.9</v>
      </c>
      <c r="D26" s="70">
        <f>IFERROR(SUMIFS(الإدخال!$N$5:$N$644,الإدخال!$A$5:$A$644,D$23,الإدخال!$C$5:$C$644,$B26)/COUNTIFS(الإدخال!$A$5:$A$644,D$23,الإدخال!$C$5:$C$644,$B26,الإدخال!$F$5:$F$644,"&lt;&gt;"),"")</f>
        <v>0.63636363636363635</v>
      </c>
      <c r="E26" s="70" t="str">
        <f>IFERROR(SUMIFS(الإدخال!$N$5:$N$644,الإدخال!$A$5:$A$644,E$23,الإدخال!$C$5:$C$644,$B26)/COUNTIFS(الإدخال!$A$5:$A$644,E$23,الإدخال!$C$5:$C$644,$B26,الإدخال!$F$5:$F$644,"&lt;&gt;"),"")</f>
        <v/>
      </c>
      <c r="F26" s="70" t="str">
        <f>IFERROR(SUMIFS(الإدخال!$N$5:$N$644,الإدخال!$A$5:$A$644,F$23,الإدخال!$C$5:$C$644,$B26)/COUNTIFS(الإدخال!$A$5:$A$644,F$23,الإدخال!$C$5:$C$644,$B26,الإدخال!$F$5:$F$644,"&lt;&gt;"),"")</f>
        <v/>
      </c>
      <c r="G26" s="70" t="str">
        <f>IFERROR(SUMIFS(الإدخال!$N$5:$N$644,الإدخال!$A$5:$A$644,G$23,الإدخال!$C$5:$C$644,$B26)/COUNTIFS(الإدخال!$A$5:$A$644,G$23,الإدخال!$C$5:$C$644,$B26,الإدخال!$F$5:$F$644,"&lt;&gt;"),"")</f>
        <v/>
      </c>
      <c r="H26" s="70" t="str">
        <f>IFERROR(SUMIFS(الإدخال!$N$5:$N$644,الإدخال!$A$5:$A$644,H$23,الإدخال!$C$5:$C$644,$B26)/COUNTIFS(الإدخال!$A$5:$A$644,H$23,الإدخال!$C$5:$C$644,$B26,الإدخال!$F$5:$F$644,"&lt;&gt;"),"")</f>
        <v/>
      </c>
      <c r="I26" s="70" t="str">
        <f>IFERROR(SUMIFS(الإدخال!$N$5:$N$644,الإدخال!$A$5:$A$644,I$23,الإدخال!$C$5:$C$644,$B26)/COUNTIFS(الإدخال!$A$5:$A$644,I$23,الإدخال!$C$5:$C$644,$B26,الإدخال!$F$5:$F$644,"&lt;&gt;"),"")</f>
        <v/>
      </c>
      <c r="J26" s="70" t="str">
        <f>IFERROR(SUMIFS(الإدخال!$N$5:$N$644,الإدخال!$A$5:$A$644,J$23,الإدخال!$C$5:$C$644,$B26)/COUNTIFS(الإدخال!$A$5:$A$644,J$23,الإدخال!$C$5:$C$644,$B26,الإدخال!$F$5:$F$644,"&lt;&gt;"),"")</f>
        <v/>
      </c>
      <c r="K26" s="70" t="str">
        <f>IFERROR(SUMIFS(الإدخال!$N$5:$N$644,الإدخال!$A$5:$A$644,K$23,الإدخال!$C$5:$C$644,$B26)/COUNTIFS(الإدخال!$A$5:$A$644,K$23,الإدخال!$C$5:$C$644,$B26,الإدخال!$F$5:$F$644,"&lt;&gt;"),"")</f>
        <v/>
      </c>
      <c r="L26" s="70" t="str">
        <f>IFERROR(SUMIFS(الإدخال!$N$5:$N$644,الإدخال!$A$5:$A$644,L$23,الإدخال!$C$5:$C$644,$B26)/COUNTIFS(الإدخال!$A$5:$A$644,L$23,الإدخال!$C$5:$C$644,$B26,الإدخال!$F$5:$F$644,"&lt;&gt;"),"")</f>
        <v/>
      </c>
      <c r="M26" s="70" t="str">
        <f>IFERROR(SUMIFS(الإدخال!$N$5:$N$644,الإدخال!$A$5:$A$644,M$23,الإدخال!$C$5:$C$644,$B26)/COUNTIFS(الإدخال!$A$5:$A$644,M$23,الإدخال!$C$5:$C$644,$B26,الإدخال!$F$5:$F$644,"&lt;&gt;"),"")</f>
        <v/>
      </c>
      <c r="N26" s="70" t="str">
        <f>IFERROR(SUMIFS(الإدخال!$N$5:$N$644,الإدخال!$A$5:$A$644,N$23,الإدخال!$C$5:$C$644,$B26)/COUNTIFS(الإدخال!$A$5:$A$644,N$23,الإدخال!$C$5:$C$644,$B26,الإدخال!$F$5:$F$644,"&lt;&gt;"),"")</f>
        <v/>
      </c>
      <c r="O26" s="70" t="str">
        <f>IFERROR(SUMIFS(الإدخال!$N$5:$N$644,الإدخال!$A$5:$A$644,O$23,الإدخال!$C$5:$C$644,$B26)/COUNTIFS(الإدخال!$A$5:$A$644,O$23,الإدخال!$C$5:$C$644,$B26,الإدخال!$F$5:$F$644,"&lt;&gt;"),"")</f>
        <v/>
      </c>
      <c r="P26" s="70" t="str">
        <f>IFERROR(SUMIFS(الإدخال!$N$5:$N$644,الإدخال!$A$5:$A$644,P$23,الإدخال!$C$5:$C$644,$B26)/COUNTIFS(الإدخال!$A$5:$A$644,P$23,الإدخال!$C$5:$C$644,$B26,الإدخال!$F$5:$F$644,"&lt;&gt;"),"")</f>
        <v/>
      </c>
      <c r="Q26" s="70" t="str">
        <f>IFERROR(SUMIFS(الإدخال!$N$5:$N$644,الإدخال!$A$5:$A$644,Q$23,الإدخال!$C$5:$C$644,$B26)/COUNTIFS(الإدخال!$A$5:$A$644,Q$23,الإدخال!$C$5:$C$644,$B26,الإدخال!$F$5:$F$644,"&lt;&gt;"),"")</f>
        <v/>
      </c>
      <c r="R26" s="70" t="str">
        <f>IFERROR(SUMIFS(الإدخال!$N$5:$N$644,الإدخال!$A$5:$A$644,R$23,الإدخال!$C$5:$C$644,$B26)/COUNTIFS(الإدخال!$A$5:$A$644,R$23,الإدخال!$C$5:$C$644,$B26,الإدخال!$F$5:$F$644,"&lt;&gt;"),"")</f>
        <v/>
      </c>
      <c r="S26" s="102">
        <f>IFERROR(SUMIFS(الإدخال!$N$5:$N$644,الإدخال!$C$5:$C$644,$B26)/COUNTIFS(الإدخال!$C$5:$C$644,$B26,الإدخال!$F$5:$F$644,"&lt;&gt;"),"")</f>
        <v>0.76190476190476186</v>
      </c>
    </row>
    <row r="27" spans="1:19">
      <c r="A27" s="2"/>
      <c r="B27" s="101" t="str">
        <f>الإعدادات!$C$15</f>
        <v xml:space="preserve">عبدالرحمن بن النعمان </v>
      </c>
      <c r="C27" s="70">
        <f>IFERROR(SUMIFS(الإدخال!$N$5:$N$644,الإدخال!$A$5:$A$644,C$23,الإدخال!$C$5:$C$644,$B27)/COUNTIFS(الإدخال!$A$5:$A$644,C$23,الإدخال!$C$5:$C$644,$B27,الإدخال!$F$5:$F$644,"&lt;&gt;"),"")</f>
        <v>1</v>
      </c>
      <c r="D27" s="70">
        <f>IFERROR(SUMIFS(الإدخال!$N$5:$N$644,الإدخال!$A$5:$A$644,D$23,الإدخال!$C$5:$C$644,$B27)/COUNTIFS(الإدخال!$A$5:$A$644,D$23,الإدخال!$C$5:$C$644,$B27,الإدخال!$F$5:$F$644,"&lt;&gt;"),"")</f>
        <v>1</v>
      </c>
      <c r="E27" s="70" t="str">
        <f>IFERROR(SUMIFS(الإدخال!$N$5:$N$644,الإدخال!$A$5:$A$644,E$23,الإدخال!$C$5:$C$644,$B27)/COUNTIFS(الإدخال!$A$5:$A$644,E$23,الإدخال!$C$5:$C$644,$B27,الإدخال!$F$5:$F$644,"&lt;&gt;"),"")</f>
        <v/>
      </c>
      <c r="F27" s="70" t="str">
        <f>IFERROR(SUMIFS(الإدخال!$N$5:$N$644,الإدخال!$A$5:$A$644,F$23,الإدخال!$C$5:$C$644,$B27)/COUNTIFS(الإدخال!$A$5:$A$644,F$23,الإدخال!$C$5:$C$644,$B27,الإدخال!$F$5:$F$644,"&lt;&gt;"),"")</f>
        <v/>
      </c>
      <c r="G27" s="70" t="str">
        <f>IFERROR(SUMIFS(الإدخال!$N$5:$N$644,الإدخال!$A$5:$A$644,G$23,الإدخال!$C$5:$C$644,$B27)/COUNTIFS(الإدخال!$A$5:$A$644,G$23,الإدخال!$C$5:$C$644,$B27,الإدخال!$F$5:$F$644,"&lt;&gt;"),"")</f>
        <v/>
      </c>
      <c r="H27" s="70" t="str">
        <f>IFERROR(SUMIFS(الإدخال!$N$5:$N$644,الإدخال!$A$5:$A$644,H$23,الإدخال!$C$5:$C$644,$B27)/COUNTIFS(الإدخال!$A$5:$A$644,H$23,الإدخال!$C$5:$C$644,$B27,الإدخال!$F$5:$F$644,"&lt;&gt;"),"")</f>
        <v/>
      </c>
      <c r="I27" s="70" t="str">
        <f>IFERROR(SUMIFS(الإدخال!$N$5:$N$644,الإدخال!$A$5:$A$644,I$23,الإدخال!$C$5:$C$644,$B27)/COUNTIFS(الإدخال!$A$5:$A$644,I$23,الإدخال!$C$5:$C$644,$B27,الإدخال!$F$5:$F$644,"&lt;&gt;"),"")</f>
        <v/>
      </c>
      <c r="J27" s="70" t="str">
        <f>IFERROR(SUMIFS(الإدخال!$N$5:$N$644,الإدخال!$A$5:$A$644,J$23,الإدخال!$C$5:$C$644,$B27)/COUNTIFS(الإدخال!$A$5:$A$644,J$23,الإدخال!$C$5:$C$644,$B27,الإدخال!$F$5:$F$644,"&lt;&gt;"),"")</f>
        <v/>
      </c>
      <c r="K27" s="70" t="str">
        <f>IFERROR(SUMIFS(الإدخال!$N$5:$N$644,الإدخال!$A$5:$A$644,K$23,الإدخال!$C$5:$C$644,$B27)/COUNTIFS(الإدخال!$A$5:$A$644,K$23,الإدخال!$C$5:$C$644,$B27,الإدخال!$F$5:$F$644,"&lt;&gt;"),"")</f>
        <v/>
      </c>
      <c r="L27" s="70" t="str">
        <f>IFERROR(SUMIFS(الإدخال!$N$5:$N$644,الإدخال!$A$5:$A$644,L$23,الإدخال!$C$5:$C$644,$B27)/COUNTIFS(الإدخال!$A$5:$A$644,L$23,الإدخال!$C$5:$C$644,$B27,الإدخال!$F$5:$F$644,"&lt;&gt;"),"")</f>
        <v/>
      </c>
      <c r="M27" s="70" t="str">
        <f>IFERROR(SUMIFS(الإدخال!$N$5:$N$644,الإدخال!$A$5:$A$644,M$23,الإدخال!$C$5:$C$644,$B27)/COUNTIFS(الإدخال!$A$5:$A$644,M$23,الإدخال!$C$5:$C$644,$B27,الإدخال!$F$5:$F$644,"&lt;&gt;"),"")</f>
        <v/>
      </c>
      <c r="N27" s="70" t="str">
        <f>IFERROR(SUMIFS(الإدخال!$N$5:$N$644,الإدخال!$A$5:$A$644,N$23,الإدخال!$C$5:$C$644,$B27)/COUNTIFS(الإدخال!$A$5:$A$644,N$23,الإدخال!$C$5:$C$644,$B27,الإدخال!$F$5:$F$644,"&lt;&gt;"),"")</f>
        <v/>
      </c>
      <c r="O27" s="70" t="str">
        <f>IFERROR(SUMIFS(الإدخال!$N$5:$N$644,الإدخال!$A$5:$A$644,O$23,الإدخال!$C$5:$C$644,$B27)/COUNTIFS(الإدخال!$A$5:$A$644,O$23,الإدخال!$C$5:$C$644,$B27,الإدخال!$F$5:$F$644,"&lt;&gt;"),"")</f>
        <v/>
      </c>
      <c r="P27" s="70" t="str">
        <f>IFERROR(SUMIFS(الإدخال!$N$5:$N$644,الإدخال!$A$5:$A$644,P$23,الإدخال!$C$5:$C$644,$B27)/COUNTIFS(الإدخال!$A$5:$A$644,P$23,الإدخال!$C$5:$C$644,$B27,الإدخال!$F$5:$F$644,"&lt;&gt;"),"")</f>
        <v/>
      </c>
      <c r="Q27" s="70" t="str">
        <f>IFERROR(SUMIFS(الإدخال!$N$5:$N$644,الإدخال!$A$5:$A$644,Q$23,الإدخال!$C$5:$C$644,$B27)/COUNTIFS(الإدخال!$A$5:$A$644,Q$23,الإدخال!$C$5:$C$644,$B27,الإدخال!$F$5:$F$644,"&lt;&gt;"),"")</f>
        <v/>
      </c>
      <c r="R27" s="70" t="str">
        <f>IFERROR(SUMIFS(الإدخال!$N$5:$N$644,الإدخال!$A$5:$A$644,R$23,الإدخال!$C$5:$C$644,$B27)/COUNTIFS(الإدخال!$A$5:$A$644,R$23,الإدخال!$C$5:$C$644,$B27,الإدخال!$F$5:$F$644,"&lt;&gt;"),"")</f>
        <v/>
      </c>
      <c r="S27" s="102">
        <f>IFERROR(SUMIFS(الإدخال!$N$5:$N$644,الإدخال!$C$5:$C$644,$B27)/COUNTIFS(الإدخال!$C$5:$C$644,$B27,الإدخال!$F$5:$F$644,"&lt;&gt;"),"")</f>
        <v>1</v>
      </c>
    </row>
    <row r="28" spans="1:19">
      <c r="A28" s="2"/>
      <c r="B28" s="103" t="s">
        <v>137</v>
      </c>
      <c r="C28" s="76">
        <f>IFERROR(SUMIFS(الإدخال!$N$5:$N$644,الإدخال!$A$5:$A$644,C$23)/COUNTIFS(الإدخال!$A$5:$A$644,C$23,الإدخال!$F$5:$F$644,"&lt;&gt;"),"")</f>
        <v>0.82857142857142863</v>
      </c>
      <c r="D28" s="76">
        <f>IFERROR(SUMIFS(الإدخال!$N$5:$N$644,الإدخال!$A$5:$A$644,D$23)/COUNTIFS(الإدخال!$A$5:$A$644,D$23,الإدخال!$F$5:$F$644,"&lt;&gt;"),"")</f>
        <v>0.76315789473684215</v>
      </c>
      <c r="E28" s="76" t="str">
        <f>IFERROR(SUMIFS(الإدخال!$N$5:$N$644,الإدخال!$A$5:$A$644,E$23)/COUNTIFS(الإدخال!$A$5:$A$644,E$23,الإدخال!$F$5:$F$644,"&lt;&gt;"),"")</f>
        <v/>
      </c>
      <c r="F28" s="76" t="str">
        <f>IFERROR(SUMIFS(الإدخال!$N$5:$N$644,الإدخال!$A$5:$A$644,F$23)/COUNTIFS(الإدخال!$A$5:$A$644,F$23,الإدخال!$F$5:$F$644,"&lt;&gt;"),"")</f>
        <v/>
      </c>
      <c r="G28" s="76" t="str">
        <f>IFERROR(SUMIFS(الإدخال!$N$5:$N$644,الإدخال!$A$5:$A$644,G$23)/COUNTIFS(الإدخال!$A$5:$A$644,G$23,الإدخال!$F$5:$F$644,"&lt;&gt;"),"")</f>
        <v/>
      </c>
      <c r="H28" s="76" t="str">
        <f>IFERROR(SUMIFS(الإدخال!$N$5:$N$644,الإدخال!$A$5:$A$644,H$23)/COUNTIFS(الإدخال!$A$5:$A$644,H$23,الإدخال!$F$5:$F$644,"&lt;&gt;"),"")</f>
        <v/>
      </c>
      <c r="I28" s="76" t="str">
        <f>IFERROR(SUMIFS(الإدخال!$N$5:$N$644,الإدخال!$A$5:$A$644,I$23)/COUNTIFS(الإدخال!$A$5:$A$644,I$23,الإدخال!$F$5:$F$644,"&lt;&gt;"),"")</f>
        <v/>
      </c>
      <c r="J28" s="76" t="str">
        <f>IFERROR(SUMIFS(الإدخال!$N$5:$N$644,الإدخال!$A$5:$A$644,J$23)/COUNTIFS(الإدخال!$A$5:$A$644,J$23,الإدخال!$F$5:$F$644,"&lt;&gt;"),"")</f>
        <v/>
      </c>
      <c r="K28" s="76" t="str">
        <f>IFERROR(SUMIFS(الإدخال!$N$5:$N$644,الإدخال!$A$5:$A$644,K$23)/COUNTIFS(الإدخال!$A$5:$A$644,K$23,الإدخال!$F$5:$F$644,"&lt;&gt;"),"")</f>
        <v/>
      </c>
      <c r="L28" s="76" t="str">
        <f>IFERROR(SUMIFS(الإدخال!$N$5:$N$644,الإدخال!$A$5:$A$644,L$23)/COUNTIFS(الإدخال!$A$5:$A$644,L$23,الإدخال!$F$5:$F$644,"&lt;&gt;"),"")</f>
        <v/>
      </c>
      <c r="M28" s="76" t="str">
        <f>IFERROR(SUMIFS(الإدخال!$N$5:$N$644,الإدخال!$A$5:$A$644,M$23)/COUNTIFS(الإدخال!$A$5:$A$644,M$23,الإدخال!$F$5:$F$644,"&lt;&gt;"),"")</f>
        <v/>
      </c>
      <c r="N28" s="76" t="str">
        <f>IFERROR(SUMIFS(الإدخال!$N$5:$N$644,الإدخال!$A$5:$A$644,N$23)/COUNTIFS(الإدخال!$A$5:$A$644,N$23,الإدخال!$F$5:$F$644,"&lt;&gt;"),"")</f>
        <v/>
      </c>
      <c r="O28" s="76" t="str">
        <f>IFERROR(SUMIFS(الإدخال!$N$5:$N$644,الإدخال!$A$5:$A$644,O$23)/COUNTIFS(الإدخال!$A$5:$A$644,O$23,الإدخال!$F$5:$F$644,"&lt;&gt;"),"")</f>
        <v/>
      </c>
      <c r="P28" s="76" t="str">
        <f>IFERROR(SUMIFS(الإدخال!$N$5:$N$644,الإدخال!$A$5:$A$644,P$23)/COUNTIFS(الإدخال!$A$5:$A$644,P$23,الإدخال!$F$5:$F$644,"&lt;&gt;"),"")</f>
        <v/>
      </c>
      <c r="Q28" s="76" t="str">
        <f>IFERROR(SUMIFS(الإدخال!$N$5:$N$644,الإدخال!$A$5:$A$644,Q$23)/COUNTIFS(الإدخال!$A$5:$A$644,Q$23,الإدخال!$F$5:$F$644,"&lt;&gt;"),"")</f>
        <v/>
      </c>
      <c r="R28" s="76" t="str">
        <f>IFERROR(SUMIFS(الإدخال!$N$5:$N$644,الإدخال!$A$5:$A$644,R$23)/COUNTIFS(الإدخال!$A$5:$A$644,R$23,الإدخال!$F$5:$F$644,"&lt;&gt;"),"")</f>
        <v/>
      </c>
      <c r="S28" s="104">
        <f>IFERROR(SUM(الإدخال!$N$5:$N$644)/COUNTIFS(الإدخال!$F$5:$F$644,"&lt;&gt;"),"")</f>
        <v>0.79452054794520544</v>
      </c>
    </row>
    <row r="29" spans="1:19">
      <c r="A29" s="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2"/>
      <c r="B31" s="99" t="s">
        <v>139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36" customHeight="1">
      <c r="A32" s="2"/>
      <c r="B32" s="13" t="s">
        <v>12</v>
      </c>
      <c r="C32" s="141" t="s">
        <v>140</v>
      </c>
      <c r="D32" s="15" t="s">
        <v>141</v>
      </c>
      <c r="E32" s="15" t="s">
        <v>142</v>
      </c>
      <c r="F32" s="15" t="s">
        <v>143</v>
      </c>
      <c r="G32" s="15" t="s">
        <v>120</v>
      </c>
      <c r="H32" s="15" t="s">
        <v>121</v>
      </c>
      <c r="I32" s="15" t="s">
        <v>122</v>
      </c>
      <c r="J32" s="15" t="s">
        <v>40</v>
      </c>
      <c r="K32" s="15" t="s">
        <v>38</v>
      </c>
      <c r="L32" s="15" t="s">
        <v>44</v>
      </c>
      <c r="M32" s="15" t="s">
        <v>61</v>
      </c>
      <c r="N32" s="15" t="s">
        <v>62</v>
      </c>
      <c r="O32" s="15" t="s">
        <v>63</v>
      </c>
      <c r="P32" s="36"/>
      <c r="Q32" s="2"/>
      <c r="R32" s="2"/>
      <c r="S32" s="2"/>
    </row>
    <row r="33" spans="1:19" ht="27.95">
      <c r="A33" s="2"/>
      <c r="B33" s="146" t="str">
        <f>الإعدادات!$C$12</f>
        <v xml:space="preserve">ابي بن مالك </v>
      </c>
      <c r="C33" s="72">
        <f>COUNTIF(الطلاب!$D$5:$D$44,$B33)</f>
        <v>9</v>
      </c>
      <c r="D33" s="72">
        <f>COUNTIFS(الطلاب!$D$5:$D$44,$B33,الطلاب!$C$5:$C$44,الإعدادات!$C$8)</f>
        <v>0</v>
      </c>
      <c r="E33" s="72">
        <f>COUNTIFS(الطلاب!$D$5:$D$44,$B33,الطلاب!$C$5:$C$44,الإعدادات!$C$9)</f>
        <v>9</v>
      </c>
      <c r="F33" s="72">
        <f>SUMIFS(الإدخال!$N$5:$N$644,الإدخال!$C$5:$C$644,$B33)</f>
        <v>14</v>
      </c>
      <c r="G33" s="72">
        <f>COUNTIFS(الإدخال!$C$5:$C$644,$B33,الإدخال!$F$5:$F$644,"متأخر")</f>
        <v>0</v>
      </c>
      <c r="H33" s="72">
        <f>COUNTIFS(الإدخال!$C$5:$C$644,$B33,الإدخال!$F$5:$F$644,"غائب")</f>
        <v>1</v>
      </c>
      <c r="I33" s="72">
        <f>COUNTIFS(الإدخال!$C$5:$C$644,$B33,الإدخال!$F$5:$F$644,"معتذر")</f>
        <v>3</v>
      </c>
      <c r="J33" s="70">
        <f>IFERROR(SUMIFS(الإدخال!$N$5:$N$644,الإدخال!$C$5:$C$644,$B33)/COUNTIFS(الإدخال!$C$5:$C$644,$B33,الإدخال!$F$5:$F$644,"&lt;&gt;"),"")</f>
        <v>0.77777777777777779</v>
      </c>
      <c r="K33" s="71">
        <f>IFERROR(SUMIFS(الإدخال!$O$5:$O$644,الإدخال!$C$5:$C$644,$B33)/SUMIFS(الإدخال!$P$5:$P$644,الإدخال!$C$5:$C$644,$B33)/100,"")</f>
        <v>0.60444444444444445</v>
      </c>
      <c r="L33" s="72" t="str">
        <f>IF(K33="","",IF(K33&gt;=0.9,"ممتاز",IF(K33&gt;=0.8,"جيد جدًا",IF(K33&gt;=0.7,"جيد",IF(K33&gt;=0.6,"مقبول","يحتاج متابعة")))))</f>
        <v>مقبول</v>
      </c>
      <c r="M33" s="73">
        <f>SUMIFS(الإدخال!$H$5:$H$644,الإدخال!$C$5:$C$644,$B33,الإدخال!$N$5:$N$644,1)</f>
        <v>31</v>
      </c>
      <c r="N33" s="73">
        <f>SUMIFS(الإدخال!$I$5:$I$644,الإدخال!$C$5:$C$644,$B33,الإدخال!$N$5:$N$644,1)</f>
        <v>310</v>
      </c>
      <c r="O33" s="73">
        <f>SUMIFS(الإدخال!$J$5:$J$644,الإدخال!$C$5:$C$644,$B33,الإدخال!$N$5:$N$644,1)</f>
        <v>0</v>
      </c>
      <c r="P33" s="36"/>
      <c r="Q33" s="2"/>
      <c r="R33" s="2"/>
      <c r="S33" s="2"/>
    </row>
    <row r="34" spans="1:19">
      <c r="A34" s="2"/>
      <c r="B34" s="101" t="str">
        <f>الإعدادات!$C$13</f>
        <v xml:space="preserve">ابن رجب </v>
      </c>
      <c r="C34" s="72">
        <f>COUNTIF(الطلاب!$D$5:$D$44,$B34)</f>
        <v>11</v>
      </c>
      <c r="D34" s="72">
        <f>COUNTIFS(الطلاب!$D$5:$D$44,$B34,الطلاب!$C$5:$C$44,الإعدادات!$C$8)</f>
        <v>4</v>
      </c>
      <c r="E34" s="72">
        <f>COUNTIFS(الطلاب!$D$5:$D$44,$B34,الطلاب!$C$5:$C$44,الإعدادات!$C$9)</f>
        <v>7</v>
      </c>
      <c r="F34" s="72">
        <f>SUMIFS(الإدخال!$N$5:$N$644,الإدخال!$C$5:$C$644,$B34)</f>
        <v>16</v>
      </c>
      <c r="G34" s="72">
        <f>COUNTIFS(الإدخال!$C$5:$C$644,$B34,الإدخال!$F$5:$F$644,"متأخر")</f>
        <v>0</v>
      </c>
      <c r="H34" s="72">
        <f>COUNTIFS(الإدخال!$C$5:$C$644,$B34,الإدخال!$F$5:$F$644,"غائب")</f>
        <v>3</v>
      </c>
      <c r="I34" s="72">
        <f>COUNTIFS(الإدخال!$C$5:$C$644,$B34,الإدخال!$F$5:$F$644,"معتذر")</f>
        <v>3</v>
      </c>
      <c r="J34" s="70">
        <f>IFERROR(SUMIFS(الإدخال!$N$5:$N$644,الإدخال!$C$5:$C$644,$B34)/COUNTIFS(الإدخال!$C$5:$C$644,$B34,الإدخال!$F$5:$F$644,"&lt;&gt;"),"")</f>
        <v>0.72727272727272729</v>
      </c>
      <c r="K34" s="71">
        <f>IFERROR(SUMIFS(الإدخال!$O$5:$O$644,الإدخال!$C$5:$C$644,$B34)/SUMIFS(الإدخال!$P$5:$P$644,الإدخال!$C$5:$C$644,$B34)/100,"")</f>
        <v>0.63545454545454549</v>
      </c>
      <c r="L34" s="72" t="str">
        <f>IF(K34="","",IF(K34&gt;=0.9,"ممتاز",IF(K34&gt;=0.8,"جيد جدًا",IF(K34&gt;=0.7,"جيد",IF(K34&gt;=0.6,"مقبول","يحتاج متابعة")))))</f>
        <v>مقبول</v>
      </c>
      <c r="M34" s="73">
        <f>SUMIFS(الإدخال!$H$5:$H$644,الإدخال!$C$5:$C$644,$B34,الإدخال!$N$5:$N$644,1)</f>
        <v>49</v>
      </c>
      <c r="N34" s="73">
        <f>SUMIFS(الإدخال!$I$5:$I$644,الإدخال!$C$5:$C$644,$B34,الإدخال!$N$5:$N$644,1)</f>
        <v>363</v>
      </c>
      <c r="O34" s="73">
        <f>SUMIFS(الإدخال!$J$5:$J$644,الإدخال!$C$5:$C$644,$B34,الإدخال!$N$5:$N$644,1)</f>
        <v>0</v>
      </c>
      <c r="P34" s="36"/>
      <c r="Q34" s="2"/>
      <c r="R34" s="2"/>
      <c r="S34" s="2"/>
    </row>
    <row r="35" spans="1:19">
      <c r="A35" s="2"/>
      <c r="B35" s="101" t="str">
        <f>الإعدادات!$C$14</f>
        <v xml:space="preserve">حسان بن ثابت </v>
      </c>
      <c r="C35" s="72">
        <f>COUNTIF(الطلاب!$D$5:$D$44,$B35)</f>
        <v>11</v>
      </c>
      <c r="D35" s="72">
        <f>COUNTIFS(الطلاب!$D$5:$D$44,$B35,الطلاب!$C$5:$C$44,الإعدادات!$C$8)</f>
        <v>11</v>
      </c>
      <c r="E35" s="72">
        <f>COUNTIFS(الطلاب!$D$5:$D$44,$B35,الطلاب!$C$5:$C$44,الإعدادات!$C$9)</f>
        <v>0</v>
      </c>
      <c r="F35" s="72">
        <f>SUMIFS(الإدخال!$N$5:$N$644,الإدخال!$C$5:$C$644,$B35)</f>
        <v>16</v>
      </c>
      <c r="G35" s="72">
        <f>COUNTIFS(الإدخال!$C$5:$C$644,$B35,الإدخال!$F$5:$F$644,"متأخر")</f>
        <v>0</v>
      </c>
      <c r="H35" s="72">
        <f>COUNTIFS(الإدخال!$C$5:$C$644,$B35,الإدخال!$F$5:$F$644,"غائب")</f>
        <v>0</v>
      </c>
      <c r="I35" s="72">
        <f>COUNTIFS(الإدخال!$C$5:$C$644,$B35,الإدخال!$F$5:$F$644,"معتذر")</f>
        <v>5</v>
      </c>
      <c r="J35" s="70">
        <f>IFERROR(SUMIFS(الإدخال!$N$5:$N$644,الإدخال!$C$5:$C$644,$B35)/COUNTIFS(الإدخال!$C$5:$C$644,$B35,الإدخال!$F$5:$F$644,"&lt;&gt;"),"")</f>
        <v>0.76190476190476186</v>
      </c>
      <c r="K35" s="71">
        <f>IFERROR(SUMIFS(الإدخال!$O$5:$O$644,الإدخال!$C$5:$C$644,$B35)/SUMIFS(الإدخال!$P$5:$P$644,الإدخال!$C$5:$C$644,$B35)/100,"")</f>
        <v>0.72714285714285709</v>
      </c>
      <c r="L35" s="72" t="str">
        <f>IF(K35="","",IF(K35&gt;=0.9,"ممتاز",IF(K35&gt;=0.8,"جيد جدًا",IF(K35&gt;=0.7,"جيد",IF(K35&gt;=0.6,"مقبول","يحتاج متابعة")))))</f>
        <v>جيد</v>
      </c>
      <c r="M35" s="73">
        <f>SUMIFS(الإدخال!$H$5:$H$644,الإدخال!$C$5:$C$644,$B35,الإدخال!$N$5:$N$644,1)</f>
        <v>55</v>
      </c>
      <c r="N35" s="73">
        <f>SUMIFS(الإدخال!$I$5:$I$644,الإدخال!$C$5:$C$644,$B35,الإدخال!$N$5:$N$644,1)</f>
        <v>392</v>
      </c>
      <c r="O35" s="73">
        <f>SUMIFS(الإدخال!$J$5:$J$644,الإدخال!$C$5:$C$644,$B35,الإدخال!$N$5:$N$644,1)</f>
        <v>0</v>
      </c>
      <c r="P35" s="36"/>
      <c r="Q35" s="2"/>
      <c r="R35" s="2"/>
      <c r="S35" s="2"/>
    </row>
    <row r="36" spans="1:19">
      <c r="A36" s="2"/>
      <c r="B36" s="100" t="str">
        <f>الإعدادات!$C$15</f>
        <v xml:space="preserve">عبدالرحمن بن النعمان </v>
      </c>
      <c r="C36" s="66">
        <f>COUNTIF(الطلاب!$D$5:$D$44,$B36)</f>
        <v>6</v>
      </c>
      <c r="D36" s="66">
        <f>COUNTIFS(الطلاب!$D$5:$D$44,$B36,الطلاب!$C$5:$C$44,الإعدادات!$C$8)</f>
        <v>6</v>
      </c>
      <c r="E36" s="66">
        <f>COUNTIFS(الطلاب!$D$5:$D$44,$B36,الطلاب!$C$5:$C$44,الإعدادات!$C$9)</f>
        <v>0</v>
      </c>
      <c r="F36" s="66">
        <f>SUMIFS(الإدخال!$N$5:$N$644,الإدخال!$C$5:$C$644,$B36)</f>
        <v>11</v>
      </c>
      <c r="G36" s="66">
        <f>COUNTIFS(الإدخال!$C$5:$C$644,$B36,الإدخال!$F$5:$F$644,"متأخر")</f>
        <v>0</v>
      </c>
      <c r="H36" s="66">
        <f>COUNTIFS(الإدخال!$C$5:$C$644,$B36,الإدخال!$F$5:$F$644,"غائب")</f>
        <v>0</v>
      </c>
      <c r="I36" s="66">
        <f>COUNTIFS(الإدخال!$C$5:$C$644,$B36,الإدخال!$F$5:$F$644,"معتذر")</f>
        <v>0</v>
      </c>
      <c r="J36" s="64">
        <f>IFERROR(SUMIFS(الإدخال!$N$5:$N$644,الإدخال!$C$5:$C$644,$B36)/COUNTIFS(الإدخال!$C$5:$C$644,$B36,الإدخال!$F$5:$F$644,"&lt;&gt;"),"")</f>
        <v>1</v>
      </c>
      <c r="K36" s="65">
        <f>IFERROR(SUMIFS(الإدخال!$O$5:$O$644,الإدخال!$C$5:$C$644,$B36)/SUMIFS(الإدخال!$P$5:$P$644,الإدخال!$C$5:$C$644,$B36)/100,"")</f>
        <v>0.7981818181818181</v>
      </c>
      <c r="L36" s="66" t="str">
        <f>IF(K36="","",IF(K36&gt;=0.9,"ممتاز",IF(K36&gt;=0.8,"جيد جدًا",IF(K36&gt;=0.7,"جيد",IF(K36&gt;=0.6,"مقبول","يحتاج متابعة")))))</f>
        <v>جيد</v>
      </c>
      <c r="M36" s="67">
        <f>SUMIFS(الإدخال!$H$5:$H$644,الإدخال!$C$5:$C$644,$B36,الإدخال!$N$5:$N$644,1)</f>
        <v>22</v>
      </c>
      <c r="N36" s="67">
        <f>SUMIFS(الإدخال!$I$5:$I$644,الإدخال!$C$5:$C$644,$B36,الإدخال!$N$5:$N$644,1)</f>
        <v>210</v>
      </c>
      <c r="O36" s="67">
        <f>SUMIFS(الإدخال!$J$5:$J$644,الإدخال!$C$5:$C$644,$B36,الإدخال!$N$5:$N$644,1)</f>
        <v>0</v>
      </c>
      <c r="P36" s="36"/>
      <c r="Q36" s="2"/>
      <c r="R36" s="2"/>
      <c r="S36" s="2"/>
    </row>
  </sheetData>
  <sheetProtection algorithmName="SHA-512" hashValue="KZp+AgmvbXz0QPqbj4apaLo4cvn1OvksZmO9tP4iD7SQCS4lnEGbrp1loFRSv3MISdWjz4LUhleqLMZxF+mtCQ==" saltValue="3GuHf0FgP5XTXFbRvGgG2g==" spinCount="100000" sheet="1" objects="1" scenarios="1"/>
  <conditionalFormatting sqref="C6:S10">
    <cfRule type="colorScale" priority="2">
      <colorScale>
        <cfvo type="num" val="0.5"/>
        <cfvo type="num" val="0.75"/>
        <cfvo type="num" val="1"/>
        <color rgb="FFF7DBD8"/>
        <color rgb="FFF9EACB"/>
        <color rgb="FFCFE0D2"/>
      </colorScale>
    </cfRule>
  </conditionalFormatting>
  <conditionalFormatting sqref="C24:S28">
    <cfRule type="colorScale" priority="3">
      <colorScale>
        <cfvo type="num" val="0.5"/>
        <cfvo type="num" val="0.75"/>
        <cfvo type="num" val="1"/>
        <color rgb="FFF7DBD8"/>
        <color rgb="FFF9EACB"/>
        <color rgb="FFCFE0D2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ورقة9">
    <pageSetUpPr fitToPage="1"/>
  </sheetPr>
  <dimension ref="A1:N30"/>
  <sheetViews>
    <sheetView showGridLines="0" rightToLeft="1" topLeftCell="A3" zoomScaleNormal="100" workbookViewId="0">
      <selection activeCell="A10" sqref="A10:XFD10"/>
    </sheetView>
  </sheetViews>
  <sheetFormatPr defaultColWidth="8.7109375" defaultRowHeight="15"/>
  <cols>
    <col min="1" max="1" width="3" customWidth="1"/>
    <col min="2" max="2" width="12" customWidth="1"/>
    <col min="3" max="3" width="13" customWidth="1"/>
    <col min="4" max="4" width="12" customWidth="1"/>
    <col min="5" max="7" width="11" customWidth="1"/>
    <col min="8" max="8" width="12" customWidth="1"/>
    <col min="9" max="9" width="13" customWidth="1"/>
    <col min="10" max="11" width="15" customWidth="1"/>
    <col min="12" max="14" width="12" customWidth="1"/>
    <col min="15" max="15" width="13" customWidth="1"/>
  </cols>
  <sheetData>
    <row r="1" spans="1:14" ht="30" customHeight="1">
      <c r="A1" s="4" t="str">
        <f>"تقرير برنامج "&amp;الإعدادات!$C$3&amp;" الشامل"</f>
        <v>تقرير برنامج تعاهد الشامل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84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6" customHeight="1">
      <c r="A4" s="2"/>
      <c r="B4" s="13" t="s">
        <v>140</v>
      </c>
      <c r="C4" s="141" t="s">
        <v>145</v>
      </c>
      <c r="D4" s="15" t="s">
        <v>126</v>
      </c>
      <c r="E4" s="15" t="s">
        <v>121</v>
      </c>
      <c r="F4" s="15" t="s">
        <v>122</v>
      </c>
      <c r="G4" s="15" t="s">
        <v>40</v>
      </c>
      <c r="H4" s="15" t="s">
        <v>146</v>
      </c>
      <c r="I4" s="15" t="s">
        <v>44</v>
      </c>
      <c r="J4" s="15" t="s">
        <v>147</v>
      </c>
      <c r="K4" s="15" t="s">
        <v>148</v>
      </c>
      <c r="L4" s="15" t="s">
        <v>149</v>
      </c>
      <c r="M4" s="36"/>
      <c r="N4" s="2"/>
    </row>
    <row r="5" spans="1:14" ht="33.75" customHeight="1">
      <c r="A5" s="2"/>
      <c r="B5" s="147">
        <f>COUNTA(الطلاب!$B$5:$B$44)</f>
        <v>38</v>
      </c>
      <c r="C5" s="108">
        <f>SUM(الإدخال!$N$5:$N$644)</f>
        <v>58</v>
      </c>
      <c r="D5" s="108">
        <f>COUNTIFS(الإدخال!$F$5:$F$644,"متأخر")</f>
        <v>0</v>
      </c>
      <c r="E5" s="108">
        <f>COUNTIFS(الإدخال!$F$5:$F$644,"غائب")</f>
        <v>4</v>
      </c>
      <c r="F5" s="108">
        <f>COUNTIFS(الإدخال!$F$5:$F$644,"معتذر")</f>
        <v>11</v>
      </c>
      <c r="G5" s="109">
        <f>IFERROR(SUM(الإدخال!$N$5:$N$644)/COUNTIFS(الإدخال!$F$5:$F$644,"&lt;&gt;"),"")</f>
        <v>0.79452054794520544</v>
      </c>
      <c r="H5" s="109">
        <f>IFERROR(SUM(الإدخال!$O$5:$O$644)/SUM(الإدخال!$P$5:$P$644)/100,"")</f>
        <v>0.68328767123287681</v>
      </c>
      <c r="I5" s="110" t="str">
        <f>IF(H5="","",IF(H5&gt;=0.9,"ممتاز",IF(H5&gt;=0.8,"جيد جدًا",IF(H5&gt;=0.7,"جيد",IF(H5&gt;=0.6,"مقبول","يحتاج متابعة")))))</f>
        <v>مقبول</v>
      </c>
      <c r="J5" s="111">
        <f>SUMIFS(الإدخال!$H$5:$H$644,الإدخال!$N$5:$N$644,1)</f>
        <v>157</v>
      </c>
      <c r="K5" s="111">
        <f>SUMIFS(الإدخال!$I$5:$I$644,الإدخال!$N$5:$N$644,1)</f>
        <v>1298</v>
      </c>
      <c r="L5" s="111">
        <f>SUMIFS(الإدخال!$J$5:$J$644,الإدخال!$N$5:$N$644,1)</f>
        <v>0</v>
      </c>
      <c r="M5" s="36"/>
      <c r="N5" s="2"/>
    </row>
    <row r="6" spans="1:14">
      <c r="A6" s="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2"/>
      <c r="N6" s="2"/>
    </row>
    <row r="7" spans="1:14">
      <c r="A7" s="2"/>
      <c r="B7" s="19" t="s">
        <v>150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36" customHeight="1">
      <c r="A8" s="2"/>
      <c r="B8" s="13" t="s">
        <v>56</v>
      </c>
      <c r="C8" s="141" t="s">
        <v>151</v>
      </c>
      <c r="D8" s="15" t="s">
        <v>125</v>
      </c>
      <c r="E8" s="15" t="s">
        <v>126</v>
      </c>
      <c r="F8" s="15" t="s">
        <v>121</v>
      </c>
      <c r="G8" s="15" t="s">
        <v>122</v>
      </c>
      <c r="H8" s="15" t="s">
        <v>40</v>
      </c>
      <c r="I8" s="15" t="s">
        <v>38</v>
      </c>
      <c r="J8" s="15" t="str">
        <f>"إنجاز "&amp;الإعدادات!$C$8</f>
        <v>إنجاز المقرأة الأولى</v>
      </c>
      <c r="K8" s="15" t="str">
        <f>"إنجاز "&amp;الإعدادات!$C$9</f>
        <v>إنجاز المقرأة الثانية</v>
      </c>
      <c r="L8" s="15" t="s">
        <v>61</v>
      </c>
      <c r="M8" s="15" t="s">
        <v>62</v>
      </c>
      <c r="N8" s="17" t="s">
        <v>63</v>
      </c>
    </row>
    <row r="9" spans="1:14">
      <c r="A9" s="2"/>
      <c r="B9" s="148">
        <v>1</v>
      </c>
      <c r="C9" s="113" t="str">
        <f>IF(الإعدادات!$C$4="","",الإعدادات!$C$4+(B9-1)*7)</f>
        <v/>
      </c>
      <c r="D9" s="73">
        <f>SUMIFS(الإدخال!$N$5:$N$644,الإدخال!$A$5:$A$644,$B9)</f>
        <v>29</v>
      </c>
      <c r="E9" s="73">
        <f>COUNTIFS(الإدخال!$A$5:$A$644,$B9,الإدخال!$F$5:$F$644,"متأخر")</f>
        <v>0</v>
      </c>
      <c r="F9" s="73">
        <f>COUNTIFS(الإدخال!$A$5:$A$644,$B9,الإدخال!$F$5:$F$644,"غائب")</f>
        <v>0</v>
      </c>
      <c r="G9" s="73">
        <f>COUNTIFS(الإدخال!$A$5:$A$644,$B9,الإدخال!$F$5:$F$644,"معتذر")</f>
        <v>6</v>
      </c>
      <c r="H9" s="70">
        <f>IFERROR(SUMIFS(الإدخال!$N$5:$N$644,الإدخال!$A$5:$A$644,$B9)/COUNTIFS(الإدخال!$A$5:$A$644,$B9,الإدخال!$F$5:$F$644,"&lt;&gt;"),"")</f>
        <v>0.82857142857142863</v>
      </c>
      <c r="I9" s="71">
        <f>IFERROR(SUMIFS(الإدخال!$O$5:$O$644,الإدخال!$A$5:$A$644,$B9)/SUMIFS(الإدخال!$P$5:$P$644,الإدخال!$A$5:$A$644,$B9)/100,"")</f>
        <v>0.67142857142857137</v>
      </c>
      <c r="J9" s="70">
        <f>IFERROR(SUMIFS(الإدخال!$O$5:$O$644,الإدخال!$A$5:$A$644,$B9,الإدخال!$B$5:$B$644,الإعدادات!$C$8)/SUMIFS(الإدخال!$P$5:$P$644,الإدخال!$A$5:$A$644,$B9,الإدخال!$B$5:$B$644,الإعدادات!$C$8)/100,"")</f>
        <v>0.70578947368421052</v>
      </c>
      <c r="K9" s="70">
        <f>IFERROR(SUMIFS(الإدخال!$O$5:$O$644,الإدخال!$A$5:$A$644,$B9,الإدخال!$B$5:$B$644,الإعدادات!$C$9)/SUMIFS(الإدخال!$P$5:$P$644,الإدخال!$A$5:$A$644,$B9,الإدخال!$B$5:$B$644,الإعدادات!$C$9)/100,"")</f>
        <v>0.63062499999999999</v>
      </c>
      <c r="L9" s="73">
        <f>SUMIFS(الإدخال!$H$5:$H$644,الإدخال!$A$5:$A$644,$B9,الإدخال!$N$5:$N$644,1)</f>
        <v>65</v>
      </c>
      <c r="M9" s="73">
        <f>SUMIFS(الإدخال!$I$5:$I$644,الإدخال!$A$5:$A$644,$B9,الإدخال!$N$5:$N$644,1)</f>
        <v>609</v>
      </c>
      <c r="N9" s="114">
        <f>SUMIFS(الإدخال!$J$5:$J$644,الإدخال!$A$5:$A$644,$B9,الإدخال!$N$5:$N$644,1)</f>
        <v>0</v>
      </c>
    </row>
    <row r="10" spans="1:14">
      <c r="A10" s="2"/>
      <c r="B10" s="112">
        <v>2</v>
      </c>
      <c r="C10" s="113" t="str">
        <f>IF(الإعدادات!$C$4="","",الإعدادات!$C$4+(B10-1)*7)</f>
        <v/>
      </c>
      <c r="D10" s="73">
        <f>SUMIFS(الإدخال!$N$5:$N$644,الإدخال!$A$5:$A$644,$B10)</f>
        <v>29</v>
      </c>
      <c r="E10" s="73">
        <f>COUNTIFS(الإدخال!$A$5:$A$644,$B10,الإدخال!$F$5:$F$644,"متأخر")</f>
        <v>0</v>
      </c>
      <c r="F10" s="73">
        <f>COUNTIFS(الإدخال!$A$5:$A$644,$B10,الإدخال!$F$5:$F$644,"غائب")</f>
        <v>4</v>
      </c>
      <c r="G10" s="73">
        <f>COUNTIFS(الإدخال!$A$5:$A$644,$B10,الإدخال!$F$5:$F$644,"معتذر")</f>
        <v>5</v>
      </c>
      <c r="H10" s="70">
        <f>IFERROR(SUMIFS(الإدخال!$N$5:$N$644,الإدخال!$A$5:$A$644,$B10)/COUNTIFS(الإدخال!$A$5:$A$644,$B10,الإدخال!$F$5:$F$644,"&lt;&gt;"),"")</f>
        <v>0.76315789473684215</v>
      </c>
      <c r="I10" s="71">
        <f>IFERROR(SUMIFS(الإدخال!$O$5:$O$644,الإدخال!$A$5:$A$644,$B10)/SUMIFS(الإدخال!$P$5:$P$644,الإدخال!$A$5:$A$644,$B10)/100,"")</f>
        <v>0.6942105263157895</v>
      </c>
      <c r="J10" s="70">
        <f>IFERROR(SUMIFS(الإدخال!$O$5:$O$644,الإدخال!$A$5:$A$644,$B10,الإدخال!$B$5:$B$644,الإعدادات!$C$8)/SUMIFS(الإدخال!$P$5:$P$644,الإدخال!$A$5:$A$644,$B10,الإدخال!$B$5:$B$644,الإعدادات!$C$8)/100,"")</f>
        <v>0.77142857142857135</v>
      </c>
      <c r="K10" s="70">
        <f>IFERROR(SUMIFS(الإدخال!$O$5:$O$644,الإدخال!$A$5:$A$644,$B10,الإدخال!$B$5:$B$644,الإعدادات!$C$9)/SUMIFS(الإدخال!$P$5:$P$644,الإدخال!$A$5:$A$644,$B10,الإدخال!$B$5:$B$644,الإعدادات!$C$9)/100,"")</f>
        <v>0.57562500000000005</v>
      </c>
      <c r="L10" s="73">
        <f>SUMIFS(الإدخال!$H$5:$H$644,الإدخال!$A$5:$A$644,$B10,الإدخال!$N$5:$N$644,1)</f>
        <v>92</v>
      </c>
      <c r="M10" s="73">
        <f>SUMIFS(الإدخال!$I$5:$I$644,الإدخال!$A$5:$A$644,$B10,الإدخال!$N$5:$N$644,1)</f>
        <v>689</v>
      </c>
      <c r="N10" s="114">
        <f>SUMIFS(الإدخال!$J$5:$J$644,الإدخال!$A$5:$A$644,$B10,الإدخال!$N$5:$N$644,1)</f>
        <v>0</v>
      </c>
    </row>
    <row r="11" spans="1:14">
      <c r="A11" s="2"/>
      <c r="B11" s="112">
        <v>3</v>
      </c>
      <c r="C11" s="113" t="str">
        <f>IF(الإعدادات!$C$4="","",الإعدادات!$C$4+(B11-1)*7)</f>
        <v/>
      </c>
      <c r="D11" s="73">
        <f>SUMIFS(الإدخال!$N$5:$N$644,الإدخال!$A$5:$A$644,$B11)</f>
        <v>0</v>
      </c>
      <c r="E11" s="73">
        <f>COUNTIFS(الإدخال!$A$5:$A$644,$B11,الإدخال!$F$5:$F$644,"متأخر")</f>
        <v>0</v>
      </c>
      <c r="F11" s="73">
        <f>COUNTIFS(الإدخال!$A$5:$A$644,$B11,الإدخال!$F$5:$F$644,"غائب")</f>
        <v>0</v>
      </c>
      <c r="G11" s="73">
        <f>COUNTIFS(الإدخال!$A$5:$A$644,$B11,الإدخال!$F$5:$F$644,"معتذر")</f>
        <v>0</v>
      </c>
      <c r="H11" s="70" t="str">
        <f>IFERROR(SUMIFS(الإدخال!$N$5:$N$644,الإدخال!$A$5:$A$644,$B11)/COUNTIFS(الإدخال!$A$5:$A$644,$B11,الإدخال!$F$5:$F$644,"&lt;&gt;"),"")</f>
        <v/>
      </c>
      <c r="I11" s="71" t="str">
        <f>IFERROR(SUMIFS(الإدخال!$O$5:$O$644,الإدخال!$A$5:$A$644,$B11)/SUMIFS(الإدخال!$P$5:$P$644,الإدخال!$A$5:$A$644,$B11)/100,"")</f>
        <v/>
      </c>
      <c r="J11" s="70" t="str">
        <f>IFERROR(SUMIFS(الإدخال!$O$5:$O$644,الإدخال!$A$5:$A$644,$B11,الإدخال!$B$5:$B$644,الإعدادات!$C$8)/SUMIFS(الإدخال!$P$5:$P$644,الإدخال!$A$5:$A$644,$B11,الإدخال!$B$5:$B$644,الإعدادات!$C$8)/100,"")</f>
        <v/>
      </c>
      <c r="K11" s="70" t="str">
        <f>IFERROR(SUMIFS(الإدخال!$O$5:$O$644,الإدخال!$A$5:$A$644,$B11,الإدخال!$B$5:$B$644,الإعدادات!$C$9)/SUMIFS(الإدخال!$P$5:$P$644,الإدخال!$A$5:$A$644,$B11,الإدخال!$B$5:$B$644,الإعدادات!$C$9)/100,"")</f>
        <v/>
      </c>
      <c r="L11" s="73">
        <f>SUMIFS(الإدخال!$H$5:$H$644,الإدخال!$A$5:$A$644,$B11,الإدخال!$N$5:$N$644,1)</f>
        <v>0</v>
      </c>
      <c r="M11" s="73">
        <f>SUMIFS(الإدخال!$I$5:$I$644,الإدخال!$A$5:$A$644,$B11,الإدخال!$N$5:$N$644,1)</f>
        <v>0</v>
      </c>
      <c r="N11" s="114">
        <f>SUMIFS(الإدخال!$J$5:$J$644,الإدخال!$A$5:$A$644,$B11,الإدخال!$N$5:$N$644,1)</f>
        <v>0</v>
      </c>
    </row>
    <row r="12" spans="1:14">
      <c r="A12" s="2"/>
      <c r="B12" s="112">
        <v>4</v>
      </c>
      <c r="C12" s="113" t="str">
        <f>IF(الإعدادات!$C$4="","",الإعدادات!$C$4+(B12-1)*7)</f>
        <v/>
      </c>
      <c r="D12" s="73">
        <f>SUMIFS(الإدخال!$N$5:$N$644,الإدخال!$A$5:$A$644,$B12)</f>
        <v>0</v>
      </c>
      <c r="E12" s="73">
        <f>COUNTIFS(الإدخال!$A$5:$A$644,$B12,الإدخال!$F$5:$F$644,"متأخر")</f>
        <v>0</v>
      </c>
      <c r="F12" s="73">
        <f>COUNTIFS(الإدخال!$A$5:$A$644,$B12,الإدخال!$F$5:$F$644,"غائب")</f>
        <v>0</v>
      </c>
      <c r="G12" s="73">
        <f>COUNTIFS(الإدخال!$A$5:$A$644,$B12,الإدخال!$F$5:$F$644,"معتذر")</f>
        <v>0</v>
      </c>
      <c r="H12" s="70" t="str">
        <f>IFERROR(SUMIFS(الإدخال!$N$5:$N$644,الإدخال!$A$5:$A$644,$B12)/COUNTIFS(الإدخال!$A$5:$A$644,$B12,الإدخال!$F$5:$F$644,"&lt;&gt;"),"")</f>
        <v/>
      </c>
      <c r="I12" s="71" t="str">
        <f>IFERROR(SUMIFS(الإدخال!$O$5:$O$644,الإدخال!$A$5:$A$644,$B12)/SUMIFS(الإدخال!$P$5:$P$644,الإدخال!$A$5:$A$644,$B12)/100,"")</f>
        <v/>
      </c>
      <c r="J12" s="70" t="str">
        <f>IFERROR(SUMIFS(الإدخال!$O$5:$O$644,الإدخال!$A$5:$A$644,$B12,الإدخال!$B$5:$B$644,الإعدادات!$C$8)/SUMIFS(الإدخال!$P$5:$P$644,الإدخال!$A$5:$A$644,$B12,الإدخال!$B$5:$B$644,الإعدادات!$C$8)/100,"")</f>
        <v/>
      </c>
      <c r="K12" s="70" t="str">
        <f>IFERROR(SUMIFS(الإدخال!$O$5:$O$644,الإدخال!$A$5:$A$644,$B12,الإدخال!$B$5:$B$644,الإعدادات!$C$9)/SUMIFS(الإدخال!$P$5:$P$644,الإدخال!$A$5:$A$644,$B12,الإدخال!$B$5:$B$644,الإعدادات!$C$9)/100,"")</f>
        <v/>
      </c>
      <c r="L12" s="73">
        <f>SUMIFS(الإدخال!$H$5:$H$644,الإدخال!$A$5:$A$644,$B12,الإدخال!$N$5:$N$644,1)</f>
        <v>0</v>
      </c>
      <c r="M12" s="73">
        <f>SUMIFS(الإدخال!$I$5:$I$644,الإدخال!$A$5:$A$644,$B12,الإدخال!$N$5:$N$644,1)</f>
        <v>0</v>
      </c>
      <c r="N12" s="114">
        <f>SUMIFS(الإدخال!$J$5:$J$644,الإدخال!$A$5:$A$644,$B12,الإدخال!$N$5:$N$644,1)</f>
        <v>0</v>
      </c>
    </row>
    <row r="13" spans="1:14">
      <c r="A13" s="2"/>
      <c r="B13" s="112">
        <v>5</v>
      </c>
      <c r="C13" s="113" t="str">
        <f>IF(الإعدادات!$C$4="","",الإعدادات!$C$4+(B13-1)*7)</f>
        <v/>
      </c>
      <c r="D13" s="73">
        <f>SUMIFS(الإدخال!$N$5:$N$644,الإدخال!$A$5:$A$644,$B13)</f>
        <v>0</v>
      </c>
      <c r="E13" s="73">
        <f>COUNTIFS(الإدخال!$A$5:$A$644,$B13,الإدخال!$F$5:$F$644,"متأخر")</f>
        <v>0</v>
      </c>
      <c r="F13" s="73">
        <f>COUNTIFS(الإدخال!$A$5:$A$644,$B13,الإدخال!$F$5:$F$644,"غائب")</f>
        <v>0</v>
      </c>
      <c r="G13" s="73">
        <f>COUNTIFS(الإدخال!$A$5:$A$644,$B13,الإدخال!$F$5:$F$644,"معتذر")</f>
        <v>0</v>
      </c>
      <c r="H13" s="70" t="str">
        <f>IFERROR(SUMIFS(الإدخال!$N$5:$N$644,الإدخال!$A$5:$A$644,$B13)/COUNTIFS(الإدخال!$A$5:$A$644,$B13,الإدخال!$F$5:$F$644,"&lt;&gt;"),"")</f>
        <v/>
      </c>
      <c r="I13" s="71" t="str">
        <f>IFERROR(SUMIFS(الإدخال!$O$5:$O$644,الإدخال!$A$5:$A$644,$B13)/SUMIFS(الإدخال!$P$5:$P$644,الإدخال!$A$5:$A$644,$B13)/100,"")</f>
        <v/>
      </c>
      <c r="J13" s="70" t="str">
        <f>IFERROR(SUMIFS(الإدخال!$O$5:$O$644,الإدخال!$A$5:$A$644,$B13,الإدخال!$B$5:$B$644,الإعدادات!$C$8)/SUMIFS(الإدخال!$P$5:$P$644,الإدخال!$A$5:$A$644,$B13,الإدخال!$B$5:$B$644,الإعدادات!$C$8)/100,"")</f>
        <v/>
      </c>
      <c r="K13" s="70" t="str">
        <f>IFERROR(SUMIFS(الإدخال!$O$5:$O$644,الإدخال!$A$5:$A$644,$B13,الإدخال!$B$5:$B$644,الإعدادات!$C$9)/SUMIFS(الإدخال!$P$5:$P$644,الإدخال!$A$5:$A$644,$B13,الإدخال!$B$5:$B$644,الإعدادات!$C$9)/100,"")</f>
        <v/>
      </c>
      <c r="L13" s="73">
        <f>SUMIFS(الإدخال!$H$5:$H$644,الإدخال!$A$5:$A$644,$B13,الإدخال!$N$5:$N$644,1)</f>
        <v>0</v>
      </c>
      <c r="M13" s="73">
        <f>SUMIFS(الإدخال!$I$5:$I$644,الإدخال!$A$5:$A$644,$B13,الإدخال!$N$5:$N$644,1)</f>
        <v>0</v>
      </c>
      <c r="N13" s="114">
        <f>SUMIFS(الإدخال!$J$5:$J$644,الإدخال!$A$5:$A$644,$B13,الإدخال!$N$5:$N$644,1)</f>
        <v>0</v>
      </c>
    </row>
    <row r="14" spans="1:14">
      <c r="A14" s="2"/>
      <c r="B14" s="112">
        <v>6</v>
      </c>
      <c r="C14" s="113" t="str">
        <f>IF(الإعدادات!$C$4="","",الإعدادات!$C$4+(B14-1)*7)</f>
        <v/>
      </c>
      <c r="D14" s="73">
        <f>SUMIFS(الإدخال!$N$5:$N$644,الإدخال!$A$5:$A$644,$B14)</f>
        <v>0</v>
      </c>
      <c r="E14" s="73">
        <f>COUNTIFS(الإدخال!$A$5:$A$644,$B14,الإدخال!$F$5:$F$644,"متأخر")</f>
        <v>0</v>
      </c>
      <c r="F14" s="73">
        <f>COUNTIFS(الإدخال!$A$5:$A$644,$B14,الإدخال!$F$5:$F$644,"غائب")</f>
        <v>0</v>
      </c>
      <c r="G14" s="73">
        <f>COUNTIFS(الإدخال!$A$5:$A$644,$B14,الإدخال!$F$5:$F$644,"معتذر")</f>
        <v>0</v>
      </c>
      <c r="H14" s="70" t="str">
        <f>IFERROR(SUMIFS(الإدخال!$N$5:$N$644,الإدخال!$A$5:$A$644,$B14)/COUNTIFS(الإدخال!$A$5:$A$644,$B14,الإدخال!$F$5:$F$644,"&lt;&gt;"),"")</f>
        <v/>
      </c>
      <c r="I14" s="71" t="str">
        <f>IFERROR(SUMIFS(الإدخال!$O$5:$O$644,الإدخال!$A$5:$A$644,$B14)/SUMIFS(الإدخال!$P$5:$P$644,الإدخال!$A$5:$A$644,$B14)/100,"")</f>
        <v/>
      </c>
      <c r="J14" s="70" t="str">
        <f>IFERROR(SUMIFS(الإدخال!$O$5:$O$644,الإدخال!$A$5:$A$644,$B14,الإدخال!$B$5:$B$644,الإعدادات!$C$8)/SUMIFS(الإدخال!$P$5:$P$644,الإدخال!$A$5:$A$644,$B14,الإدخال!$B$5:$B$644,الإعدادات!$C$8)/100,"")</f>
        <v/>
      </c>
      <c r="K14" s="70" t="str">
        <f>IFERROR(SUMIFS(الإدخال!$O$5:$O$644,الإدخال!$A$5:$A$644,$B14,الإدخال!$B$5:$B$644,الإعدادات!$C$9)/SUMIFS(الإدخال!$P$5:$P$644,الإدخال!$A$5:$A$644,$B14,الإدخال!$B$5:$B$644,الإعدادات!$C$9)/100,"")</f>
        <v/>
      </c>
      <c r="L14" s="73">
        <f>SUMIFS(الإدخال!$H$5:$H$644,الإدخال!$A$5:$A$644,$B14,الإدخال!$N$5:$N$644,1)</f>
        <v>0</v>
      </c>
      <c r="M14" s="73">
        <f>SUMIFS(الإدخال!$I$5:$I$644,الإدخال!$A$5:$A$644,$B14,الإدخال!$N$5:$N$644,1)</f>
        <v>0</v>
      </c>
      <c r="N14" s="114">
        <f>SUMIFS(الإدخال!$J$5:$J$644,الإدخال!$A$5:$A$644,$B14,الإدخال!$N$5:$N$644,1)</f>
        <v>0</v>
      </c>
    </row>
    <row r="15" spans="1:14">
      <c r="A15" s="2"/>
      <c r="B15" s="112">
        <v>7</v>
      </c>
      <c r="C15" s="113" t="str">
        <f>IF(الإعدادات!$C$4="","",الإعدادات!$C$4+(B15-1)*7)</f>
        <v/>
      </c>
      <c r="D15" s="73">
        <f>SUMIFS(الإدخال!$N$5:$N$644,الإدخال!$A$5:$A$644,$B15)</f>
        <v>0</v>
      </c>
      <c r="E15" s="73">
        <f>COUNTIFS(الإدخال!$A$5:$A$644,$B15,الإدخال!$F$5:$F$644,"متأخر")</f>
        <v>0</v>
      </c>
      <c r="F15" s="73">
        <f>COUNTIFS(الإدخال!$A$5:$A$644,$B15,الإدخال!$F$5:$F$644,"غائب")</f>
        <v>0</v>
      </c>
      <c r="G15" s="73">
        <f>COUNTIFS(الإدخال!$A$5:$A$644,$B15,الإدخال!$F$5:$F$644,"معتذر")</f>
        <v>0</v>
      </c>
      <c r="H15" s="70" t="str">
        <f>IFERROR(SUMIFS(الإدخال!$N$5:$N$644,الإدخال!$A$5:$A$644,$B15)/COUNTIFS(الإدخال!$A$5:$A$644,$B15,الإدخال!$F$5:$F$644,"&lt;&gt;"),"")</f>
        <v/>
      </c>
      <c r="I15" s="71" t="str">
        <f>IFERROR(SUMIFS(الإدخال!$O$5:$O$644,الإدخال!$A$5:$A$644,$B15)/SUMIFS(الإدخال!$P$5:$P$644,الإدخال!$A$5:$A$644,$B15)/100,"")</f>
        <v/>
      </c>
      <c r="J15" s="70" t="str">
        <f>IFERROR(SUMIFS(الإدخال!$O$5:$O$644,الإدخال!$A$5:$A$644,$B15,الإدخال!$B$5:$B$644,الإعدادات!$C$8)/SUMIFS(الإدخال!$P$5:$P$644,الإدخال!$A$5:$A$644,$B15,الإدخال!$B$5:$B$644,الإعدادات!$C$8)/100,"")</f>
        <v/>
      </c>
      <c r="K15" s="70" t="str">
        <f>IFERROR(SUMIFS(الإدخال!$O$5:$O$644,الإدخال!$A$5:$A$644,$B15,الإدخال!$B$5:$B$644,الإعدادات!$C$9)/SUMIFS(الإدخال!$P$5:$P$644,الإدخال!$A$5:$A$644,$B15,الإدخال!$B$5:$B$644,الإعدادات!$C$9)/100,"")</f>
        <v/>
      </c>
      <c r="L15" s="73">
        <f>SUMIFS(الإدخال!$H$5:$H$644,الإدخال!$A$5:$A$644,$B15,الإدخال!$N$5:$N$644,1)</f>
        <v>0</v>
      </c>
      <c r="M15" s="73">
        <f>SUMIFS(الإدخال!$I$5:$I$644,الإدخال!$A$5:$A$644,$B15,الإدخال!$N$5:$N$644,1)</f>
        <v>0</v>
      </c>
      <c r="N15" s="114">
        <f>SUMIFS(الإدخال!$J$5:$J$644,الإدخال!$A$5:$A$644,$B15,الإدخال!$N$5:$N$644,1)</f>
        <v>0</v>
      </c>
    </row>
    <row r="16" spans="1:14">
      <c r="A16" s="2"/>
      <c r="B16" s="112">
        <v>8</v>
      </c>
      <c r="C16" s="113" t="str">
        <f>IF(الإعدادات!$C$4="","",الإعدادات!$C$4+(B16-1)*7)</f>
        <v/>
      </c>
      <c r="D16" s="73">
        <f>SUMIFS(الإدخال!$N$5:$N$644,الإدخال!$A$5:$A$644,$B16)</f>
        <v>0</v>
      </c>
      <c r="E16" s="73">
        <f>COUNTIFS(الإدخال!$A$5:$A$644,$B16,الإدخال!$F$5:$F$644,"متأخر")</f>
        <v>0</v>
      </c>
      <c r="F16" s="73">
        <f>COUNTIFS(الإدخال!$A$5:$A$644,$B16,الإدخال!$F$5:$F$644,"غائب")</f>
        <v>0</v>
      </c>
      <c r="G16" s="73">
        <f>COUNTIFS(الإدخال!$A$5:$A$644,$B16,الإدخال!$F$5:$F$644,"معتذر")</f>
        <v>0</v>
      </c>
      <c r="H16" s="70" t="str">
        <f>IFERROR(SUMIFS(الإدخال!$N$5:$N$644,الإدخال!$A$5:$A$644,$B16)/COUNTIFS(الإدخال!$A$5:$A$644,$B16,الإدخال!$F$5:$F$644,"&lt;&gt;"),"")</f>
        <v/>
      </c>
      <c r="I16" s="71" t="str">
        <f>IFERROR(SUMIFS(الإدخال!$O$5:$O$644,الإدخال!$A$5:$A$644,$B16)/SUMIFS(الإدخال!$P$5:$P$644,الإدخال!$A$5:$A$644,$B16)/100,"")</f>
        <v/>
      </c>
      <c r="J16" s="70" t="str">
        <f>IFERROR(SUMIFS(الإدخال!$O$5:$O$644,الإدخال!$A$5:$A$644,$B16,الإدخال!$B$5:$B$644,الإعدادات!$C$8)/SUMIFS(الإدخال!$P$5:$P$644,الإدخال!$A$5:$A$644,$B16,الإدخال!$B$5:$B$644,الإعدادات!$C$8)/100,"")</f>
        <v/>
      </c>
      <c r="K16" s="70" t="str">
        <f>IFERROR(SUMIFS(الإدخال!$O$5:$O$644,الإدخال!$A$5:$A$644,$B16,الإدخال!$B$5:$B$644,الإعدادات!$C$9)/SUMIFS(الإدخال!$P$5:$P$644,الإدخال!$A$5:$A$644,$B16,الإدخال!$B$5:$B$644,الإعدادات!$C$9)/100,"")</f>
        <v/>
      </c>
      <c r="L16" s="73">
        <f>SUMIFS(الإدخال!$H$5:$H$644,الإدخال!$A$5:$A$644,$B16,الإدخال!$N$5:$N$644,1)</f>
        <v>0</v>
      </c>
      <c r="M16" s="73">
        <f>SUMIFS(الإدخال!$I$5:$I$644,الإدخال!$A$5:$A$644,$B16,الإدخال!$N$5:$N$644,1)</f>
        <v>0</v>
      </c>
      <c r="N16" s="114">
        <f>SUMIFS(الإدخال!$J$5:$J$644,الإدخال!$A$5:$A$644,$B16,الإدخال!$N$5:$N$644,1)</f>
        <v>0</v>
      </c>
    </row>
    <row r="17" spans="1:14">
      <c r="A17" s="2"/>
      <c r="B17" s="112">
        <v>9</v>
      </c>
      <c r="C17" s="113" t="str">
        <f>IF(الإعدادات!$C$4="","",الإعدادات!$C$4+(B17-1)*7)</f>
        <v/>
      </c>
      <c r="D17" s="73">
        <f>SUMIFS(الإدخال!$N$5:$N$644,الإدخال!$A$5:$A$644,$B17)</f>
        <v>0</v>
      </c>
      <c r="E17" s="73">
        <f>COUNTIFS(الإدخال!$A$5:$A$644,$B17,الإدخال!$F$5:$F$644,"متأخر")</f>
        <v>0</v>
      </c>
      <c r="F17" s="73">
        <f>COUNTIFS(الإدخال!$A$5:$A$644,$B17,الإدخال!$F$5:$F$644,"غائب")</f>
        <v>0</v>
      </c>
      <c r="G17" s="73">
        <f>COUNTIFS(الإدخال!$A$5:$A$644,$B17,الإدخال!$F$5:$F$644,"معتذر")</f>
        <v>0</v>
      </c>
      <c r="H17" s="70" t="str">
        <f>IFERROR(SUMIFS(الإدخال!$N$5:$N$644,الإدخال!$A$5:$A$644,$B17)/COUNTIFS(الإدخال!$A$5:$A$644,$B17,الإدخال!$F$5:$F$644,"&lt;&gt;"),"")</f>
        <v/>
      </c>
      <c r="I17" s="71" t="str">
        <f>IFERROR(SUMIFS(الإدخال!$O$5:$O$644,الإدخال!$A$5:$A$644,$B17)/SUMIFS(الإدخال!$P$5:$P$644,الإدخال!$A$5:$A$644,$B17)/100,"")</f>
        <v/>
      </c>
      <c r="J17" s="70" t="str">
        <f>IFERROR(SUMIFS(الإدخال!$O$5:$O$644,الإدخال!$A$5:$A$644,$B17,الإدخال!$B$5:$B$644,الإعدادات!$C$8)/SUMIFS(الإدخال!$P$5:$P$644,الإدخال!$A$5:$A$644,$B17,الإدخال!$B$5:$B$644,الإعدادات!$C$8)/100,"")</f>
        <v/>
      </c>
      <c r="K17" s="70" t="str">
        <f>IFERROR(SUMIFS(الإدخال!$O$5:$O$644,الإدخال!$A$5:$A$644,$B17,الإدخال!$B$5:$B$644,الإعدادات!$C$9)/SUMIFS(الإدخال!$P$5:$P$644,الإدخال!$A$5:$A$644,$B17,الإدخال!$B$5:$B$644,الإعدادات!$C$9)/100,"")</f>
        <v/>
      </c>
      <c r="L17" s="73">
        <f>SUMIFS(الإدخال!$H$5:$H$644,الإدخال!$A$5:$A$644,$B17,الإدخال!$N$5:$N$644,1)</f>
        <v>0</v>
      </c>
      <c r="M17" s="73">
        <f>SUMIFS(الإدخال!$I$5:$I$644,الإدخال!$A$5:$A$644,$B17,الإدخال!$N$5:$N$644,1)</f>
        <v>0</v>
      </c>
      <c r="N17" s="114">
        <f>SUMIFS(الإدخال!$J$5:$J$644,الإدخال!$A$5:$A$644,$B17,الإدخال!$N$5:$N$644,1)</f>
        <v>0</v>
      </c>
    </row>
    <row r="18" spans="1:14">
      <c r="A18" s="2"/>
      <c r="B18" s="112">
        <v>10</v>
      </c>
      <c r="C18" s="113" t="str">
        <f>IF(الإعدادات!$C$4="","",الإعدادات!$C$4+(B18-1)*7)</f>
        <v/>
      </c>
      <c r="D18" s="73">
        <f>SUMIFS(الإدخال!$N$5:$N$644,الإدخال!$A$5:$A$644,$B18)</f>
        <v>0</v>
      </c>
      <c r="E18" s="73">
        <f>COUNTIFS(الإدخال!$A$5:$A$644,$B18,الإدخال!$F$5:$F$644,"متأخر")</f>
        <v>0</v>
      </c>
      <c r="F18" s="73">
        <f>COUNTIFS(الإدخال!$A$5:$A$644,$B18,الإدخال!$F$5:$F$644,"غائب")</f>
        <v>0</v>
      </c>
      <c r="G18" s="73">
        <f>COUNTIFS(الإدخال!$A$5:$A$644,$B18,الإدخال!$F$5:$F$644,"معتذر")</f>
        <v>0</v>
      </c>
      <c r="H18" s="70" t="str">
        <f>IFERROR(SUMIFS(الإدخال!$N$5:$N$644,الإدخال!$A$5:$A$644,$B18)/COUNTIFS(الإدخال!$A$5:$A$644,$B18,الإدخال!$F$5:$F$644,"&lt;&gt;"),"")</f>
        <v/>
      </c>
      <c r="I18" s="71" t="str">
        <f>IFERROR(SUMIFS(الإدخال!$O$5:$O$644,الإدخال!$A$5:$A$644,$B18)/SUMIFS(الإدخال!$P$5:$P$644,الإدخال!$A$5:$A$644,$B18)/100,"")</f>
        <v/>
      </c>
      <c r="J18" s="70" t="str">
        <f>IFERROR(SUMIFS(الإدخال!$O$5:$O$644,الإدخال!$A$5:$A$644,$B18,الإدخال!$B$5:$B$644,الإعدادات!$C$8)/SUMIFS(الإدخال!$P$5:$P$644,الإدخال!$A$5:$A$644,$B18,الإدخال!$B$5:$B$644,الإعدادات!$C$8)/100,"")</f>
        <v/>
      </c>
      <c r="K18" s="70" t="str">
        <f>IFERROR(SUMIFS(الإدخال!$O$5:$O$644,الإدخال!$A$5:$A$644,$B18,الإدخال!$B$5:$B$644,الإعدادات!$C$9)/SUMIFS(الإدخال!$P$5:$P$644,الإدخال!$A$5:$A$644,$B18,الإدخال!$B$5:$B$644,الإعدادات!$C$9)/100,"")</f>
        <v/>
      </c>
      <c r="L18" s="73">
        <f>SUMIFS(الإدخال!$H$5:$H$644,الإدخال!$A$5:$A$644,$B18,الإدخال!$N$5:$N$644,1)</f>
        <v>0</v>
      </c>
      <c r="M18" s="73">
        <f>SUMIFS(الإدخال!$I$5:$I$644,الإدخال!$A$5:$A$644,$B18,الإدخال!$N$5:$N$644,1)</f>
        <v>0</v>
      </c>
      <c r="N18" s="114">
        <f>SUMIFS(الإدخال!$J$5:$J$644,الإدخال!$A$5:$A$644,$B18,الإدخال!$N$5:$N$644,1)</f>
        <v>0</v>
      </c>
    </row>
    <row r="19" spans="1:14">
      <c r="A19" s="2"/>
      <c r="B19" s="112">
        <v>11</v>
      </c>
      <c r="C19" s="113" t="str">
        <f>IF(الإعدادات!$C$4="","",الإعدادات!$C$4+(B19-1)*7)</f>
        <v/>
      </c>
      <c r="D19" s="73">
        <f>SUMIFS(الإدخال!$N$5:$N$644,الإدخال!$A$5:$A$644,$B19)</f>
        <v>0</v>
      </c>
      <c r="E19" s="73">
        <f>COUNTIFS(الإدخال!$A$5:$A$644,$B19,الإدخال!$F$5:$F$644,"متأخر")</f>
        <v>0</v>
      </c>
      <c r="F19" s="73">
        <f>COUNTIFS(الإدخال!$A$5:$A$644,$B19,الإدخال!$F$5:$F$644,"غائب")</f>
        <v>0</v>
      </c>
      <c r="G19" s="73">
        <f>COUNTIFS(الإدخال!$A$5:$A$644,$B19,الإدخال!$F$5:$F$644,"معتذر")</f>
        <v>0</v>
      </c>
      <c r="H19" s="70" t="str">
        <f>IFERROR(SUMIFS(الإدخال!$N$5:$N$644,الإدخال!$A$5:$A$644,$B19)/COUNTIFS(الإدخال!$A$5:$A$644,$B19,الإدخال!$F$5:$F$644,"&lt;&gt;"),"")</f>
        <v/>
      </c>
      <c r="I19" s="71" t="str">
        <f>IFERROR(SUMIFS(الإدخال!$O$5:$O$644,الإدخال!$A$5:$A$644,$B19)/SUMIFS(الإدخال!$P$5:$P$644,الإدخال!$A$5:$A$644,$B19)/100,"")</f>
        <v/>
      </c>
      <c r="J19" s="70" t="str">
        <f>IFERROR(SUMIFS(الإدخال!$O$5:$O$644,الإدخال!$A$5:$A$644,$B19,الإدخال!$B$5:$B$644,الإعدادات!$C$8)/SUMIFS(الإدخال!$P$5:$P$644,الإدخال!$A$5:$A$644,$B19,الإدخال!$B$5:$B$644,الإعدادات!$C$8)/100,"")</f>
        <v/>
      </c>
      <c r="K19" s="70" t="str">
        <f>IFERROR(SUMIFS(الإدخال!$O$5:$O$644,الإدخال!$A$5:$A$644,$B19,الإدخال!$B$5:$B$644,الإعدادات!$C$9)/SUMIFS(الإدخال!$P$5:$P$644,الإدخال!$A$5:$A$644,$B19,الإدخال!$B$5:$B$644,الإعدادات!$C$9)/100,"")</f>
        <v/>
      </c>
      <c r="L19" s="73">
        <f>SUMIFS(الإدخال!$H$5:$H$644,الإدخال!$A$5:$A$644,$B19,الإدخال!$N$5:$N$644,1)</f>
        <v>0</v>
      </c>
      <c r="M19" s="73">
        <f>SUMIFS(الإدخال!$I$5:$I$644,الإدخال!$A$5:$A$644,$B19,الإدخال!$N$5:$N$644,1)</f>
        <v>0</v>
      </c>
      <c r="N19" s="114">
        <f>SUMIFS(الإدخال!$J$5:$J$644,الإدخال!$A$5:$A$644,$B19,الإدخال!$N$5:$N$644,1)</f>
        <v>0</v>
      </c>
    </row>
    <row r="20" spans="1:14">
      <c r="A20" s="2"/>
      <c r="B20" s="112">
        <v>12</v>
      </c>
      <c r="C20" s="113" t="str">
        <f>IF(الإعدادات!$C$4="","",الإعدادات!$C$4+(B20-1)*7)</f>
        <v/>
      </c>
      <c r="D20" s="73">
        <f>SUMIFS(الإدخال!$N$5:$N$644,الإدخال!$A$5:$A$644,$B20)</f>
        <v>0</v>
      </c>
      <c r="E20" s="73">
        <f>COUNTIFS(الإدخال!$A$5:$A$644,$B20,الإدخال!$F$5:$F$644,"متأخر")</f>
        <v>0</v>
      </c>
      <c r="F20" s="73">
        <f>COUNTIFS(الإدخال!$A$5:$A$644,$B20,الإدخال!$F$5:$F$644,"غائب")</f>
        <v>0</v>
      </c>
      <c r="G20" s="73">
        <f>COUNTIFS(الإدخال!$A$5:$A$644,$B20,الإدخال!$F$5:$F$644,"معتذر")</f>
        <v>0</v>
      </c>
      <c r="H20" s="70" t="str">
        <f>IFERROR(SUMIFS(الإدخال!$N$5:$N$644,الإدخال!$A$5:$A$644,$B20)/COUNTIFS(الإدخال!$A$5:$A$644,$B20,الإدخال!$F$5:$F$644,"&lt;&gt;"),"")</f>
        <v/>
      </c>
      <c r="I20" s="71" t="str">
        <f>IFERROR(SUMIFS(الإدخال!$O$5:$O$644,الإدخال!$A$5:$A$644,$B20)/SUMIFS(الإدخال!$P$5:$P$644,الإدخال!$A$5:$A$644,$B20)/100,"")</f>
        <v/>
      </c>
      <c r="J20" s="70" t="str">
        <f>IFERROR(SUMIFS(الإدخال!$O$5:$O$644,الإدخال!$A$5:$A$644,$B20,الإدخال!$B$5:$B$644,الإعدادات!$C$8)/SUMIFS(الإدخال!$P$5:$P$644,الإدخال!$A$5:$A$644,$B20,الإدخال!$B$5:$B$644,الإعدادات!$C$8)/100,"")</f>
        <v/>
      </c>
      <c r="K20" s="70" t="str">
        <f>IFERROR(SUMIFS(الإدخال!$O$5:$O$644,الإدخال!$A$5:$A$644,$B20,الإدخال!$B$5:$B$644,الإعدادات!$C$9)/SUMIFS(الإدخال!$P$5:$P$644,الإدخال!$A$5:$A$644,$B20,الإدخال!$B$5:$B$644,الإعدادات!$C$9)/100,"")</f>
        <v/>
      </c>
      <c r="L20" s="73">
        <f>SUMIFS(الإدخال!$H$5:$H$644,الإدخال!$A$5:$A$644,$B20,الإدخال!$N$5:$N$644,1)</f>
        <v>0</v>
      </c>
      <c r="M20" s="73">
        <f>SUMIFS(الإدخال!$I$5:$I$644,الإدخال!$A$5:$A$644,$B20,الإدخال!$N$5:$N$644,1)</f>
        <v>0</v>
      </c>
      <c r="N20" s="114">
        <f>SUMIFS(الإدخال!$J$5:$J$644,الإدخال!$A$5:$A$644,$B20,الإدخال!$N$5:$N$644,1)</f>
        <v>0</v>
      </c>
    </row>
    <row r="21" spans="1:14">
      <c r="A21" s="2"/>
      <c r="B21" s="112">
        <v>13</v>
      </c>
      <c r="C21" s="113" t="str">
        <f>IF(الإعدادات!$C$4="","",الإعدادات!$C$4+(B21-1)*7)</f>
        <v/>
      </c>
      <c r="D21" s="73">
        <f>SUMIFS(الإدخال!$N$5:$N$644,الإدخال!$A$5:$A$644,$B21)</f>
        <v>0</v>
      </c>
      <c r="E21" s="73">
        <f>COUNTIFS(الإدخال!$A$5:$A$644,$B21,الإدخال!$F$5:$F$644,"متأخر")</f>
        <v>0</v>
      </c>
      <c r="F21" s="73">
        <f>COUNTIFS(الإدخال!$A$5:$A$644,$B21,الإدخال!$F$5:$F$644,"غائب")</f>
        <v>0</v>
      </c>
      <c r="G21" s="73">
        <f>COUNTIFS(الإدخال!$A$5:$A$644,$B21,الإدخال!$F$5:$F$644,"معتذر")</f>
        <v>0</v>
      </c>
      <c r="H21" s="70" t="str">
        <f>IFERROR(SUMIFS(الإدخال!$N$5:$N$644,الإدخال!$A$5:$A$644,$B21)/COUNTIFS(الإدخال!$A$5:$A$644,$B21,الإدخال!$F$5:$F$644,"&lt;&gt;"),"")</f>
        <v/>
      </c>
      <c r="I21" s="71" t="str">
        <f>IFERROR(SUMIFS(الإدخال!$O$5:$O$644,الإدخال!$A$5:$A$644,$B21)/SUMIFS(الإدخال!$P$5:$P$644,الإدخال!$A$5:$A$644,$B21)/100,"")</f>
        <v/>
      </c>
      <c r="J21" s="70" t="str">
        <f>IFERROR(SUMIFS(الإدخال!$O$5:$O$644,الإدخال!$A$5:$A$644,$B21,الإدخال!$B$5:$B$644,الإعدادات!$C$8)/SUMIFS(الإدخال!$P$5:$P$644,الإدخال!$A$5:$A$644,$B21,الإدخال!$B$5:$B$644,الإعدادات!$C$8)/100,"")</f>
        <v/>
      </c>
      <c r="K21" s="70" t="str">
        <f>IFERROR(SUMIFS(الإدخال!$O$5:$O$644,الإدخال!$A$5:$A$644,$B21,الإدخال!$B$5:$B$644,الإعدادات!$C$9)/SUMIFS(الإدخال!$P$5:$P$644,الإدخال!$A$5:$A$644,$B21,الإدخال!$B$5:$B$644,الإعدادات!$C$9)/100,"")</f>
        <v/>
      </c>
      <c r="L21" s="73">
        <f>SUMIFS(الإدخال!$H$5:$H$644,الإدخال!$A$5:$A$644,$B21,الإدخال!$N$5:$N$644,1)</f>
        <v>0</v>
      </c>
      <c r="M21" s="73">
        <f>SUMIFS(الإدخال!$I$5:$I$644,الإدخال!$A$5:$A$644,$B21,الإدخال!$N$5:$N$644,1)</f>
        <v>0</v>
      </c>
      <c r="N21" s="114">
        <f>SUMIFS(الإدخال!$J$5:$J$644,الإدخال!$A$5:$A$644,$B21,الإدخال!$N$5:$N$644,1)</f>
        <v>0</v>
      </c>
    </row>
    <row r="22" spans="1:14">
      <c r="A22" s="2"/>
      <c r="B22" s="112">
        <v>14</v>
      </c>
      <c r="C22" s="113" t="str">
        <f>IF(الإعدادات!$C$4="","",الإعدادات!$C$4+(B22-1)*7)</f>
        <v/>
      </c>
      <c r="D22" s="73">
        <f>SUMIFS(الإدخال!$N$5:$N$644,الإدخال!$A$5:$A$644,$B22)</f>
        <v>0</v>
      </c>
      <c r="E22" s="73">
        <f>COUNTIFS(الإدخال!$A$5:$A$644,$B22,الإدخال!$F$5:$F$644,"متأخر")</f>
        <v>0</v>
      </c>
      <c r="F22" s="73">
        <f>COUNTIFS(الإدخال!$A$5:$A$644,$B22,الإدخال!$F$5:$F$644,"غائب")</f>
        <v>0</v>
      </c>
      <c r="G22" s="73">
        <f>COUNTIFS(الإدخال!$A$5:$A$644,$B22,الإدخال!$F$5:$F$644,"معتذر")</f>
        <v>0</v>
      </c>
      <c r="H22" s="70" t="str">
        <f>IFERROR(SUMIFS(الإدخال!$N$5:$N$644,الإدخال!$A$5:$A$644,$B22)/COUNTIFS(الإدخال!$A$5:$A$644,$B22,الإدخال!$F$5:$F$644,"&lt;&gt;"),"")</f>
        <v/>
      </c>
      <c r="I22" s="71" t="str">
        <f>IFERROR(SUMIFS(الإدخال!$O$5:$O$644,الإدخال!$A$5:$A$644,$B22)/SUMIFS(الإدخال!$P$5:$P$644,الإدخال!$A$5:$A$644,$B22)/100,"")</f>
        <v/>
      </c>
      <c r="J22" s="70" t="str">
        <f>IFERROR(SUMIFS(الإدخال!$O$5:$O$644,الإدخال!$A$5:$A$644,$B22,الإدخال!$B$5:$B$644,الإعدادات!$C$8)/SUMIFS(الإدخال!$P$5:$P$644,الإدخال!$A$5:$A$644,$B22,الإدخال!$B$5:$B$644,الإعدادات!$C$8)/100,"")</f>
        <v/>
      </c>
      <c r="K22" s="70" t="str">
        <f>IFERROR(SUMIFS(الإدخال!$O$5:$O$644,الإدخال!$A$5:$A$644,$B22,الإدخال!$B$5:$B$644,الإعدادات!$C$9)/SUMIFS(الإدخال!$P$5:$P$644,الإدخال!$A$5:$A$644,$B22,الإدخال!$B$5:$B$644,الإعدادات!$C$9)/100,"")</f>
        <v/>
      </c>
      <c r="L22" s="73">
        <f>SUMIFS(الإدخال!$H$5:$H$644,الإدخال!$A$5:$A$644,$B22,الإدخال!$N$5:$N$644,1)</f>
        <v>0</v>
      </c>
      <c r="M22" s="73">
        <f>SUMIFS(الإدخال!$I$5:$I$644,الإدخال!$A$5:$A$644,$B22,الإدخال!$N$5:$N$644,1)</f>
        <v>0</v>
      </c>
      <c r="N22" s="114">
        <f>SUMIFS(الإدخال!$J$5:$J$644,الإدخال!$A$5:$A$644,$B22,الإدخال!$N$5:$N$644,1)</f>
        <v>0</v>
      </c>
    </row>
    <row r="23" spans="1:14">
      <c r="A23" s="2"/>
      <c r="B23" s="112">
        <v>15</v>
      </c>
      <c r="C23" s="113" t="str">
        <f>IF(الإعدادات!$C$4="","",الإعدادات!$C$4+(B23-1)*7)</f>
        <v/>
      </c>
      <c r="D23" s="73">
        <f>SUMIFS(الإدخال!$N$5:$N$644,الإدخال!$A$5:$A$644,$B23)</f>
        <v>0</v>
      </c>
      <c r="E23" s="73">
        <f>COUNTIFS(الإدخال!$A$5:$A$644,$B23,الإدخال!$F$5:$F$644,"متأخر")</f>
        <v>0</v>
      </c>
      <c r="F23" s="73">
        <f>COUNTIFS(الإدخال!$A$5:$A$644,$B23,الإدخال!$F$5:$F$644,"غائب")</f>
        <v>0</v>
      </c>
      <c r="G23" s="73">
        <f>COUNTIFS(الإدخال!$A$5:$A$644,$B23,الإدخال!$F$5:$F$644,"معتذر")</f>
        <v>0</v>
      </c>
      <c r="H23" s="70" t="str">
        <f>IFERROR(SUMIFS(الإدخال!$N$5:$N$644,الإدخال!$A$5:$A$644,$B23)/COUNTIFS(الإدخال!$A$5:$A$644,$B23,الإدخال!$F$5:$F$644,"&lt;&gt;"),"")</f>
        <v/>
      </c>
      <c r="I23" s="71" t="str">
        <f>IFERROR(SUMIFS(الإدخال!$O$5:$O$644,الإدخال!$A$5:$A$644,$B23)/SUMIFS(الإدخال!$P$5:$P$644,الإدخال!$A$5:$A$644,$B23)/100,"")</f>
        <v/>
      </c>
      <c r="J23" s="70" t="str">
        <f>IFERROR(SUMIFS(الإدخال!$O$5:$O$644,الإدخال!$A$5:$A$644,$B23,الإدخال!$B$5:$B$644,الإعدادات!$C$8)/SUMIFS(الإدخال!$P$5:$P$644,الإدخال!$A$5:$A$644,$B23,الإدخال!$B$5:$B$644,الإعدادات!$C$8)/100,"")</f>
        <v/>
      </c>
      <c r="K23" s="70" t="str">
        <f>IFERROR(SUMIFS(الإدخال!$O$5:$O$644,الإدخال!$A$5:$A$644,$B23,الإدخال!$B$5:$B$644,الإعدادات!$C$9)/SUMIFS(الإدخال!$P$5:$P$644,الإدخال!$A$5:$A$644,$B23,الإدخال!$B$5:$B$644,الإعدادات!$C$9)/100,"")</f>
        <v/>
      </c>
      <c r="L23" s="73">
        <f>SUMIFS(الإدخال!$H$5:$H$644,الإدخال!$A$5:$A$644,$B23,الإدخال!$N$5:$N$644,1)</f>
        <v>0</v>
      </c>
      <c r="M23" s="73">
        <f>SUMIFS(الإدخال!$I$5:$I$644,الإدخال!$A$5:$A$644,$B23,الإدخال!$N$5:$N$644,1)</f>
        <v>0</v>
      </c>
      <c r="N23" s="114">
        <f>SUMIFS(الإدخال!$J$5:$J$644,الإدخال!$A$5:$A$644,$B23,الإدخال!$N$5:$N$644,1)</f>
        <v>0</v>
      </c>
    </row>
    <row r="24" spans="1:14">
      <c r="A24" s="2"/>
      <c r="B24" s="112">
        <v>16</v>
      </c>
      <c r="C24" s="113" t="str">
        <f>IF(الإعدادات!$C$4="","",الإعدادات!$C$4+(B24-1)*7)</f>
        <v/>
      </c>
      <c r="D24" s="73">
        <f>SUMIFS(الإدخال!$N$5:$N$644,الإدخال!$A$5:$A$644,$B24)</f>
        <v>0</v>
      </c>
      <c r="E24" s="73">
        <f>COUNTIFS(الإدخال!$A$5:$A$644,$B24,الإدخال!$F$5:$F$644,"متأخر")</f>
        <v>0</v>
      </c>
      <c r="F24" s="73">
        <f>COUNTIFS(الإدخال!$A$5:$A$644,$B24,الإدخال!$F$5:$F$644,"غائب")</f>
        <v>0</v>
      </c>
      <c r="G24" s="73">
        <f>COUNTIFS(الإدخال!$A$5:$A$644,$B24,الإدخال!$F$5:$F$644,"معتذر")</f>
        <v>0</v>
      </c>
      <c r="H24" s="70" t="str">
        <f>IFERROR(SUMIFS(الإدخال!$N$5:$N$644,الإدخال!$A$5:$A$644,$B24)/COUNTIFS(الإدخال!$A$5:$A$644,$B24,الإدخال!$F$5:$F$644,"&lt;&gt;"),"")</f>
        <v/>
      </c>
      <c r="I24" s="71" t="str">
        <f>IFERROR(SUMIFS(الإدخال!$O$5:$O$644,الإدخال!$A$5:$A$644,$B24)/SUMIFS(الإدخال!$P$5:$P$644,الإدخال!$A$5:$A$644,$B24)/100,"")</f>
        <v/>
      </c>
      <c r="J24" s="70" t="str">
        <f>IFERROR(SUMIFS(الإدخال!$O$5:$O$644,الإدخال!$A$5:$A$644,$B24,الإدخال!$B$5:$B$644,الإعدادات!$C$8)/SUMIFS(الإدخال!$P$5:$P$644,الإدخال!$A$5:$A$644,$B24,الإدخال!$B$5:$B$644,الإعدادات!$C$8)/100,"")</f>
        <v/>
      </c>
      <c r="K24" s="70" t="str">
        <f>IFERROR(SUMIFS(الإدخال!$O$5:$O$644,الإدخال!$A$5:$A$644,$B24,الإدخال!$B$5:$B$644,الإعدادات!$C$9)/SUMIFS(الإدخال!$P$5:$P$644,الإدخال!$A$5:$A$644,$B24,الإدخال!$B$5:$B$644,الإعدادات!$C$9)/100,"")</f>
        <v/>
      </c>
      <c r="L24" s="73">
        <f>SUMIFS(الإدخال!$H$5:$H$644,الإدخال!$A$5:$A$644,$B24,الإدخال!$N$5:$N$644,1)</f>
        <v>0</v>
      </c>
      <c r="M24" s="73">
        <f>SUMIFS(الإدخال!$I$5:$I$644,الإدخال!$A$5:$A$644,$B24,الإدخال!$N$5:$N$644,1)</f>
        <v>0</v>
      </c>
      <c r="N24" s="114">
        <f>SUMIFS(الإدخال!$J$5:$J$644,الإدخال!$A$5:$A$644,$B24,الإدخال!$N$5:$N$644,1)</f>
        <v>0</v>
      </c>
    </row>
    <row r="25" spans="1:14">
      <c r="A25" s="2"/>
      <c r="B25" s="27" t="s">
        <v>152</v>
      </c>
      <c r="C25" s="115"/>
      <c r="D25" s="82">
        <f>SUM(D9:D24)</f>
        <v>58</v>
      </c>
      <c r="E25" s="82">
        <f>SUM(E9:E24)</f>
        <v>0</v>
      </c>
      <c r="F25" s="82">
        <f>SUM(F9:F24)</f>
        <v>4</v>
      </c>
      <c r="G25" s="82">
        <f>SUM(G9:G24)</f>
        <v>11</v>
      </c>
      <c r="H25" s="76">
        <f>G5</f>
        <v>0.79452054794520544</v>
      </c>
      <c r="I25" s="76">
        <f>H5</f>
        <v>0.68328767123287681</v>
      </c>
      <c r="J25" s="76">
        <f>IFERROR(SUMIFS(الإدخال!$O$5:$O$644,الإدخال!$B$5:$B$644,الإعدادات!$C$8)/SUMIFS(الإدخال!$P$5:$P$644,الإدخال!$B$5:$B$644,الإعدادات!$C$8)/100,"")</f>
        <v>0.74025000000000007</v>
      </c>
      <c r="K25" s="76">
        <f>IFERROR(SUMIFS(الإدخال!$O$5:$O$644,الإدخال!$B$5:$B$644,الإعدادات!$C$9)/SUMIFS(الإدخال!$P$5:$P$644,الإدخال!$B$5:$B$644,الإعدادات!$C$9)/100,"")</f>
        <v>0.60312500000000002</v>
      </c>
      <c r="L25" s="82">
        <f>SUM(L9:L24)</f>
        <v>157</v>
      </c>
      <c r="M25" s="82">
        <f>SUM(M9:M24)</f>
        <v>1298</v>
      </c>
      <c r="N25" s="116">
        <f>SUM(N9:N24)</f>
        <v>0</v>
      </c>
    </row>
    <row r="26" spans="1:14">
      <c r="A26" s="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>
      <c r="A27" s="2"/>
      <c r="B27" s="19" t="s">
        <v>153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6" customHeight="1">
      <c r="A28" s="2"/>
      <c r="B28" s="13" t="s">
        <v>6</v>
      </c>
      <c r="C28" s="141" t="s">
        <v>140</v>
      </c>
      <c r="D28" s="15" t="s">
        <v>143</v>
      </c>
      <c r="E28" s="15" t="s">
        <v>120</v>
      </c>
      <c r="F28" s="15" t="s">
        <v>121</v>
      </c>
      <c r="G28" s="15" t="s">
        <v>122</v>
      </c>
      <c r="H28" s="15" t="s">
        <v>40</v>
      </c>
      <c r="I28" s="15" t="s">
        <v>38</v>
      </c>
      <c r="J28" s="15" t="s">
        <v>44</v>
      </c>
      <c r="K28" s="15" t="s">
        <v>61</v>
      </c>
      <c r="L28" s="15" t="s">
        <v>62</v>
      </c>
      <c r="M28" s="15" t="s">
        <v>63</v>
      </c>
      <c r="N28" s="36"/>
    </row>
    <row r="29" spans="1:14">
      <c r="A29" s="2"/>
      <c r="B29" s="146" t="str">
        <f>الإعدادات!$C$8</f>
        <v>المقرأة الأولى</v>
      </c>
      <c r="C29" s="72">
        <f>COUNTIF(الطلاب!$C$5:$C$44,$B29)</f>
        <v>21</v>
      </c>
      <c r="D29" s="72">
        <f>SUMIFS(الإدخال!$N$5:$N$644,الإدخال!$B$5:$B$644,$B29)</f>
        <v>33</v>
      </c>
      <c r="E29" s="72">
        <f>COUNTIFS(الإدخال!$B$5:$B$644,$B29,الإدخال!$F$5:$F$644,"متأخر")</f>
        <v>0</v>
      </c>
      <c r="F29" s="72">
        <f>COUNTIFS(الإدخال!$B$5:$B$644,$B29,الإدخال!$F$5:$F$644,"غائب")</f>
        <v>0</v>
      </c>
      <c r="G29" s="72">
        <f>COUNTIFS(الإدخال!$B$5:$B$644,$B29,الإدخال!$F$5:$F$644,"معتذر")</f>
        <v>7</v>
      </c>
      <c r="H29" s="70">
        <f>IFERROR(SUMIFS(الإدخال!$N$5:$N$644,الإدخال!$B$5:$B$644,$B29)/COUNTIFS(الإدخال!$B$5:$B$644,$B29,الإدخال!$F$5:$F$644,"&lt;&gt;"),"")</f>
        <v>0.82499999999999996</v>
      </c>
      <c r="I29" s="71">
        <f>IFERROR(SUMIFS(الإدخال!$O$5:$O$644,الإدخال!$B$5:$B$644,$B29)/SUMIFS(الإدخال!$P$5:$P$644,الإدخال!$B$5:$B$644,$B29)/100,"")</f>
        <v>0.74025000000000007</v>
      </c>
      <c r="J29" s="72" t="str">
        <f>IF(I29="","",IF(I29&gt;=0.9,"ممتاز",IF(I29&gt;=0.8,"جيد جدًا",IF(I29&gt;=0.7,"جيد",IF(I29&gt;=0.6,"مقبول","يحتاج متابعة")))))</f>
        <v>جيد</v>
      </c>
      <c r="K29" s="73">
        <f>SUMIFS(الإدخال!$H$5:$H$644,الإدخال!$B$5:$B$644,$B29,الإدخال!$N$5:$N$644,1)</f>
        <v>84</v>
      </c>
      <c r="L29" s="73">
        <f>SUMIFS(الإدخال!$I$5:$I$644,الإدخال!$B$5:$B$644,$B29,الإدخال!$N$5:$N$644,1)</f>
        <v>777</v>
      </c>
      <c r="M29" s="73">
        <f>SUMIFS(الإدخال!$J$5:$J$644,الإدخال!$B$5:$B$644,$B29,الإدخال!$N$5:$N$644,1)</f>
        <v>0</v>
      </c>
      <c r="N29" s="36"/>
    </row>
    <row r="30" spans="1:14">
      <c r="A30" s="2"/>
      <c r="B30" s="100" t="str">
        <f>الإعدادات!$C$9</f>
        <v>المقرأة الثانية</v>
      </c>
      <c r="C30" s="66">
        <f>COUNTIF(الطلاب!$C$5:$C$44,$B30)</f>
        <v>16</v>
      </c>
      <c r="D30" s="66">
        <f>SUMIFS(الإدخال!$N$5:$N$644,الإدخال!$B$5:$B$644,$B30)</f>
        <v>24</v>
      </c>
      <c r="E30" s="66">
        <f>COUNTIFS(الإدخال!$B$5:$B$644,$B30,الإدخال!$F$5:$F$644,"متأخر")</f>
        <v>0</v>
      </c>
      <c r="F30" s="66">
        <f>COUNTIFS(الإدخال!$B$5:$B$644,$B30,الإدخال!$F$5:$F$644,"غائب")</f>
        <v>4</v>
      </c>
      <c r="G30" s="66">
        <f>COUNTIFS(الإدخال!$B$5:$B$644,$B30,الإدخال!$F$5:$F$644,"معتذر")</f>
        <v>4</v>
      </c>
      <c r="H30" s="64">
        <f>IFERROR(SUMIFS(الإدخال!$N$5:$N$644,الإدخال!$B$5:$B$644,$B30)/COUNTIFS(الإدخال!$B$5:$B$644,$B30,الإدخال!$F$5:$F$644,"&lt;&gt;"),"")</f>
        <v>0.75</v>
      </c>
      <c r="I30" s="65">
        <f>IFERROR(SUMIFS(الإدخال!$O$5:$O$644,الإدخال!$B$5:$B$644,$B30)/SUMIFS(الإدخال!$P$5:$P$644,الإدخال!$B$5:$B$644,$B30)/100,"")</f>
        <v>0.60312500000000002</v>
      </c>
      <c r="J30" s="66" t="str">
        <f>IF(I30="","",IF(I30&gt;=0.9,"ممتاز",IF(I30&gt;=0.8,"جيد جدًا",IF(I30&gt;=0.7,"جيد",IF(I30&gt;=0.6,"مقبول","يحتاج متابعة")))))</f>
        <v>مقبول</v>
      </c>
      <c r="K30" s="67">
        <f>SUMIFS(الإدخال!$H$5:$H$644,الإدخال!$B$5:$B$644,$B30,الإدخال!$N$5:$N$644,1)</f>
        <v>73</v>
      </c>
      <c r="L30" s="67">
        <f>SUMIFS(الإدخال!$I$5:$I$644,الإدخال!$B$5:$B$644,$B30,الإدخال!$N$5:$N$644,1)</f>
        <v>498</v>
      </c>
      <c r="M30" s="67">
        <f>SUMIFS(الإدخال!$J$5:$J$644,الإدخال!$B$5:$B$644,$B30,الإدخال!$N$5:$N$644,1)</f>
        <v>0</v>
      </c>
      <c r="N30" s="36"/>
    </row>
  </sheetData>
  <sheetProtection algorithmName="SHA-512" hashValue="azMyKX6uOVtURc9cXpJfOIruOXWzqDvNbBR1UGa1AoVwg//3u5g4HJQKiPJvsJ9KNUR5g8IoMZBaq8iomrxujA==" saltValue="eIk2yYf11DURO/3aZUh/kw==" spinCount="100000" sheet="1" objects="1" scenarios="1"/>
  <conditionalFormatting sqref="I9:K24">
    <cfRule type="colorScale" priority="2">
      <colorScale>
        <cfvo type="num" val="0.5"/>
        <cfvo type="num" val="0.75"/>
        <cfvo type="num" val="1"/>
        <color rgb="FFF7DBD8"/>
        <color rgb="FFF9EACB"/>
        <color rgb="FFCFE0D2"/>
      </colorScale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4B6E-5BFF-0846-BF3B-1C6D4BB16832}">
  <sheetPr codeName="ورقة10">
    <tabColor rgb="FF0D5A54"/>
    <pageSetUpPr fitToPage="1"/>
  </sheetPr>
  <dimension ref="A1:M70"/>
  <sheetViews>
    <sheetView showGridLines="0" rightToLeft="1" zoomScaleNormal="100" workbookViewId="0">
      <selection activeCell="B27" sqref="B27"/>
    </sheetView>
  </sheetViews>
  <sheetFormatPr defaultColWidth="8.7109375" defaultRowHeight="15"/>
  <cols>
    <col min="1" max="1" width="3" customWidth="1"/>
    <col min="2" max="2" width="12" customWidth="1"/>
    <col min="3" max="3" width="21.7109375" customWidth="1"/>
    <col min="4" max="4" width="15.85546875" customWidth="1"/>
    <col min="5" max="7" width="11" customWidth="1"/>
    <col min="8" max="9" width="13" customWidth="1"/>
    <col min="10" max="10" width="14.140625" customWidth="1"/>
    <col min="11" max="11" width="11.7109375" customWidth="1"/>
    <col min="12" max="13" width="10" customWidth="1"/>
    <col min="14" max="14" width="12" customWidth="1"/>
    <col min="15" max="15" width="13" customWidth="1"/>
  </cols>
  <sheetData>
    <row r="1" spans="1:13" ht="30" customHeight="1">
      <c r="A1" s="117" t="str">
        <f>"لوحة معلومات حلقة "&amp;TRIM($C$3)</f>
        <v>لوحة معلومات حلقة ابي بن مالك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>
      <c r="A2" s="61" t="s">
        <v>154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5.95">
      <c r="A3" s="24"/>
      <c r="B3" s="22" t="s">
        <v>155</v>
      </c>
      <c r="C3" s="167" t="str">
        <f>الإعدادات!$C$12</f>
        <v xml:space="preserve">ابي بن مالك </v>
      </c>
      <c r="D3" s="167"/>
      <c r="E3" s="167"/>
      <c r="F3" s="24"/>
      <c r="G3" s="24"/>
      <c r="H3" s="24"/>
      <c r="I3" s="24"/>
      <c r="J3" s="24"/>
      <c r="K3" s="24"/>
      <c r="L3" s="24"/>
      <c r="M3" s="24"/>
    </row>
    <row r="4" spans="1:13" ht="36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30" customHeight="1">
      <c r="A5" s="24"/>
      <c r="B5" s="14" t="s">
        <v>140</v>
      </c>
      <c r="C5" s="14" t="s">
        <v>145</v>
      </c>
      <c r="D5" s="14" t="s">
        <v>121</v>
      </c>
      <c r="E5" s="14" t="s">
        <v>122</v>
      </c>
      <c r="F5" s="14" t="s">
        <v>40</v>
      </c>
      <c r="G5" s="14" t="s">
        <v>38</v>
      </c>
      <c r="H5" s="14" t="s">
        <v>44</v>
      </c>
      <c r="I5" s="14" t="s">
        <v>61</v>
      </c>
      <c r="J5" s="13" t="s">
        <v>62</v>
      </c>
      <c r="K5" s="24"/>
      <c r="L5" s="24"/>
      <c r="M5" s="24"/>
    </row>
    <row r="6" spans="1:13" ht="32.1" customHeight="1">
      <c r="A6" s="24"/>
      <c r="B6" s="149">
        <f>COUNTIFS(الطلاب!$D$5:$D$44,$C$3)</f>
        <v>9</v>
      </c>
      <c r="C6" s="149">
        <f>SUMIFS(الإدخال!$N$5:$N$644,الإدخال!$C$5:$C$644,$C$3)</f>
        <v>14</v>
      </c>
      <c r="D6" s="149">
        <f>COUNTIFS(الإدخال!$C$5:$C$644,$C$3,الإدخال!$F$5:$F$644,"غائب")</f>
        <v>1</v>
      </c>
      <c r="E6" s="149">
        <f>COUNTIFS(الإدخال!$C$5:$C$644,$C$3,الإدخال!$F$5:$F$644,"معتذر")</f>
        <v>3</v>
      </c>
      <c r="F6" s="150">
        <f>IFERROR(C6/COUNTIFS(الإدخال!$C$5:$C$644,$C$3,الإدخال!$F$5:$F$644,"&lt;&gt;"),"")</f>
        <v>0.77777777777777779</v>
      </c>
      <c r="G6" s="150">
        <f>IFERROR(SUMIFS(الإدخال!$O$5:$O$644,الإدخال!$C$5:$C$644,$C$3)/SUMIFS(الإدخال!$P$5:$P$644,الإدخال!$C$5:$C$644,$C$3)/100,"")</f>
        <v>0.60444444444444445</v>
      </c>
      <c r="H6" s="151" t="str">
        <f>IF(G6="","",IF(G6&gt;=0.9,"ممتاز",IF(G6&gt;=0.8,"جيد جدًا",IF(G6&gt;=0.7,"جيد",IF(G6&gt;=0.6,"مقبول","يحتاج متابعة")))))</f>
        <v>مقبول</v>
      </c>
      <c r="I6" s="152">
        <f>SUMIFS(الإدخال!$H$5:$H$644,الإدخال!$C$5:$C$644,$C$3,الإدخال!$N$5:$N$644,1)</f>
        <v>31</v>
      </c>
      <c r="J6" s="152">
        <f>SUMIFS(الإدخال!$I$5:$I$644,الإدخال!$C$5:$C$644,$C$3,الإدخال!$N$5:$N$644,1)</f>
        <v>310</v>
      </c>
      <c r="K6" s="25"/>
      <c r="L6" s="24"/>
      <c r="M6" s="24"/>
    </row>
    <row r="7" spans="1:13">
      <c r="A7" s="24"/>
      <c r="B7" s="118"/>
      <c r="C7" s="118"/>
      <c r="D7" s="118"/>
      <c r="E7" s="118"/>
      <c r="F7" s="118"/>
      <c r="G7" s="118"/>
      <c r="H7" s="118"/>
      <c r="I7" s="118"/>
      <c r="J7" s="118"/>
      <c r="K7" s="24"/>
      <c r="L7" s="24"/>
      <c r="M7" s="24"/>
    </row>
    <row r="8" spans="1:13" ht="36" customHeight="1">
      <c r="A8" s="24"/>
      <c r="B8" s="21" t="s">
        <v>150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24" customHeight="1">
      <c r="A9" s="24"/>
      <c r="B9" s="14" t="s">
        <v>56</v>
      </c>
      <c r="C9" s="14" t="s">
        <v>151</v>
      </c>
      <c r="D9" s="14" t="s">
        <v>125</v>
      </c>
      <c r="E9" s="14" t="s">
        <v>121</v>
      </c>
      <c r="F9" s="14" t="s">
        <v>122</v>
      </c>
      <c r="G9" s="14" t="s">
        <v>40</v>
      </c>
      <c r="H9" s="13" t="s">
        <v>38</v>
      </c>
      <c r="I9" s="24"/>
      <c r="J9" s="24"/>
      <c r="K9" s="24"/>
      <c r="L9" s="24"/>
      <c r="M9" s="24"/>
    </row>
    <row r="10" spans="1:13">
      <c r="A10" s="24"/>
      <c r="B10" s="153">
        <f>IF(ROWS($B$10:B10)&gt;الإعدادات!$C$5,"",ROWS($B$10:B10))</f>
        <v>1</v>
      </c>
      <c r="C10" s="154" t="str">
        <f>IF(OR($B10="",الإعدادات!$C$4=""),"",الإعدادات!$C$4+($B10-1)*7)</f>
        <v/>
      </c>
      <c r="D10" s="155">
        <f>IF($B10="","",SUMIFS(الإدخال!$N$5:$N$644,الإدخال!$A$5:$A$644,$B10,الإدخال!$C$5:$C$644,$C$3))</f>
        <v>6</v>
      </c>
      <c r="E10" s="155">
        <f>IF($B10="","",COUNTIFS(الإدخال!$A$5:$A$644,$B10,الإدخال!$C$5:$C$644,$C$3,الإدخال!$F$5:$F$644,"غائب"))</f>
        <v>0</v>
      </c>
      <c r="F10" s="155">
        <f>IF($B10="","",COUNTIFS(الإدخال!$A$5:$A$644,$B10,الإدخال!$C$5:$C$644,$C$3,الإدخال!$F$5:$F$644,"معتذر"))</f>
        <v>3</v>
      </c>
      <c r="G10" s="156">
        <f>IF($B10="","",IFERROR(D10/COUNTIFS(الإدخال!$A$5:$A$644,$B10,الإدخال!$C$5:$C$644,$C$3,الإدخال!$F$5:$F$644,"&lt;&gt;"),""))</f>
        <v>0.66666666666666663</v>
      </c>
      <c r="H10" s="157">
        <f>IF($B10="","",IFERROR(SUMIFS(الإدخال!$O$5:$O$644,الإدخال!$A$5:$A$644,$B10,الإدخال!$C$5:$C$644,$C$3)/SUMIFS(الإدخال!$P$5:$P$644,الإدخال!$A$5:$A$644,$B10,الإدخال!$C$5:$C$644,$C$3)/100,""))</f>
        <v>0.52111111111111119</v>
      </c>
      <c r="I10" s="25"/>
      <c r="J10" s="24"/>
      <c r="K10" s="24"/>
      <c r="L10" s="24"/>
      <c r="M10" s="24"/>
    </row>
    <row r="11" spans="1:13">
      <c r="A11" s="24"/>
      <c r="B11" s="122">
        <f>IF(ROWS($B$10:B11)&gt;الإعدادات!$C$5,"",ROWS($B$10:B11))</f>
        <v>2</v>
      </c>
      <c r="C11" s="123" t="str">
        <f>IF(OR($B11="",الإعدادات!$C$4=""),"",الإعدادات!$C$4+($B11-1)*7)</f>
        <v/>
      </c>
      <c r="D11" s="124">
        <f>IF($B11="","",SUMIFS(الإدخال!$N$5:$N$644,الإدخال!$A$5:$A$644,$B11,الإدخال!$C$5:$C$644,$C$3))</f>
        <v>8</v>
      </c>
      <c r="E11" s="124">
        <f>IF($B11="","",COUNTIFS(الإدخال!$A$5:$A$644,$B11,الإدخال!$C$5:$C$644,$C$3,الإدخال!$F$5:$F$644,"غائب"))</f>
        <v>1</v>
      </c>
      <c r="F11" s="124">
        <f>IF($B11="","",COUNTIFS(الإدخال!$A$5:$A$644,$B11,الإدخال!$C$5:$C$644,$C$3,الإدخال!$F$5:$F$644,"معتذر"))</f>
        <v>0</v>
      </c>
      <c r="G11" s="125">
        <f>IF($B11="","",IFERROR(D11/COUNTIFS(الإدخال!$A$5:$A$644,$B11,الإدخال!$C$5:$C$644,$C$3,الإدخال!$F$5:$F$644,"&lt;&gt;"),""))</f>
        <v>0.88888888888888884</v>
      </c>
      <c r="H11" s="126">
        <f>IF($B11="","",IFERROR(SUMIFS(الإدخال!$O$5:$O$644,الإدخال!$A$5:$A$644,$B11,الإدخال!$C$5:$C$644,$C$3)/SUMIFS(الإدخال!$P$5:$P$644,الإدخال!$A$5:$A$644,$B11,الإدخال!$C$5:$C$644,$C$3)/100,""))</f>
        <v>0.68777777777777771</v>
      </c>
      <c r="I11" s="25"/>
      <c r="J11" s="24"/>
      <c r="K11" s="24"/>
      <c r="L11" s="24"/>
      <c r="M11" s="24"/>
    </row>
    <row r="12" spans="1:13">
      <c r="A12" s="24"/>
      <c r="B12" s="122">
        <f>IF(ROWS($B$10:B12)&gt;الإعدادات!$C$5,"",ROWS($B$10:B12))</f>
        <v>3</v>
      </c>
      <c r="C12" s="123" t="str">
        <f>IF(OR($B12="",الإعدادات!$C$4=""),"",الإعدادات!$C$4+($B12-1)*7)</f>
        <v/>
      </c>
      <c r="D12" s="124">
        <f>IF($B12="","",SUMIFS(الإدخال!$N$5:$N$644,الإدخال!$A$5:$A$644,$B12,الإدخال!$C$5:$C$644,$C$3))</f>
        <v>0</v>
      </c>
      <c r="E12" s="124">
        <f>IF($B12="","",COUNTIFS(الإدخال!$A$5:$A$644,$B12,الإدخال!$C$5:$C$644,$C$3,الإدخال!$F$5:$F$644,"غائب"))</f>
        <v>0</v>
      </c>
      <c r="F12" s="124">
        <f>IF($B12="","",COUNTIFS(الإدخال!$A$5:$A$644,$B12,الإدخال!$C$5:$C$644,$C$3,الإدخال!$F$5:$F$644,"معتذر"))</f>
        <v>0</v>
      </c>
      <c r="G12" s="125" t="str">
        <f>IF($B12="","",IFERROR(D12/COUNTIFS(الإدخال!$A$5:$A$644,$B12,الإدخال!$C$5:$C$644,$C$3,الإدخال!$F$5:$F$644,"&lt;&gt;"),""))</f>
        <v/>
      </c>
      <c r="H12" s="126" t="str">
        <f>IF($B12="","",IFERROR(SUMIFS(الإدخال!$O$5:$O$644,الإدخال!$A$5:$A$644,$B12,الإدخال!$C$5:$C$644,$C$3)/SUMIFS(الإدخال!$P$5:$P$644,الإدخال!$A$5:$A$644,$B12,الإدخال!$C$5:$C$644,$C$3)/100,""))</f>
        <v/>
      </c>
      <c r="I12" s="25"/>
      <c r="J12" s="24"/>
      <c r="K12" s="24"/>
      <c r="L12" s="24"/>
      <c r="M12" s="24"/>
    </row>
    <row r="13" spans="1:13">
      <c r="A13" s="24"/>
      <c r="B13" s="122">
        <f>IF(ROWS($B$10:B13)&gt;الإعدادات!$C$5,"",ROWS($B$10:B13))</f>
        <v>4</v>
      </c>
      <c r="C13" s="123" t="str">
        <f>IF(OR($B13="",الإعدادات!$C$4=""),"",الإعدادات!$C$4+($B13-1)*7)</f>
        <v/>
      </c>
      <c r="D13" s="124">
        <f>IF($B13="","",SUMIFS(الإدخال!$N$5:$N$644,الإدخال!$A$5:$A$644,$B13,الإدخال!$C$5:$C$644,$C$3))</f>
        <v>0</v>
      </c>
      <c r="E13" s="124">
        <f>IF($B13="","",COUNTIFS(الإدخال!$A$5:$A$644,$B13,الإدخال!$C$5:$C$644,$C$3,الإدخال!$F$5:$F$644,"غائب"))</f>
        <v>0</v>
      </c>
      <c r="F13" s="124">
        <f>IF($B13="","",COUNTIFS(الإدخال!$A$5:$A$644,$B13,الإدخال!$C$5:$C$644,$C$3,الإدخال!$F$5:$F$644,"معتذر"))</f>
        <v>0</v>
      </c>
      <c r="G13" s="125" t="str">
        <f>IF($B13="","",IFERROR(D13/COUNTIFS(الإدخال!$A$5:$A$644,$B13,الإدخال!$C$5:$C$644,$C$3,الإدخال!$F$5:$F$644,"&lt;&gt;"),""))</f>
        <v/>
      </c>
      <c r="H13" s="126" t="str">
        <f>IF($B13="","",IFERROR(SUMIFS(الإدخال!$O$5:$O$644,الإدخال!$A$5:$A$644,$B13,الإدخال!$C$5:$C$644,$C$3)/SUMIFS(الإدخال!$P$5:$P$644,الإدخال!$A$5:$A$644,$B13,الإدخال!$C$5:$C$644,$C$3)/100,""))</f>
        <v/>
      </c>
      <c r="I13" s="25"/>
      <c r="J13" s="24"/>
      <c r="K13" s="24"/>
      <c r="L13" s="24"/>
      <c r="M13" s="24"/>
    </row>
    <row r="14" spans="1:13">
      <c r="A14" s="24"/>
      <c r="B14" s="122">
        <f>IF(ROWS($B$10:B14)&gt;الإعدادات!$C$5,"",ROWS($B$10:B14))</f>
        <v>5</v>
      </c>
      <c r="C14" s="123" t="str">
        <f>IF(OR($B14="",الإعدادات!$C$4=""),"",الإعدادات!$C$4+($B14-1)*7)</f>
        <v/>
      </c>
      <c r="D14" s="124">
        <f>IF($B14="","",SUMIFS(الإدخال!$N$5:$N$644,الإدخال!$A$5:$A$644,$B14,الإدخال!$C$5:$C$644,$C$3))</f>
        <v>0</v>
      </c>
      <c r="E14" s="124">
        <f>IF($B14="","",COUNTIFS(الإدخال!$A$5:$A$644,$B14,الإدخال!$C$5:$C$644,$C$3,الإدخال!$F$5:$F$644,"غائب"))</f>
        <v>0</v>
      </c>
      <c r="F14" s="124">
        <f>IF($B14="","",COUNTIFS(الإدخال!$A$5:$A$644,$B14,الإدخال!$C$5:$C$644,$C$3,الإدخال!$F$5:$F$644,"معتذر"))</f>
        <v>0</v>
      </c>
      <c r="G14" s="125" t="str">
        <f>IF($B14="","",IFERROR(D14/COUNTIFS(الإدخال!$A$5:$A$644,$B14,الإدخال!$C$5:$C$644,$C$3,الإدخال!$F$5:$F$644,"&lt;&gt;"),""))</f>
        <v/>
      </c>
      <c r="H14" s="126" t="str">
        <f>IF($B14="","",IFERROR(SUMIFS(الإدخال!$O$5:$O$644,الإدخال!$A$5:$A$644,$B14,الإدخال!$C$5:$C$644,$C$3)/SUMIFS(الإدخال!$P$5:$P$644,الإدخال!$A$5:$A$644,$B14,الإدخال!$C$5:$C$644,$C$3)/100,""))</f>
        <v/>
      </c>
      <c r="I14" s="25"/>
      <c r="J14" s="24"/>
      <c r="K14" s="24"/>
      <c r="L14" s="24"/>
      <c r="M14" s="24"/>
    </row>
    <row r="15" spans="1:13">
      <c r="A15" s="24"/>
      <c r="B15" s="122">
        <f>IF(ROWS($B$10:B15)&gt;الإعدادات!$C$5,"",ROWS($B$10:B15))</f>
        <v>6</v>
      </c>
      <c r="C15" s="123" t="str">
        <f>IF(OR($B15="",الإعدادات!$C$4=""),"",الإعدادات!$C$4+($B15-1)*7)</f>
        <v/>
      </c>
      <c r="D15" s="124">
        <f>IF($B15="","",SUMIFS(الإدخال!$N$5:$N$644,الإدخال!$A$5:$A$644,$B15,الإدخال!$C$5:$C$644,$C$3))</f>
        <v>0</v>
      </c>
      <c r="E15" s="124">
        <f>IF($B15="","",COUNTIFS(الإدخال!$A$5:$A$644,$B15,الإدخال!$C$5:$C$644,$C$3,الإدخال!$F$5:$F$644,"غائب"))</f>
        <v>0</v>
      </c>
      <c r="F15" s="124">
        <f>IF($B15="","",COUNTIFS(الإدخال!$A$5:$A$644,$B15,الإدخال!$C$5:$C$644,$C$3,الإدخال!$F$5:$F$644,"معتذر"))</f>
        <v>0</v>
      </c>
      <c r="G15" s="125" t="str">
        <f>IF($B15="","",IFERROR(D15/COUNTIFS(الإدخال!$A$5:$A$644,$B15,الإدخال!$C$5:$C$644,$C$3,الإدخال!$F$5:$F$644,"&lt;&gt;"),""))</f>
        <v/>
      </c>
      <c r="H15" s="126" t="str">
        <f>IF($B15="","",IFERROR(SUMIFS(الإدخال!$O$5:$O$644,الإدخال!$A$5:$A$644,$B15,الإدخال!$C$5:$C$644,$C$3)/SUMIFS(الإدخال!$P$5:$P$644,الإدخال!$A$5:$A$644,$B15,الإدخال!$C$5:$C$644,$C$3)/100,""))</f>
        <v/>
      </c>
      <c r="I15" s="25"/>
      <c r="J15" s="24"/>
      <c r="K15" s="24"/>
      <c r="L15" s="24"/>
      <c r="M15" s="24"/>
    </row>
    <row r="16" spans="1:13">
      <c r="A16" s="24"/>
      <c r="B16" s="122">
        <f>IF(ROWS($B$10:B16)&gt;الإعدادات!$C$5,"",ROWS($B$10:B16))</f>
        <v>7</v>
      </c>
      <c r="C16" s="123" t="str">
        <f>IF(OR($B16="",الإعدادات!$C$4=""),"",الإعدادات!$C$4+($B16-1)*7)</f>
        <v/>
      </c>
      <c r="D16" s="124">
        <f>IF($B16="","",SUMIFS(الإدخال!$N$5:$N$644,الإدخال!$A$5:$A$644,$B16,الإدخال!$C$5:$C$644,$C$3))</f>
        <v>0</v>
      </c>
      <c r="E16" s="124">
        <f>IF($B16="","",COUNTIFS(الإدخال!$A$5:$A$644,$B16,الإدخال!$C$5:$C$644,$C$3,الإدخال!$F$5:$F$644,"غائب"))</f>
        <v>0</v>
      </c>
      <c r="F16" s="124">
        <f>IF($B16="","",COUNTIFS(الإدخال!$A$5:$A$644,$B16,الإدخال!$C$5:$C$644,$C$3,الإدخال!$F$5:$F$644,"معتذر"))</f>
        <v>0</v>
      </c>
      <c r="G16" s="125" t="str">
        <f>IF($B16="","",IFERROR(D16/COUNTIFS(الإدخال!$A$5:$A$644,$B16,الإدخال!$C$5:$C$644,$C$3,الإدخال!$F$5:$F$644,"&lt;&gt;"),""))</f>
        <v/>
      </c>
      <c r="H16" s="126" t="str">
        <f>IF($B16="","",IFERROR(SUMIFS(الإدخال!$O$5:$O$644,الإدخال!$A$5:$A$644,$B16,الإدخال!$C$5:$C$644,$C$3)/SUMIFS(الإدخال!$P$5:$P$644,الإدخال!$A$5:$A$644,$B16,الإدخال!$C$5:$C$644,$C$3)/100,""))</f>
        <v/>
      </c>
      <c r="I16" s="25"/>
      <c r="J16" s="24"/>
      <c r="K16" s="24"/>
      <c r="L16" s="24"/>
      <c r="M16" s="24"/>
    </row>
    <row r="17" spans="1:13">
      <c r="A17" s="24"/>
      <c r="B17" s="122">
        <f>IF(ROWS($B$10:B17)&gt;الإعدادات!$C$5,"",ROWS($B$10:B17))</f>
        <v>8</v>
      </c>
      <c r="C17" s="123" t="str">
        <f>IF(OR($B17="",الإعدادات!$C$4=""),"",الإعدادات!$C$4+($B17-1)*7)</f>
        <v/>
      </c>
      <c r="D17" s="124">
        <f>IF($B17="","",SUMIFS(الإدخال!$N$5:$N$644,الإدخال!$A$5:$A$644,$B17,الإدخال!$C$5:$C$644,$C$3))</f>
        <v>0</v>
      </c>
      <c r="E17" s="124">
        <f>IF($B17="","",COUNTIFS(الإدخال!$A$5:$A$644,$B17,الإدخال!$C$5:$C$644,$C$3,الإدخال!$F$5:$F$644,"غائب"))</f>
        <v>0</v>
      </c>
      <c r="F17" s="124">
        <f>IF($B17="","",COUNTIFS(الإدخال!$A$5:$A$644,$B17,الإدخال!$C$5:$C$644,$C$3,الإدخال!$F$5:$F$644,"معتذر"))</f>
        <v>0</v>
      </c>
      <c r="G17" s="125" t="str">
        <f>IF($B17="","",IFERROR(D17/COUNTIFS(الإدخال!$A$5:$A$644,$B17,الإدخال!$C$5:$C$644,$C$3,الإدخال!$F$5:$F$644,"&lt;&gt;"),""))</f>
        <v/>
      </c>
      <c r="H17" s="126" t="str">
        <f>IF($B17="","",IFERROR(SUMIFS(الإدخال!$O$5:$O$644,الإدخال!$A$5:$A$644,$B17,الإدخال!$C$5:$C$644,$C$3)/SUMIFS(الإدخال!$P$5:$P$644,الإدخال!$A$5:$A$644,$B17,الإدخال!$C$5:$C$644,$C$3)/100,""))</f>
        <v/>
      </c>
      <c r="I17" s="25"/>
      <c r="J17" s="24"/>
      <c r="K17" s="24"/>
      <c r="L17" s="24"/>
      <c r="M17" s="24"/>
    </row>
    <row r="18" spans="1:13">
      <c r="A18" s="24"/>
      <c r="B18" s="122">
        <f>IF(ROWS($B$10:B18)&gt;الإعدادات!$C$5,"",ROWS($B$10:B18))</f>
        <v>9</v>
      </c>
      <c r="C18" s="123" t="str">
        <f>IF(OR($B18="",الإعدادات!$C$4=""),"",الإعدادات!$C$4+($B18-1)*7)</f>
        <v/>
      </c>
      <c r="D18" s="124">
        <f>IF($B18="","",SUMIFS(الإدخال!$N$5:$N$644,الإدخال!$A$5:$A$644,$B18,الإدخال!$C$5:$C$644,$C$3))</f>
        <v>0</v>
      </c>
      <c r="E18" s="124">
        <f>IF($B18="","",COUNTIFS(الإدخال!$A$5:$A$644,$B18,الإدخال!$C$5:$C$644,$C$3,الإدخال!$F$5:$F$644,"غائب"))</f>
        <v>0</v>
      </c>
      <c r="F18" s="124">
        <f>IF($B18="","",COUNTIFS(الإدخال!$A$5:$A$644,$B18,الإدخال!$C$5:$C$644,$C$3,الإدخال!$F$5:$F$644,"معتذر"))</f>
        <v>0</v>
      </c>
      <c r="G18" s="125" t="str">
        <f>IF($B18="","",IFERROR(D18/COUNTIFS(الإدخال!$A$5:$A$644,$B18,الإدخال!$C$5:$C$644,$C$3,الإدخال!$F$5:$F$644,"&lt;&gt;"),""))</f>
        <v/>
      </c>
      <c r="H18" s="126" t="str">
        <f>IF($B18="","",IFERROR(SUMIFS(الإدخال!$O$5:$O$644,الإدخال!$A$5:$A$644,$B18,الإدخال!$C$5:$C$644,$C$3)/SUMIFS(الإدخال!$P$5:$P$644,الإدخال!$A$5:$A$644,$B18,الإدخال!$C$5:$C$644,$C$3)/100,""))</f>
        <v/>
      </c>
      <c r="I18" s="25"/>
      <c r="J18" s="24"/>
      <c r="K18" s="24"/>
      <c r="L18" s="24"/>
      <c r="M18" s="24"/>
    </row>
    <row r="19" spans="1:13">
      <c r="A19" s="24"/>
      <c r="B19" s="122">
        <f>IF(ROWS($B$10:B19)&gt;الإعدادات!$C$5,"",ROWS($B$10:B19))</f>
        <v>10</v>
      </c>
      <c r="C19" s="123" t="str">
        <f>IF(OR($B19="",الإعدادات!$C$4=""),"",الإعدادات!$C$4+($B19-1)*7)</f>
        <v/>
      </c>
      <c r="D19" s="124">
        <f>IF($B19="","",SUMIFS(الإدخال!$N$5:$N$644,الإدخال!$A$5:$A$644,$B19,الإدخال!$C$5:$C$644,$C$3))</f>
        <v>0</v>
      </c>
      <c r="E19" s="124">
        <f>IF($B19="","",COUNTIFS(الإدخال!$A$5:$A$644,$B19,الإدخال!$C$5:$C$644,$C$3,الإدخال!$F$5:$F$644,"غائب"))</f>
        <v>0</v>
      </c>
      <c r="F19" s="124">
        <f>IF($B19="","",COUNTIFS(الإدخال!$A$5:$A$644,$B19,الإدخال!$C$5:$C$644,$C$3,الإدخال!$F$5:$F$644,"معتذر"))</f>
        <v>0</v>
      </c>
      <c r="G19" s="125" t="str">
        <f>IF($B19="","",IFERROR(D19/COUNTIFS(الإدخال!$A$5:$A$644,$B19,الإدخال!$C$5:$C$644,$C$3,الإدخال!$F$5:$F$644,"&lt;&gt;"),""))</f>
        <v/>
      </c>
      <c r="H19" s="126" t="str">
        <f>IF($B19="","",IFERROR(SUMIFS(الإدخال!$O$5:$O$644,الإدخال!$A$5:$A$644,$B19,الإدخال!$C$5:$C$644,$C$3)/SUMIFS(الإدخال!$P$5:$P$644,الإدخال!$A$5:$A$644,$B19,الإدخال!$C$5:$C$644,$C$3)/100,""))</f>
        <v/>
      </c>
      <c r="I19" s="25"/>
      <c r="J19" s="24"/>
      <c r="K19" s="24"/>
      <c r="L19" s="24"/>
      <c r="M19" s="24"/>
    </row>
    <row r="20" spans="1:13">
      <c r="A20" s="24"/>
      <c r="B20" s="122">
        <f>IF(ROWS($B$10:B20)&gt;الإعدادات!$C$5,"",ROWS($B$10:B20))</f>
        <v>11</v>
      </c>
      <c r="C20" s="123" t="str">
        <f>IF(OR($B20="",الإعدادات!$C$4=""),"",الإعدادات!$C$4+($B20-1)*7)</f>
        <v/>
      </c>
      <c r="D20" s="124">
        <f>IF($B20="","",SUMIFS(الإدخال!$N$5:$N$644,الإدخال!$A$5:$A$644,$B20,الإدخال!$C$5:$C$644,$C$3))</f>
        <v>0</v>
      </c>
      <c r="E20" s="124">
        <f>IF($B20="","",COUNTIFS(الإدخال!$A$5:$A$644,$B20,الإدخال!$C$5:$C$644,$C$3,الإدخال!$F$5:$F$644,"غائب"))</f>
        <v>0</v>
      </c>
      <c r="F20" s="124">
        <f>IF($B20="","",COUNTIFS(الإدخال!$A$5:$A$644,$B20,الإدخال!$C$5:$C$644,$C$3,الإدخال!$F$5:$F$644,"معتذر"))</f>
        <v>0</v>
      </c>
      <c r="G20" s="125" t="str">
        <f>IF($B20="","",IFERROR(D20/COUNTIFS(الإدخال!$A$5:$A$644,$B20,الإدخال!$C$5:$C$644,$C$3,الإدخال!$F$5:$F$644,"&lt;&gt;"),""))</f>
        <v/>
      </c>
      <c r="H20" s="126" t="str">
        <f>IF($B20="","",IFERROR(SUMIFS(الإدخال!$O$5:$O$644,الإدخال!$A$5:$A$644,$B20,الإدخال!$C$5:$C$644,$C$3)/SUMIFS(الإدخال!$P$5:$P$644,الإدخال!$A$5:$A$644,$B20,الإدخال!$C$5:$C$644,$C$3)/100,""))</f>
        <v/>
      </c>
      <c r="I20" s="25"/>
      <c r="J20" s="24"/>
      <c r="K20" s="24"/>
      <c r="L20" s="24"/>
      <c r="M20" s="24"/>
    </row>
    <row r="21" spans="1:13">
      <c r="A21" s="24"/>
      <c r="B21" s="122">
        <f>IF(ROWS($B$10:B21)&gt;الإعدادات!$C$5,"",ROWS($B$10:B21))</f>
        <v>12</v>
      </c>
      <c r="C21" s="123" t="str">
        <f>IF(OR($B21="",الإعدادات!$C$4=""),"",الإعدادات!$C$4+($B21-1)*7)</f>
        <v/>
      </c>
      <c r="D21" s="124">
        <f>IF($B21="","",SUMIFS(الإدخال!$N$5:$N$644,الإدخال!$A$5:$A$644,$B21,الإدخال!$C$5:$C$644,$C$3))</f>
        <v>0</v>
      </c>
      <c r="E21" s="124">
        <f>IF($B21="","",COUNTIFS(الإدخال!$A$5:$A$644,$B21,الإدخال!$C$5:$C$644,$C$3,الإدخال!$F$5:$F$644,"غائب"))</f>
        <v>0</v>
      </c>
      <c r="F21" s="124">
        <f>IF($B21="","",COUNTIFS(الإدخال!$A$5:$A$644,$B21,الإدخال!$C$5:$C$644,$C$3,الإدخال!$F$5:$F$644,"معتذر"))</f>
        <v>0</v>
      </c>
      <c r="G21" s="125" t="str">
        <f>IF($B21="","",IFERROR(D21/COUNTIFS(الإدخال!$A$5:$A$644,$B21,الإدخال!$C$5:$C$644,$C$3,الإدخال!$F$5:$F$644,"&lt;&gt;"),""))</f>
        <v/>
      </c>
      <c r="H21" s="126" t="str">
        <f>IF($B21="","",IFERROR(SUMIFS(الإدخال!$O$5:$O$644,الإدخال!$A$5:$A$644,$B21,الإدخال!$C$5:$C$644,$C$3)/SUMIFS(الإدخال!$P$5:$P$644,الإدخال!$A$5:$A$644,$B21,الإدخال!$C$5:$C$644,$C$3)/100,""))</f>
        <v/>
      </c>
      <c r="I21" s="25"/>
      <c r="J21" s="24"/>
      <c r="K21" s="24"/>
      <c r="L21" s="24"/>
      <c r="M21" s="24"/>
    </row>
    <row r="22" spans="1:13">
      <c r="A22" s="24"/>
      <c r="B22" s="122">
        <f>IF(ROWS($B$10:B22)&gt;الإعدادات!$C$5,"",ROWS($B$10:B22))</f>
        <v>13</v>
      </c>
      <c r="C22" s="123" t="str">
        <f>IF(OR($B22="",الإعدادات!$C$4=""),"",الإعدادات!$C$4+($B22-1)*7)</f>
        <v/>
      </c>
      <c r="D22" s="124">
        <f>IF($B22="","",SUMIFS(الإدخال!$N$5:$N$644,الإدخال!$A$5:$A$644,$B22,الإدخال!$C$5:$C$644,$C$3))</f>
        <v>0</v>
      </c>
      <c r="E22" s="124">
        <f>IF($B22="","",COUNTIFS(الإدخال!$A$5:$A$644,$B22,الإدخال!$C$5:$C$644,$C$3,الإدخال!$F$5:$F$644,"غائب"))</f>
        <v>0</v>
      </c>
      <c r="F22" s="124">
        <f>IF($B22="","",COUNTIFS(الإدخال!$A$5:$A$644,$B22,الإدخال!$C$5:$C$644,$C$3,الإدخال!$F$5:$F$644,"معتذر"))</f>
        <v>0</v>
      </c>
      <c r="G22" s="125" t="str">
        <f>IF($B22="","",IFERROR(D22/COUNTIFS(الإدخال!$A$5:$A$644,$B22,الإدخال!$C$5:$C$644,$C$3,الإدخال!$F$5:$F$644,"&lt;&gt;"),""))</f>
        <v/>
      </c>
      <c r="H22" s="126" t="str">
        <f>IF($B22="","",IFERROR(SUMIFS(الإدخال!$O$5:$O$644,الإدخال!$A$5:$A$644,$B22,الإدخال!$C$5:$C$644,$C$3)/SUMIFS(الإدخال!$P$5:$P$644,الإدخال!$A$5:$A$644,$B22,الإدخال!$C$5:$C$644,$C$3)/100,""))</f>
        <v/>
      </c>
      <c r="I22" s="25"/>
      <c r="J22" s="24"/>
      <c r="K22" s="24"/>
      <c r="L22" s="24"/>
      <c r="M22" s="24"/>
    </row>
    <row r="23" spans="1:13">
      <c r="A23" s="24"/>
      <c r="B23" s="122">
        <f>IF(ROWS($B$10:B23)&gt;الإعدادات!$C$5,"",ROWS($B$10:B23))</f>
        <v>14</v>
      </c>
      <c r="C23" s="123" t="str">
        <f>IF(OR($B23="",الإعدادات!$C$4=""),"",الإعدادات!$C$4+($B23-1)*7)</f>
        <v/>
      </c>
      <c r="D23" s="124">
        <f>IF($B23="","",SUMIFS(الإدخال!$N$5:$N$644,الإدخال!$A$5:$A$644,$B23,الإدخال!$C$5:$C$644,$C$3))</f>
        <v>0</v>
      </c>
      <c r="E23" s="124">
        <f>IF($B23="","",COUNTIFS(الإدخال!$A$5:$A$644,$B23,الإدخال!$C$5:$C$644,$C$3,الإدخال!$F$5:$F$644,"غائب"))</f>
        <v>0</v>
      </c>
      <c r="F23" s="124">
        <f>IF($B23="","",COUNTIFS(الإدخال!$A$5:$A$644,$B23,الإدخال!$C$5:$C$644,$C$3,الإدخال!$F$5:$F$644,"معتذر"))</f>
        <v>0</v>
      </c>
      <c r="G23" s="125" t="str">
        <f>IF($B23="","",IFERROR(D23/COUNTIFS(الإدخال!$A$5:$A$644,$B23,الإدخال!$C$5:$C$644,$C$3,الإدخال!$F$5:$F$644,"&lt;&gt;"),""))</f>
        <v/>
      </c>
      <c r="H23" s="126" t="str">
        <f>IF($B23="","",IFERROR(SUMIFS(الإدخال!$O$5:$O$644,الإدخال!$A$5:$A$644,$B23,الإدخال!$C$5:$C$644,$C$3)/SUMIFS(الإدخال!$P$5:$P$644,الإدخال!$A$5:$A$644,$B23,الإدخال!$C$5:$C$644,$C$3)/100,""))</f>
        <v/>
      </c>
      <c r="I23" s="25"/>
      <c r="J23" s="24"/>
      <c r="K23" s="24"/>
      <c r="L23" s="24"/>
      <c r="M23" s="24"/>
    </row>
    <row r="24" spans="1:13">
      <c r="A24" s="24"/>
      <c r="B24" s="122">
        <f>IF(ROWS($B$10:B24)&gt;الإعدادات!$C$5,"",ROWS($B$10:B24))</f>
        <v>15</v>
      </c>
      <c r="C24" s="123" t="str">
        <f>IF(OR($B24="",الإعدادات!$C$4=""),"",الإعدادات!$C$4+($B24-1)*7)</f>
        <v/>
      </c>
      <c r="D24" s="124">
        <f>IF($B24="","",SUMIFS(الإدخال!$N$5:$N$644,الإدخال!$A$5:$A$644,$B24,الإدخال!$C$5:$C$644,$C$3))</f>
        <v>0</v>
      </c>
      <c r="E24" s="124">
        <f>IF($B24="","",COUNTIFS(الإدخال!$A$5:$A$644,$B24,الإدخال!$C$5:$C$644,$C$3,الإدخال!$F$5:$F$644,"غائب"))</f>
        <v>0</v>
      </c>
      <c r="F24" s="124">
        <f>IF($B24="","",COUNTIFS(الإدخال!$A$5:$A$644,$B24,الإدخال!$C$5:$C$644,$C$3,الإدخال!$F$5:$F$644,"معتذر"))</f>
        <v>0</v>
      </c>
      <c r="G24" s="125" t="str">
        <f>IF($B24="","",IFERROR(D24/COUNTIFS(الإدخال!$A$5:$A$644,$B24,الإدخال!$C$5:$C$644,$C$3,الإدخال!$F$5:$F$644,"&lt;&gt;"),""))</f>
        <v/>
      </c>
      <c r="H24" s="126" t="str">
        <f>IF($B24="","",IFERROR(SUMIFS(الإدخال!$O$5:$O$644,الإدخال!$A$5:$A$644,$B24,الإدخال!$C$5:$C$644,$C$3)/SUMIFS(الإدخال!$P$5:$P$644,الإدخال!$A$5:$A$644,$B24,الإدخال!$C$5:$C$644,$C$3)/100,""))</f>
        <v/>
      </c>
      <c r="I24" s="25"/>
      <c r="J24" s="24"/>
      <c r="K24" s="24"/>
      <c r="L24" s="24"/>
      <c r="M24" s="24"/>
    </row>
    <row r="25" spans="1:13">
      <c r="A25" s="24"/>
      <c r="B25" s="122">
        <f>IF(ROWS($B$10:B25)&gt;الإعدادات!$C$5,"",ROWS($B$10:B25))</f>
        <v>16</v>
      </c>
      <c r="C25" s="123" t="str">
        <f>IF(OR($B25="",الإعدادات!$C$4=""),"",الإعدادات!$C$4+($B25-1)*7)</f>
        <v/>
      </c>
      <c r="D25" s="124">
        <f>IF($B25="","",SUMIFS(الإدخال!$N$5:$N$644,الإدخال!$A$5:$A$644,$B25,الإدخال!$C$5:$C$644,$C$3))</f>
        <v>0</v>
      </c>
      <c r="E25" s="124">
        <f>IF($B25="","",COUNTIFS(الإدخال!$A$5:$A$644,$B25,الإدخال!$C$5:$C$644,$C$3,الإدخال!$F$5:$F$644,"غائب"))</f>
        <v>0</v>
      </c>
      <c r="F25" s="124">
        <f>IF($B25="","",COUNTIFS(الإدخال!$A$5:$A$644,$B25,الإدخال!$C$5:$C$644,$C$3,الإدخال!$F$5:$F$644,"معتذر"))</f>
        <v>0</v>
      </c>
      <c r="G25" s="125" t="str">
        <f>IF($B25="","",IFERROR(D25/COUNTIFS(الإدخال!$A$5:$A$644,$B25,الإدخال!$C$5:$C$644,$C$3,الإدخال!$F$5:$F$644,"&lt;&gt;"),""))</f>
        <v/>
      </c>
      <c r="H25" s="126" t="str">
        <f>IF($B25="","",IFERROR(SUMIFS(الإدخال!$O$5:$O$644,الإدخال!$A$5:$A$644,$B25,الإدخال!$C$5:$C$644,$C$3)/SUMIFS(الإدخال!$P$5:$P$644,الإدخال!$A$5:$A$644,$B25,الإدخال!$C$5:$C$644,$C$3)/100,""))</f>
        <v/>
      </c>
      <c r="I25" s="25"/>
      <c r="J25" s="24"/>
      <c r="K25" s="24"/>
      <c r="L25" s="24"/>
      <c r="M25" s="24"/>
    </row>
    <row r="26" spans="1:13">
      <c r="A26" s="24"/>
      <c r="B26" s="118"/>
      <c r="C26" s="118"/>
      <c r="D26" s="118"/>
      <c r="E26" s="118"/>
      <c r="F26" s="118"/>
      <c r="G26" s="118"/>
      <c r="H26" s="118"/>
      <c r="I26" s="24"/>
      <c r="J26" s="24"/>
      <c r="K26" s="24"/>
      <c r="L26" s="24"/>
      <c r="M26" s="24"/>
    </row>
    <row r="27" spans="1:13">
      <c r="A27" s="24"/>
      <c r="B27" s="19" t="s">
        <v>156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ht="30" customHeight="1">
      <c r="A28" s="24"/>
      <c r="B28" s="14" t="s">
        <v>57</v>
      </c>
      <c r="C28" s="14" t="s">
        <v>58</v>
      </c>
      <c r="D28" s="14" t="s">
        <v>6</v>
      </c>
      <c r="E28" s="14" t="s">
        <v>119</v>
      </c>
      <c r="F28" s="14" t="s">
        <v>121</v>
      </c>
      <c r="G28" s="14" t="s">
        <v>122</v>
      </c>
      <c r="H28" s="14" t="s">
        <v>40</v>
      </c>
      <c r="I28" s="14" t="s">
        <v>38</v>
      </c>
      <c r="J28" s="14" t="s">
        <v>44</v>
      </c>
      <c r="K28" s="14" t="s">
        <v>61</v>
      </c>
      <c r="L28" s="14" t="s">
        <v>133</v>
      </c>
      <c r="M28" s="161" t="s">
        <v>157</v>
      </c>
    </row>
    <row r="29" spans="1:13">
      <c r="A29" s="24"/>
      <c r="B29" s="158" cm="1">
        <f t="array" ref="B29">IF($M29="","",INDEX(الطلاب!$A$5:$A$44,$M29))</f>
        <v>27</v>
      </c>
      <c r="C29" s="159" t="str" cm="1">
        <f t="array" ref="C29">IF($M29="","",INDEX(الطلاب!$B$5:$B$44,$M29))</f>
        <v>سالم بانوير</v>
      </c>
      <c r="D29" s="158" t="str" cm="1">
        <f t="array" ref="D29">IF($M29="","",INDEX(الطلاب!$C$5:$C$44,$M29))</f>
        <v>المقرأة الثانية</v>
      </c>
      <c r="E29" s="155">
        <f>IF($B29="","",SUMIFS(الإدخال!$N$5:$N$644,الإدخال!$D$5:$D$644,$B29))</f>
        <v>1</v>
      </c>
      <c r="F29" s="155">
        <f>IF($B29="","",COUNTIFS(الإدخال!$D$5:$D$644,$B29,الإدخال!$F$5:$F$644,"غائب"))</f>
        <v>0</v>
      </c>
      <c r="G29" s="155">
        <f>IF($B29="","",COUNTIFS(الإدخال!$D$5:$D$644,$B29,الإدخال!$F$5:$F$644,"معتذر"))</f>
        <v>1</v>
      </c>
      <c r="H29" s="156">
        <f>IF($B29="","",IFERROR(E29/COUNTIFS(الإدخال!$D$5:$D$644,$B29,الإدخال!$F$5:$F$644,"&lt;&gt;"),""))</f>
        <v>0.5</v>
      </c>
      <c r="I29" s="157">
        <f>IF($B29="","",IFERROR(SUMIFS(الإدخال!$O$5:$O$644,الإدخال!$D$5:$D$644,$B29)/SUMIFS(الإدخال!$P$5:$P$644,الإدخال!$D$5:$D$644,$B29)/100,""))</f>
        <v>0.33500000000000002</v>
      </c>
      <c r="J29" s="158" t="str">
        <f>IF(I29="","",IF(I29&gt;=0.9,"ممتاز",IF(I29&gt;=0.8,"جيد جدًا",IF(I29&gt;=0.7,"جيد",IF(I29&gt;=0.6,"مقبول","يحتاج متابعة")))))</f>
        <v>يحتاج متابعة</v>
      </c>
      <c r="K29" s="155">
        <f>IF($B29="","",SUMIFS(الإدخال!$H$5:$H$644,الإدخال!$D$5:$D$644,$B29,الإدخال!$N$5:$N$644,1))</f>
        <v>0</v>
      </c>
      <c r="L29" s="158">
        <f>IF(ISNUMBER(I29),COUNTIFS($I$29:$I$68,"&gt;"&amp;I29)+1,"")</f>
        <v>8</v>
      </c>
      <c r="M29" s="160" cm="1">
        <f t="array" ref="M29">IFERROR(_xlfn.AGGREGATE(15,6,(ROW(الطلاب!$D$5:$D$44)-ROW(الطلاب!$D$5)+1)/(الطلاب!$D$5:$D$44=$C$3),ROWS(M$29:M29)),"")</f>
        <v>27</v>
      </c>
    </row>
    <row r="30" spans="1:13">
      <c r="A30" s="24"/>
      <c r="B30" s="130" cm="1">
        <f t="array" ref="B30">IF($M30="","",INDEX(الطلاب!$A$5:$A$44,$M30))</f>
        <v>28</v>
      </c>
      <c r="C30" s="131" t="str" cm="1">
        <f t="array" ref="C30">IF($M30="","",INDEX(الطلاب!$B$5:$B$44,$M30))</f>
        <v xml:space="preserve">عبدالعزيز الصقعبي </v>
      </c>
      <c r="D30" s="130" t="str" cm="1">
        <f t="array" ref="D30">IF($M30="","",INDEX(الطلاب!$C$5:$C$44,$M30))</f>
        <v>المقرأة الثانية</v>
      </c>
      <c r="E30" s="124">
        <f>IF($B30="","",SUMIFS(الإدخال!$N$5:$N$644,الإدخال!$D$5:$D$644,$B30))</f>
        <v>2</v>
      </c>
      <c r="F30" s="124">
        <f>IF($B30="","",COUNTIFS(الإدخال!$D$5:$D$644,$B30,الإدخال!$F$5:$F$644,"غائب"))</f>
        <v>0</v>
      </c>
      <c r="G30" s="124">
        <f>IF($B30="","",COUNTIFS(الإدخال!$D$5:$D$644,$B30,الإدخال!$F$5:$F$644,"معتذر"))</f>
        <v>0</v>
      </c>
      <c r="H30" s="125">
        <f>IF($B30="","",IFERROR(E30/COUNTIFS(الإدخال!$D$5:$D$644,$B30,الإدخال!$F$5:$F$644,"&lt;&gt;"),""))</f>
        <v>1</v>
      </c>
      <c r="I30" s="126">
        <f>IF($B30="","",IFERROR(SUMIFS(الإدخال!$O$5:$O$644,الإدخال!$D$5:$D$644,$B30)/SUMIFS(الإدخال!$P$5:$P$644,الإدخال!$D$5:$D$644,$B30)/100,""))</f>
        <v>0.86</v>
      </c>
      <c r="J30" s="130" t="str">
        <f t="shared" ref="J30:J68" si="0">IF(I30="","",IF(I30&gt;=0.9,"ممتاز",IF(I30&gt;=0.8,"جيد جدًا",IF(I30&gt;=0.7,"جيد",IF(I30&gt;=0.6,"مقبول","يحتاج متابعة")))))</f>
        <v>جيد جدًا</v>
      </c>
      <c r="K30" s="124">
        <f>IF($B30="","",SUMIFS(الإدخال!$H$5:$H$644,الإدخال!$D$5:$D$644,$B30,الإدخال!$N$5:$N$644,1))</f>
        <v>6</v>
      </c>
      <c r="L30" s="130">
        <f t="shared" ref="L30:L68" si="1">IF(ISNUMBER(I30),COUNTIFS($I$29:$I$68,"&gt;"&amp;I30)+1,"")</f>
        <v>4</v>
      </c>
      <c r="M30" s="132" cm="1">
        <f t="array" ref="M30">IFERROR(_xlfn.AGGREGATE(15,6,(ROW(الطلاب!$D$5:$D$44)-ROW(الطلاب!$D$5)+1)/(الطلاب!$D$5:$D$44=$C$3),ROWS(M$29:M30)),"")</f>
        <v>28</v>
      </c>
    </row>
    <row r="31" spans="1:13">
      <c r="A31" s="24"/>
      <c r="B31" s="130" cm="1">
        <f t="array" ref="B31">IF($M31="","",INDEX(الطلاب!$A$5:$A$44,$M31))</f>
        <v>29</v>
      </c>
      <c r="C31" s="131" t="str" cm="1">
        <f t="array" ref="C31">IF($M31="","",INDEX(الطلاب!$B$5:$B$44,$M31))</f>
        <v xml:space="preserve">عبدالله المجيدل </v>
      </c>
      <c r="D31" s="130" t="str" cm="1">
        <f t="array" ref="D31">IF($M31="","",INDEX(الطلاب!$C$5:$C$44,$M31))</f>
        <v>المقرأة الثانية</v>
      </c>
      <c r="E31" s="124">
        <f>IF($B31="","",SUMIFS(الإدخال!$N$5:$N$644,الإدخال!$D$5:$D$644,$B31))</f>
        <v>2</v>
      </c>
      <c r="F31" s="124">
        <f>IF($B31="","",COUNTIFS(الإدخال!$D$5:$D$644,$B31,الإدخال!$F$5:$F$644,"غائب"))</f>
        <v>0</v>
      </c>
      <c r="G31" s="124">
        <f>IF($B31="","",COUNTIFS(الإدخال!$D$5:$D$644,$B31,الإدخال!$F$5:$F$644,"معتذر"))</f>
        <v>0</v>
      </c>
      <c r="H31" s="125">
        <f>IF($B31="","",IFERROR(E31/COUNTIFS(الإدخال!$D$5:$D$644,$B31,الإدخال!$F$5:$F$644,"&lt;&gt;"),""))</f>
        <v>1</v>
      </c>
      <c r="I31" s="126">
        <f>IF($B31="","",IFERROR(SUMIFS(الإدخال!$O$5:$O$644,الإدخال!$D$5:$D$644,$B31)/SUMIFS(الإدخال!$P$5:$P$644,الإدخال!$D$5:$D$644,$B31)/100,""))</f>
        <v>0.89500000000000002</v>
      </c>
      <c r="J31" s="130" t="str">
        <f t="shared" si="0"/>
        <v>جيد جدًا</v>
      </c>
      <c r="K31" s="124">
        <f>IF($B31="","",SUMIFS(الإدخال!$H$5:$H$644,الإدخال!$D$5:$D$644,$B31,الإدخال!$N$5:$N$644,1))</f>
        <v>3</v>
      </c>
      <c r="L31" s="130">
        <f t="shared" si="1"/>
        <v>2</v>
      </c>
      <c r="M31" s="132" cm="1">
        <f t="array" ref="M31">IFERROR(_xlfn.AGGREGATE(15,6,(ROW(الطلاب!$D$5:$D$44)-ROW(الطلاب!$D$5)+1)/(الطلاب!$D$5:$D$44=$C$3),ROWS(M$29:M31)),"")</f>
        <v>29</v>
      </c>
    </row>
    <row r="32" spans="1:13">
      <c r="A32" s="24"/>
      <c r="B32" s="130" cm="1">
        <f t="array" ref="B32">IF($M32="","",INDEX(الطلاب!$A$5:$A$44,$M32))</f>
        <v>30</v>
      </c>
      <c r="C32" s="131" t="str" cm="1">
        <f t="array" ref="C32">IF($M32="","",INDEX(الطلاب!$B$5:$B$44,$M32))</f>
        <v>فواز الشدوخي</v>
      </c>
      <c r="D32" s="130" t="str" cm="1">
        <f t="array" ref="D32">IF($M32="","",INDEX(الطلاب!$C$5:$C$44,$M32))</f>
        <v>المقرأة الثانية</v>
      </c>
      <c r="E32" s="124">
        <f>IF($B32="","",SUMIFS(الإدخال!$N$5:$N$644,الإدخال!$D$5:$D$644,$B32))</f>
        <v>2</v>
      </c>
      <c r="F32" s="124">
        <f>IF($B32="","",COUNTIFS(الإدخال!$D$5:$D$644,$B32,الإدخال!$F$5:$F$644,"غائب"))</f>
        <v>0</v>
      </c>
      <c r="G32" s="124">
        <f>IF($B32="","",COUNTIFS(الإدخال!$D$5:$D$644,$B32,الإدخال!$F$5:$F$644,"معتذر"))</f>
        <v>0</v>
      </c>
      <c r="H32" s="125">
        <f>IF($B32="","",IFERROR(E32/COUNTIFS(الإدخال!$D$5:$D$644,$B32,الإدخال!$F$5:$F$644,"&lt;&gt;"),""))</f>
        <v>1</v>
      </c>
      <c r="I32" s="126">
        <f>IF($B32="","",IFERROR(SUMIFS(الإدخال!$O$5:$O$644,الإدخال!$D$5:$D$644,$B32)/SUMIFS(الإدخال!$P$5:$P$644,الإدخال!$D$5:$D$644,$B32)/100,""))</f>
        <v>0.88500000000000001</v>
      </c>
      <c r="J32" s="130" t="str">
        <f t="shared" si="0"/>
        <v>جيد جدًا</v>
      </c>
      <c r="K32" s="124">
        <f>IF($B32="","",SUMIFS(الإدخال!$H$5:$H$644,الإدخال!$D$5:$D$644,$B32,الإدخال!$N$5:$N$644,1))</f>
        <v>9</v>
      </c>
      <c r="L32" s="130">
        <f t="shared" si="1"/>
        <v>3</v>
      </c>
      <c r="M32" s="132" cm="1">
        <f t="array" ref="M32">IFERROR(_xlfn.AGGREGATE(15,6,(ROW(الطلاب!$D$5:$D$44)-ROW(الطلاب!$D$5)+1)/(الطلاب!$D$5:$D$44=$C$3),ROWS(M$29:M32)),"")</f>
        <v>30</v>
      </c>
    </row>
    <row r="33" spans="1:13">
      <c r="A33" s="24"/>
      <c r="B33" s="130" cm="1">
        <f t="array" ref="B33">IF($M33="","",INDEX(الطلاب!$A$5:$A$44,$M33))</f>
        <v>31</v>
      </c>
      <c r="C33" s="131" t="str" cm="1">
        <f t="array" ref="C33">IF($M33="","",INDEX(الطلاب!$B$5:$B$44,$M33))</f>
        <v>محمد الطامي</v>
      </c>
      <c r="D33" s="130" t="str" cm="1">
        <f t="array" ref="D33">IF($M33="","",INDEX(الطلاب!$C$5:$C$44,$M33))</f>
        <v>المقرأة الثانية</v>
      </c>
      <c r="E33" s="124">
        <f>IF($B33="","",SUMIFS(الإدخال!$N$5:$N$644,الإدخال!$D$5:$D$644,$B33))</f>
        <v>2</v>
      </c>
      <c r="F33" s="124">
        <f>IF($B33="","",COUNTIFS(الإدخال!$D$5:$D$644,$B33,الإدخال!$F$5:$F$644,"غائب"))</f>
        <v>0</v>
      </c>
      <c r="G33" s="124">
        <f>IF($B33="","",COUNTIFS(الإدخال!$D$5:$D$644,$B33,الإدخال!$F$5:$F$644,"معتذر"))</f>
        <v>0</v>
      </c>
      <c r="H33" s="125">
        <f>IF($B33="","",IFERROR(E33/COUNTIFS(الإدخال!$D$5:$D$644,$B33,الإدخال!$F$5:$F$644,"&lt;&gt;"),""))</f>
        <v>1</v>
      </c>
      <c r="I33" s="126">
        <f>IF($B33="","",IFERROR(SUMIFS(الإدخال!$O$5:$O$644,الإدخال!$D$5:$D$644,$B33)/SUMIFS(الإدخال!$P$5:$P$644,الإدخال!$D$5:$D$644,$B33)/100,""))</f>
        <v>0.94</v>
      </c>
      <c r="J33" s="130" t="str">
        <f t="shared" si="0"/>
        <v>ممتاز</v>
      </c>
      <c r="K33" s="124">
        <f>IF($B33="","",SUMIFS(الإدخال!$H$5:$H$644,الإدخال!$D$5:$D$644,$B33,الإدخال!$N$5:$N$644,1))</f>
        <v>5</v>
      </c>
      <c r="L33" s="130">
        <f t="shared" si="1"/>
        <v>1</v>
      </c>
      <c r="M33" s="132" cm="1">
        <f t="array" ref="M33">IFERROR(_xlfn.AGGREGATE(15,6,(ROW(الطلاب!$D$5:$D$44)-ROW(الطلاب!$D$5)+1)/(الطلاب!$D$5:$D$44=$C$3),ROWS(M$29:M33)),"")</f>
        <v>31</v>
      </c>
    </row>
    <row r="34" spans="1:13">
      <c r="A34" s="24"/>
      <c r="B34" s="130" cm="1">
        <f t="array" ref="B34">IF($M34="","",INDEX(الطلاب!$A$5:$A$44,$M34))</f>
        <v>32</v>
      </c>
      <c r="C34" s="131" t="str" cm="1">
        <f t="array" ref="C34">IF($M34="","",INDEX(الطلاب!$B$5:$B$44,$M34))</f>
        <v xml:space="preserve">مهند الغماس </v>
      </c>
      <c r="D34" s="130" t="str" cm="1">
        <f t="array" ref="D34">IF($M34="","",INDEX(الطلاب!$C$5:$C$44,$M34))</f>
        <v>المقرأة الثانية</v>
      </c>
      <c r="E34" s="124">
        <f>IF($B34="","",SUMIFS(الإدخال!$N$5:$N$644,الإدخال!$D$5:$D$644,$B34))</f>
        <v>2</v>
      </c>
      <c r="F34" s="124">
        <f>IF($B34="","",COUNTIFS(الإدخال!$D$5:$D$644,$B34,الإدخال!$F$5:$F$644,"غائب"))</f>
        <v>0</v>
      </c>
      <c r="G34" s="124">
        <f>IF($B34="","",COUNTIFS(الإدخال!$D$5:$D$644,$B34,الإدخال!$F$5:$F$644,"معتذر"))</f>
        <v>0</v>
      </c>
      <c r="H34" s="125">
        <f>IF($B34="","",IFERROR(E34/COUNTIFS(الإدخال!$D$5:$D$644,$B34,الإدخال!$F$5:$F$644,"&lt;&gt;"),""))</f>
        <v>1</v>
      </c>
      <c r="I34" s="126">
        <f>IF($B34="","",IFERROR(SUMIFS(الإدخال!$O$5:$O$644,الإدخال!$D$5:$D$644,$B34)/SUMIFS(الإدخال!$P$5:$P$644,الإدخال!$D$5:$D$644,$B34)/100,""))</f>
        <v>0.42499999999999999</v>
      </c>
      <c r="J34" s="130" t="str">
        <f t="shared" si="0"/>
        <v>يحتاج متابعة</v>
      </c>
      <c r="K34" s="124">
        <f>IF($B34="","",SUMIFS(الإدخال!$H$5:$H$644,الإدخال!$D$5:$D$644,$B34,الإدخال!$N$5:$N$644,1))</f>
        <v>1</v>
      </c>
      <c r="L34" s="130">
        <f t="shared" si="1"/>
        <v>6</v>
      </c>
      <c r="M34" s="132" cm="1">
        <f t="array" ref="M34">IFERROR(_xlfn.AGGREGATE(15,6,(ROW(الطلاب!$D$5:$D$44)-ROW(الطلاب!$D$5)+1)/(الطلاب!$D$5:$D$44=$C$3),ROWS(M$29:M34)),"")</f>
        <v>32</v>
      </c>
    </row>
    <row r="35" spans="1:13">
      <c r="A35" s="24"/>
      <c r="B35" s="130" cm="1">
        <f t="array" ref="B35">IF($M35="","",INDEX(الطلاب!$A$5:$A$44,$M35))</f>
        <v>33</v>
      </c>
      <c r="C35" s="131" t="str" cm="1">
        <f t="array" ref="C35">IF($M35="","",INDEX(الطلاب!$B$5:$B$44,$M35))</f>
        <v>يوسف الحربي</v>
      </c>
      <c r="D35" s="130" t="str" cm="1">
        <f t="array" ref="D35">IF($M35="","",INDEX(الطلاب!$C$5:$C$44,$M35))</f>
        <v>المقرأة الثانية</v>
      </c>
      <c r="E35" s="124">
        <f>IF($B35="","",SUMIFS(الإدخال!$N$5:$N$644,الإدخال!$D$5:$D$644,$B35))</f>
        <v>0</v>
      </c>
      <c r="F35" s="124">
        <f>IF($B35="","",COUNTIFS(الإدخال!$D$5:$D$644,$B35,الإدخال!$F$5:$F$644,"غائب"))</f>
        <v>1</v>
      </c>
      <c r="G35" s="124">
        <f>IF($B35="","",COUNTIFS(الإدخال!$D$5:$D$644,$B35,الإدخال!$F$5:$F$644,"معتذر"))</f>
        <v>1</v>
      </c>
      <c r="H35" s="125">
        <f>IF($B35="","",IFERROR(E35/COUNTIFS(الإدخال!$D$5:$D$644,$B35,الإدخال!$F$5:$F$644,"&lt;&gt;"),""))</f>
        <v>0</v>
      </c>
      <c r="I35" s="126">
        <f>IF($B35="","",IFERROR(SUMIFS(الإدخال!$O$5:$O$644,الإدخال!$D$5:$D$644,$B35)/SUMIFS(الإدخال!$P$5:$P$644,الإدخال!$D$5:$D$644,$B35)/100,""))</f>
        <v>0</v>
      </c>
      <c r="J35" s="130" t="str">
        <f t="shared" si="0"/>
        <v>يحتاج متابعة</v>
      </c>
      <c r="K35" s="124">
        <f>IF($B35="","",SUMIFS(الإدخال!$H$5:$H$644,الإدخال!$D$5:$D$644,$B35,الإدخال!$N$5:$N$644,1))</f>
        <v>0</v>
      </c>
      <c r="L35" s="130">
        <f t="shared" si="1"/>
        <v>9</v>
      </c>
      <c r="M35" s="132" cm="1">
        <f t="array" ref="M35">IFERROR(_xlfn.AGGREGATE(15,6,(ROW(الطلاب!$D$5:$D$44)-ROW(الطلاب!$D$5)+1)/(الطلاب!$D$5:$D$44=$C$3),ROWS(M$29:M35)),"")</f>
        <v>33</v>
      </c>
    </row>
    <row r="36" spans="1:13">
      <c r="A36" s="24"/>
      <c r="B36" s="130" cm="1">
        <f t="array" ref="B36">IF($M36="","",INDEX(الطلاب!$A$5:$A$44,$M36))</f>
        <v>34</v>
      </c>
      <c r="C36" s="131" t="str" cm="1">
        <f t="array" ref="C36">IF($M36="","",INDEX(الطلاب!$B$5:$B$44,$M36))</f>
        <v xml:space="preserve">عدي الفريح </v>
      </c>
      <c r="D36" s="130" t="str" cm="1">
        <f t="array" ref="D36">IF($M36="","",INDEX(الطلاب!$C$5:$C$44,$M36))</f>
        <v>المقرأة الثانية</v>
      </c>
      <c r="E36" s="124">
        <f>IF($B36="","",SUMIFS(الإدخال!$N$5:$N$644,الإدخال!$D$5:$D$644,$B36))</f>
        <v>1</v>
      </c>
      <c r="F36" s="124">
        <f>IF($B36="","",COUNTIFS(الإدخال!$D$5:$D$644,$B36,الإدخال!$F$5:$F$644,"غائب"))</f>
        <v>0</v>
      </c>
      <c r="G36" s="124">
        <f>IF($B36="","",COUNTIFS(الإدخال!$D$5:$D$644,$B36,الإدخال!$F$5:$F$644,"معتذر"))</f>
        <v>1</v>
      </c>
      <c r="H36" s="125">
        <f>IF($B36="","",IFERROR(E36/COUNTIFS(الإدخال!$D$5:$D$644,$B36,الإدخال!$F$5:$F$644,"&lt;&gt;"),""))</f>
        <v>0.5</v>
      </c>
      <c r="I36" s="126">
        <f>IF($B36="","",IFERROR(SUMIFS(الإدخال!$O$5:$O$644,الإدخال!$D$5:$D$644,$B36)/SUMIFS(الإدخال!$P$5:$P$644,الإدخال!$D$5:$D$644,$B36)/100,""))</f>
        <v>0.38</v>
      </c>
      <c r="J36" s="130" t="str">
        <f t="shared" si="0"/>
        <v>يحتاج متابعة</v>
      </c>
      <c r="K36" s="124">
        <f>IF($B36="","",SUMIFS(الإدخال!$H$5:$H$644,الإدخال!$D$5:$D$644,$B36,الإدخال!$N$5:$N$644,1))</f>
        <v>5</v>
      </c>
      <c r="L36" s="130">
        <f t="shared" si="1"/>
        <v>7</v>
      </c>
      <c r="M36" s="132" cm="1">
        <f t="array" ref="M36">IFERROR(_xlfn.AGGREGATE(15,6,(ROW(الطلاب!$D$5:$D$44)-ROW(الطلاب!$D$5)+1)/(الطلاب!$D$5:$D$44=$C$3),ROWS(M$29:M36)),"")</f>
        <v>34</v>
      </c>
    </row>
    <row r="37" spans="1:13">
      <c r="A37" s="24"/>
      <c r="B37" s="130" cm="1">
        <f t="array" ref="B37">IF($M37="","",INDEX(الطلاب!$A$5:$A$44,$M37))</f>
        <v>35</v>
      </c>
      <c r="C37" s="131" t="str" cm="1">
        <f t="array" ref="C37">IF($M37="","",INDEX(الطلاب!$B$5:$B$44,$M37))</f>
        <v xml:space="preserve">عبدالله الفايزي </v>
      </c>
      <c r="D37" s="130" t="str" cm="1">
        <f t="array" ref="D37">IF($M37="","",INDEX(الطلاب!$C$5:$C$44,$M37))</f>
        <v>المقرأة الثانية</v>
      </c>
      <c r="E37" s="124">
        <f>IF($B37="","",SUMIFS(الإدخال!$N$5:$N$644,الإدخال!$D$5:$D$644,$B37))</f>
        <v>2</v>
      </c>
      <c r="F37" s="124">
        <f>IF($B37="","",COUNTIFS(الإدخال!$D$5:$D$644,$B37,الإدخال!$F$5:$F$644,"غائب"))</f>
        <v>0</v>
      </c>
      <c r="G37" s="124">
        <f>IF($B37="","",COUNTIFS(الإدخال!$D$5:$D$644,$B37,الإدخال!$F$5:$F$644,"معتذر"))</f>
        <v>0</v>
      </c>
      <c r="H37" s="125">
        <f>IF($B37="","",IFERROR(E37/COUNTIFS(الإدخال!$D$5:$D$644,$B37,الإدخال!$F$5:$F$644,"&lt;&gt;"),""))</f>
        <v>1</v>
      </c>
      <c r="I37" s="126">
        <f>IF($B37="","",IFERROR(SUMIFS(الإدخال!$O$5:$O$644,الإدخال!$D$5:$D$644,$B37)/SUMIFS(الإدخال!$P$5:$P$644,الإدخال!$D$5:$D$644,$B37)/100,""))</f>
        <v>0.72</v>
      </c>
      <c r="J37" s="130" t="str">
        <f t="shared" si="0"/>
        <v>جيد</v>
      </c>
      <c r="K37" s="124">
        <f>IF($B37="","",SUMIFS(الإدخال!$H$5:$H$644,الإدخال!$D$5:$D$644,$B37,الإدخال!$N$5:$N$644,1))</f>
        <v>2</v>
      </c>
      <c r="L37" s="130">
        <f t="shared" si="1"/>
        <v>5</v>
      </c>
      <c r="M37" s="132" cm="1">
        <f t="array" ref="M37">IFERROR(_xlfn.AGGREGATE(15,6,(ROW(الطلاب!$D$5:$D$44)-ROW(الطلاب!$D$5)+1)/(الطلاب!$D$5:$D$44=$C$3),ROWS(M$29:M37)),"")</f>
        <v>35</v>
      </c>
    </row>
    <row r="38" spans="1:13">
      <c r="A38" s="24"/>
      <c r="B38" s="130" t="str" cm="1">
        <f t="array" ref="B38">IF($M38="","",INDEX(الطلاب!$A$5:$A$44,$M38))</f>
        <v/>
      </c>
      <c r="C38" s="131" t="str" cm="1">
        <f t="array" ref="C38">IF($M38="","",INDEX(الطلاب!$B$5:$B$44,$M38))</f>
        <v/>
      </c>
      <c r="D38" s="130" t="str" cm="1">
        <f t="array" ref="D38">IF($M38="","",INDEX(الطلاب!$C$5:$C$44,$M38))</f>
        <v/>
      </c>
      <c r="E38" s="124" t="str">
        <f>IF($B38="","",SUMIFS(الإدخال!$N$5:$N$644,الإدخال!$D$5:$D$644,$B38))</f>
        <v/>
      </c>
      <c r="F38" s="124" t="str">
        <f>IF($B38="","",COUNTIFS(الإدخال!$D$5:$D$644,$B38,الإدخال!$F$5:$F$644,"غائب"))</f>
        <v/>
      </c>
      <c r="G38" s="124" t="str">
        <f>IF($B38="","",COUNTIFS(الإدخال!$D$5:$D$644,$B38,الإدخال!$F$5:$F$644,"معتذر"))</f>
        <v/>
      </c>
      <c r="H38" s="125" t="str">
        <f>IF($B38="","",IFERROR(E38/COUNTIFS(الإدخال!$D$5:$D$644,$B38,الإدخال!$F$5:$F$644,"&lt;&gt;"),""))</f>
        <v/>
      </c>
      <c r="I38" s="126" t="str">
        <f>IF($B38="","",IFERROR(SUMIFS(الإدخال!$O$5:$O$644,الإدخال!$D$5:$D$644,$B38)/SUMIFS(الإدخال!$P$5:$P$644,الإدخال!$D$5:$D$644,$B38)/100,""))</f>
        <v/>
      </c>
      <c r="J38" s="130" t="str">
        <f t="shared" si="0"/>
        <v/>
      </c>
      <c r="K38" s="124" t="str">
        <f>IF($B38="","",SUMIFS(الإدخال!$H$5:$H$644,الإدخال!$D$5:$D$644,$B38,الإدخال!$N$5:$N$644,1))</f>
        <v/>
      </c>
      <c r="L38" s="130" t="str">
        <f t="shared" si="1"/>
        <v/>
      </c>
      <c r="M38" s="132" t="str" cm="1">
        <f t="array" ref="M38">IFERROR(_xlfn.AGGREGATE(15,6,(ROW(الطلاب!$D$5:$D$44)-ROW(الطلاب!$D$5)+1)/(الطلاب!$D$5:$D$44=$C$3),ROWS(M$29:M38)),"")</f>
        <v/>
      </c>
    </row>
    <row r="39" spans="1:13">
      <c r="A39" s="24"/>
      <c r="B39" s="130" t="str" cm="1">
        <f t="array" ref="B39">IF($M39="","",INDEX(الطلاب!$A$5:$A$44,$M39))</f>
        <v/>
      </c>
      <c r="C39" s="131" t="str" cm="1">
        <f t="array" ref="C39">IF($M39="","",INDEX(الطلاب!$B$5:$B$44,$M39))</f>
        <v/>
      </c>
      <c r="D39" s="130" t="str" cm="1">
        <f t="array" ref="D39">IF($M39="","",INDEX(الطلاب!$C$5:$C$44,$M39))</f>
        <v/>
      </c>
      <c r="E39" s="124" t="str">
        <f>IF($B39="","",SUMIFS(الإدخال!$N$5:$N$644,الإدخال!$D$5:$D$644,$B39))</f>
        <v/>
      </c>
      <c r="F39" s="124" t="str">
        <f>IF($B39="","",COUNTIFS(الإدخال!$D$5:$D$644,$B39,الإدخال!$F$5:$F$644,"غائب"))</f>
        <v/>
      </c>
      <c r="G39" s="124" t="str">
        <f>IF($B39="","",COUNTIFS(الإدخال!$D$5:$D$644,$B39,الإدخال!$F$5:$F$644,"معتذر"))</f>
        <v/>
      </c>
      <c r="H39" s="125" t="str">
        <f>IF($B39="","",IFERROR(E39/COUNTIFS(الإدخال!$D$5:$D$644,$B39,الإدخال!$F$5:$F$644,"&lt;&gt;"),""))</f>
        <v/>
      </c>
      <c r="I39" s="126" t="str">
        <f>IF($B39="","",IFERROR(SUMIFS(الإدخال!$O$5:$O$644,الإدخال!$D$5:$D$644,$B39)/SUMIFS(الإدخال!$P$5:$P$644,الإدخال!$D$5:$D$644,$B39)/100,""))</f>
        <v/>
      </c>
      <c r="J39" s="130" t="str">
        <f t="shared" si="0"/>
        <v/>
      </c>
      <c r="K39" s="124" t="str">
        <f>IF($B39="","",SUMIFS(الإدخال!$H$5:$H$644,الإدخال!$D$5:$D$644,$B39,الإدخال!$N$5:$N$644,1))</f>
        <v/>
      </c>
      <c r="L39" s="130" t="str">
        <f t="shared" si="1"/>
        <v/>
      </c>
      <c r="M39" s="132" t="str" cm="1">
        <f t="array" ref="M39">IFERROR(_xlfn.AGGREGATE(15,6,(ROW(الطلاب!$D$5:$D$44)-ROW(الطلاب!$D$5)+1)/(الطلاب!$D$5:$D$44=$C$3),ROWS(M$29:M39)),"")</f>
        <v/>
      </c>
    </row>
    <row r="40" spans="1:13">
      <c r="A40" s="24"/>
      <c r="B40" s="130" t="str" cm="1">
        <f t="array" ref="B40">IF($M40="","",INDEX(الطلاب!$A$5:$A$44,$M40))</f>
        <v/>
      </c>
      <c r="C40" s="131" t="str" cm="1">
        <f t="array" ref="C40">IF($M40="","",INDEX(الطلاب!$B$5:$B$44,$M40))</f>
        <v/>
      </c>
      <c r="D40" s="130" t="str" cm="1">
        <f t="array" ref="D40">IF($M40="","",INDEX(الطلاب!$C$5:$C$44,$M40))</f>
        <v/>
      </c>
      <c r="E40" s="124" t="str">
        <f>IF($B40="","",SUMIFS(الإدخال!$N$5:$N$644,الإدخال!$D$5:$D$644,$B40))</f>
        <v/>
      </c>
      <c r="F40" s="124" t="str">
        <f>IF($B40="","",COUNTIFS(الإدخال!$D$5:$D$644,$B40,الإدخال!$F$5:$F$644,"غائب"))</f>
        <v/>
      </c>
      <c r="G40" s="124" t="str">
        <f>IF($B40="","",COUNTIFS(الإدخال!$D$5:$D$644,$B40,الإدخال!$F$5:$F$644,"معتذر"))</f>
        <v/>
      </c>
      <c r="H40" s="125" t="str">
        <f>IF($B40="","",IFERROR(E40/COUNTIFS(الإدخال!$D$5:$D$644,$B40,الإدخال!$F$5:$F$644,"&lt;&gt;"),""))</f>
        <v/>
      </c>
      <c r="I40" s="126" t="str">
        <f>IF($B40="","",IFERROR(SUMIFS(الإدخال!$O$5:$O$644,الإدخال!$D$5:$D$644,$B40)/SUMIFS(الإدخال!$P$5:$P$644,الإدخال!$D$5:$D$644,$B40)/100,""))</f>
        <v/>
      </c>
      <c r="J40" s="130" t="str">
        <f t="shared" si="0"/>
        <v/>
      </c>
      <c r="K40" s="124" t="str">
        <f>IF($B40="","",SUMIFS(الإدخال!$H$5:$H$644,الإدخال!$D$5:$D$644,$B40,الإدخال!$N$5:$N$644,1))</f>
        <v/>
      </c>
      <c r="L40" s="130" t="str">
        <f t="shared" si="1"/>
        <v/>
      </c>
      <c r="M40" s="132" t="str" cm="1">
        <f t="array" ref="M40">IFERROR(_xlfn.AGGREGATE(15,6,(ROW(الطلاب!$D$5:$D$44)-ROW(الطلاب!$D$5)+1)/(الطلاب!$D$5:$D$44=$C$3),ROWS(M$29:M40)),"")</f>
        <v/>
      </c>
    </row>
    <row r="41" spans="1:13">
      <c r="A41" s="24"/>
      <c r="B41" s="130" t="str" cm="1">
        <f t="array" ref="B41">IF($M41="","",INDEX(الطلاب!$A$5:$A$44,$M41))</f>
        <v/>
      </c>
      <c r="C41" s="131" t="str" cm="1">
        <f t="array" ref="C41">IF($M41="","",INDEX(الطلاب!$B$5:$B$44,$M41))</f>
        <v/>
      </c>
      <c r="D41" s="130" t="str" cm="1">
        <f t="array" ref="D41">IF($M41="","",INDEX(الطلاب!$C$5:$C$44,$M41))</f>
        <v/>
      </c>
      <c r="E41" s="124" t="str">
        <f>IF($B41="","",SUMIFS(الإدخال!$N$5:$N$644,الإدخال!$D$5:$D$644,$B41))</f>
        <v/>
      </c>
      <c r="F41" s="124" t="str">
        <f>IF($B41="","",COUNTIFS(الإدخال!$D$5:$D$644,$B41,الإدخال!$F$5:$F$644,"غائب"))</f>
        <v/>
      </c>
      <c r="G41" s="124" t="str">
        <f>IF($B41="","",COUNTIFS(الإدخال!$D$5:$D$644,$B41,الإدخال!$F$5:$F$644,"معتذر"))</f>
        <v/>
      </c>
      <c r="H41" s="125" t="str">
        <f>IF($B41="","",IFERROR(E41/COUNTIFS(الإدخال!$D$5:$D$644,$B41,الإدخال!$F$5:$F$644,"&lt;&gt;"),""))</f>
        <v/>
      </c>
      <c r="I41" s="126" t="str">
        <f>IF($B41="","",IFERROR(SUMIFS(الإدخال!$O$5:$O$644,الإدخال!$D$5:$D$644,$B41)/SUMIFS(الإدخال!$P$5:$P$644,الإدخال!$D$5:$D$644,$B41)/100,""))</f>
        <v/>
      </c>
      <c r="J41" s="130" t="str">
        <f t="shared" si="0"/>
        <v/>
      </c>
      <c r="K41" s="124" t="str">
        <f>IF($B41="","",SUMIFS(الإدخال!$H$5:$H$644,الإدخال!$D$5:$D$644,$B41,الإدخال!$N$5:$N$644,1))</f>
        <v/>
      </c>
      <c r="L41" s="130" t="str">
        <f t="shared" si="1"/>
        <v/>
      </c>
      <c r="M41" s="132" t="str" cm="1">
        <f t="array" ref="M41">IFERROR(_xlfn.AGGREGATE(15,6,(ROW(الطلاب!$D$5:$D$44)-ROW(الطلاب!$D$5)+1)/(الطلاب!$D$5:$D$44=$C$3),ROWS(M$29:M41)),"")</f>
        <v/>
      </c>
    </row>
    <row r="42" spans="1:13">
      <c r="A42" s="24"/>
      <c r="B42" s="130" t="str" cm="1">
        <f t="array" ref="B42">IF($M42="","",INDEX(الطلاب!$A$5:$A$44,$M42))</f>
        <v/>
      </c>
      <c r="C42" s="131" t="str" cm="1">
        <f t="array" ref="C42">IF($M42="","",INDEX(الطلاب!$B$5:$B$44,$M42))</f>
        <v/>
      </c>
      <c r="D42" s="130" t="str" cm="1">
        <f t="array" ref="D42">IF($M42="","",INDEX(الطلاب!$C$5:$C$44,$M42))</f>
        <v/>
      </c>
      <c r="E42" s="124" t="str">
        <f>IF($B42="","",SUMIFS(الإدخال!$N$5:$N$644,الإدخال!$D$5:$D$644,$B42))</f>
        <v/>
      </c>
      <c r="F42" s="124" t="str">
        <f>IF($B42="","",COUNTIFS(الإدخال!$D$5:$D$644,$B42,الإدخال!$F$5:$F$644,"غائب"))</f>
        <v/>
      </c>
      <c r="G42" s="124" t="str">
        <f>IF($B42="","",COUNTIFS(الإدخال!$D$5:$D$644,$B42,الإدخال!$F$5:$F$644,"معتذر"))</f>
        <v/>
      </c>
      <c r="H42" s="125" t="str">
        <f>IF($B42="","",IFERROR(E42/COUNTIFS(الإدخال!$D$5:$D$644,$B42,الإدخال!$F$5:$F$644,"&lt;&gt;"),""))</f>
        <v/>
      </c>
      <c r="I42" s="126" t="str">
        <f>IF($B42="","",IFERROR(SUMIFS(الإدخال!$O$5:$O$644,الإدخال!$D$5:$D$644,$B42)/SUMIFS(الإدخال!$P$5:$P$644,الإدخال!$D$5:$D$644,$B42)/100,""))</f>
        <v/>
      </c>
      <c r="J42" s="130" t="str">
        <f t="shared" si="0"/>
        <v/>
      </c>
      <c r="K42" s="124" t="str">
        <f>IF($B42="","",SUMIFS(الإدخال!$H$5:$H$644,الإدخال!$D$5:$D$644,$B42,الإدخال!$N$5:$N$644,1))</f>
        <v/>
      </c>
      <c r="L42" s="130" t="str">
        <f t="shared" si="1"/>
        <v/>
      </c>
      <c r="M42" s="132" t="str" cm="1">
        <f t="array" ref="M42">IFERROR(_xlfn.AGGREGATE(15,6,(ROW(الطلاب!$D$5:$D$44)-ROW(الطلاب!$D$5)+1)/(الطلاب!$D$5:$D$44=$C$3),ROWS(M$29:M42)),"")</f>
        <v/>
      </c>
    </row>
    <row r="43" spans="1:13">
      <c r="A43" s="24"/>
      <c r="B43" s="130" t="str" cm="1">
        <f t="array" ref="B43">IF($M43="","",INDEX(الطلاب!$A$5:$A$44,$M43))</f>
        <v/>
      </c>
      <c r="C43" s="131" t="str" cm="1">
        <f t="array" ref="C43">IF($M43="","",INDEX(الطلاب!$B$5:$B$44,$M43))</f>
        <v/>
      </c>
      <c r="D43" s="130" t="str" cm="1">
        <f t="array" ref="D43">IF($M43="","",INDEX(الطلاب!$C$5:$C$44,$M43))</f>
        <v/>
      </c>
      <c r="E43" s="124" t="str">
        <f>IF($B43="","",SUMIFS(الإدخال!$N$5:$N$644,الإدخال!$D$5:$D$644,$B43))</f>
        <v/>
      </c>
      <c r="F43" s="124" t="str">
        <f>IF($B43="","",COUNTIFS(الإدخال!$D$5:$D$644,$B43,الإدخال!$F$5:$F$644,"غائب"))</f>
        <v/>
      </c>
      <c r="G43" s="124" t="str">
        <f>IF($B43="","",COUNTIFS(الإدخال!$D$5:$D$644,$B43,الإدخال!$F$5:$F$644,"معتذر"))</f>
        <v/>
      </c>
      <c r="H43" s="125" t="str">
        <f>IF($B43="","",IFERROR(E43/COUNTIFS(الإدخال!$D$5:$D$644,$B43,الإدخال!$F$5:$F$644,"&lt;&gt;"),""))</f>
        <v/>
      </c>
      <c r="I43" s="126" t="str">
        <f>IF($B43="","",IFERROR(SUMIFS(الإدخال!$O$5:$O$644,الإدخال!$D$5:$D$644,$B43)/SUMIFS(الإدخال!$P$5:$P$644,الإدخال!$D$5:$D$644,$B43)/100,""))</f>
        <v/>
      </c>
      <c r="J43" s="130" t="str">
        <f t="shared" si="0"/>
        <v/>
      </c>
      <c r="K43" s="124" t="str">
        <f>IF($B43="","",SUMIFS(الإدخال!$H$5:$H$644,الإدخال!$D$5:$D$644,$B43,الإدخال!$N$5:$N$644,1))</f>
        <v/>
      </c>
      <c r="L43" s="130" t="str">
        <f t="shared" si="1"/>
        <v/>
      </c>
      <c r="M43" s="132" t="str" cm="1">
        <f t="array" ref="M43">IFERROR(_xlfn.AGGREGATE(15,6,(ROW(الطلاب!$D$5:$D$44)-ROW(الطلاب!$D$5)+1)/(الطلاب!$D$5:$D$44=$C$3),ROWS(M$29:M43)),"")</f>
        <v/>
      </c>
    </row>
    <row r="44" spans="1:13">
      <c r="A44" s="24"/>
      <c r="B44" s="130" t="str" cm="1">
        <f t="array" ref="B44">IF($M44="","",INDEX(الطلاب!$A$5:$A$44,$M44))</f>
        <v/>
      </c>
      <c r="C44" s="131" t="str" cm="1">
        <f t="array" ref="C44">IF($M44="","",INDEX(الطلاب!$B$5:$B$44,$M44))</f>
        <v/>
      </c>
      <c r="D44" s="130" t="str" cm="1">
        <f t="array" ref="D44">IF($M44="","",INDEX(الطلاب!$C$5:$C$44,$M44))</f>
        <v/>
      </c>
      <c r="E44" s="124" t="str">
        <f>IF($B44="","",SUMIFS(الإدخال!$N$5:$N$644,الإدخال!$D$5:$D$644,$B44))</f>
        <v/>
      </c>
      <c r="F44" s="124" t="str">
        <f>IF($B44="","",COUNTIFS(الإدخال!$D$5:$D$644,$B44,الإدخال!$F$5:$F$644,"غائب"))</f>
        <v/>
      </c>
      <c r="G44" s="124" t="str">
        <f>IF($B44="","",COUNTIFS(الإدخال!$D$5:$D$644,$B44,الإدخال!$F$5:$F$644,"معتذر"))</f>
        <v/>
      </c>
      <c r="H44" s="125" t="str">
        <f>IF($B44="","",IFERROR(E44/COUNTIFS(الإدخال!$D$5:$D$644,$B44,الإدخال!$F$5:$F$644,"&lt;&gt;"),""))</f>
        <v/>
      </c>
      <c r="I44" s="126" t="str">
        <f>IF($B44="","",IFERROR(SUMIFS(الإدخال!$O$5:$O$644,الإدخال!$D$5:$D$644,$B44)/SUMIFS(الإدخال!$P$5:$P$644,الإدخال!$D$5:$D$644,$B44)/100,""))</f>
        <v/>
      </c>
      <c r="J44" s="130" t="str">
        <f t="shared" si="0"/>
        <v/>
      </c>
      <c r="K44" s="124" t="str">
        <f>IF($B44="","",SUMIFS(الإدخال!$H$5:$H$644,الإدخال!$D$5:$D$644,$B44,الإدخال!$N$5:$N$644,1))</f>
        <v/>
      </c>
      <c r="L44" s="130" t="str">
        <f t="shared" si="1"/>
        <v/>
      </c>
      <c r="M44" s="132" t="str" cm="1">
        <f t="array" ref="M44">IFERROR(_xlfn.AGGREGATE(15,6,(ROW(الطلاب!$D$5:$D$44)-ROW(الطلاب!$D$5)+1)/(الطلاب!$D$5:$D$44=$C$3),ROWS(M$29:M44)),"")</f>
        <v/>
      </c>
    </row>
    <row r="45" spans="1:13">
      <c r="A45" s="24"/>
      <c r="B45" s="130" t="str" cm="1">
        <f t="array" ref="B45">IF($M45="","",INDEX(الطلاب!$A$5:$A$44,$M45))</f>
        <v/>
      </c>
      <c r="C45" s="131" t="str" cm="1">
        <f t="array" ref="C45">IF($M45="","",INDEX(الطلاب!$B$5:$B$44,$M45))</f>
        <v/>
      </c>
      <c r="D45" s="130" t="str" cm="1">
        <f t="array" ref="D45">IF($M45="","",INDEX(الطلاب!$C$5:$C$44,$M45))</f>
        <v/>
      </c>
      <c r="E45" s="124" t="str">
        <f>IF($B45="","",SUMIFS(الإدخال!$N$5:$N$644,الإدخال!$D$5:$D$644,$B45))</f>
        <v/>
      </c>
      <c r="F45" s="124" t="str">
        <f>IF($B45="","",COUNTIFS(الإدخال!$D$5:$D$644,$B45,الإدخال!$F$5:$F$644,"غائب"))</f>
        <v/>
      </c>
      <c r="G45" s="124" t="str">
        <f>IF($B45="","",COUNTIFS(الإدخال!$D$5:$D$644,$B45,الإدخال!$F$5:$F$644,"معتذر"))</f>
        <v/>
      </c>
      <c r="H45" s="125" t="str">
        <f>IF($B45="","",IFERROR(E45/COUNTIFS(الإدخال!$D$5:$D$644,$B45,الإدخال!$F$5:$F$644,"&lt;&gt;"),""))</f>
        <v/>
      </c>
      <c r="I45" s="126" t="str">
        <f>IF($B45="","",IFERROR(SUMIFS(الإدخال!$O$5:$O$644,الإدخال!$D$5:$D$644,$B45)/SUMIFS(الإدخال!$P$5:$P$644,الإدخال!$D$5:$D$644,$B45)/100,""))</f>
        <v/>
      </c>
      <c r="J45" s="130" t="str">
        <f t="shared" si="0"/>
        <v/>
      </c>
      <c r="K45" s="124" t="str">
        <f>IF($B45="","",SUMIFS(الإدخال!$H$5:$H$644,الإدخال!$D$5:$D$644,$B45,الإدخال!$N$5:$N$644,1))</f>
        <v/>
      </c>
      <c r="L45" s="130" t="str">
        <f t="shared" si="1"/>
        <v/>
      </c>
      <c r="M45" s="132" t="str" cm="1">
        <f t="array" ref="M45">IFERROR(_xlfn.AGGREGATE(15,6,(ROW(الطلاب!$D$5:$D$44)-ROW(الطلاب!$D$5)+1)/(الطلاب!$D$5:$D$44=$C$3),ROWS(M$29:M45)),"")</f>
        <v/>
      </c>
    </row>
    <row r="46" spans="1:13">
      <c r="A46" s="24"/>
      <c r="B46" s="130" t="str" cm="1">
        <f t="array" ref="B46">IF($M46="","",INDEX(الطلاب!$A$5:$A$44,$M46))</f>
        <v/>
      </c>
      <c r="C46" s="131" t="str" cm="1">
        <f t="array" ref="C46">IF($M46="","",INDEX(الطلاب!$B$5:$B$44,$M46))</f>
        <v/>
      </c>
      <c r="D46" s="130" t="str" cm="1">
        <f t="array" ref="D46">IF($M46="","",INDEX(الطلاب!$C$5:$C$44,$M46))</f>
        <v/>
      </c>
      <c r="E46" s="124" t="str">
        <f>IF($B46="","",SUMIFS(الإدخال!$N$5:$N$644,الإدخال!$D$5:$D$644,$B46))</f>
        <v/>
      </c>
      <c r="F46" s="124" t="str">
        <f>IF($B46="","",COUNTIFS(الإدخال!$D$5:$D$644,$B46,الإدخال!$F$5:$F$644,"غائب"))</f>
        <v/>
      </c>
      <c r="G46" s="124" t="str">
        <f>IF($B46="","",COUNTIFS(الإدخال!$D$5:$D$644,$B46,الإدخال!$F$5:$F$644,"معتذر"))</f>
        <v/>
      </c>
      <c r="H46" s="125" t="str">
        <f>IF($B46="","",IFERROR(E46/COUNTIFS(الإدخال!$D$5:$D$644,$B46,الإدخال!$F$5:$F$644,"&lt;&gt;"),""))</f>
        <v/>
      </c>
      <c r="I46" s="126" t="str">
        <f>IF($B46="","",IFERROR(SUMIFS(الإدخال!$O$5:$O$644,الإدخال!$D$5:$D$644,$B46)/SUMIFS(الإدخال!$P$5:$P$644,الإدخال!$D$5:$D$644,$B46)/100,""))</f>
        <v/>
      </c>
      <c r="J46" s="130" t="str">
        <f t="shared" si="0"/>
        <v/>
      </c>
      <c r="K46" s="124" t="str">
        <f>IF($B46="","",SUMIFS(الإدخال!$H$5:$H$644,الإدخال!$D$5:$D$644,$B46,الإدخال!$N$5:$N$644,1))</f>
        <v/>
      </c>
      <c r="L46" s="130" t="str">
        <f t="shared" si="1"/>
        <v/>
      </c>
      <c r="M46" s="132" t="str" cm="1">
        <f t="array" ref="M46">IFERROR(_xlfn.AGGREGATE(15,6,(ROW(الطلاب!$D$5:$D$44)-ROW(الطلاب!$D$5)+1)/(الطلاب!$D$5:$D$44=$C$3),ROWS(M$29:M46)),"")</f>
        <v/>
      </c>
    </row>
    <row r="47" spans="1:13">
      <c r="A47" s="24"/>
      <c r="B47" s="130" t="str" cm="1">
        <f t="array" ref="B47">IF($M47="","",INDEX(الطلاب!$A$5:$A$44,$M47))</f>
        <v/>
      </c>
      <c r="C47" s="131" t="str" cm="1">
        <f t="array" ref="C47">IF($M47="","",INDEX(الطلاب!$B$5:$B$44,$M47))</f>
        <v/>
      </c>
      <c r="D47" s="130" t="str" cm="1">
        <f t="array" ref="D47">IF($M47="","",INDEX(الطلاب!$C$5:$C$44,$M47))</f>
        <v/>
      </c>
      <c r="E47" s="124" t="str">
        <f>IF($B47="","",SUMIFS(الإدخال!$N$5:$N$644,الإدخال!$D$5:$D$644,$B47))</f>
        <v/>
      </c>
      <c r="F47" s="124" t="str">
        <f>IF($B47="","",COUNTIFS(الإدخال!$D$5:$D$644,$B47,الإدخال!$F$5:$F$644,"غائب"))</f>
        <v/>
      </c>
      <c r="G47" s="124" t="str">
        <f>IF($B47="","",COUNTIFS(الإدخال!$D$5:$D$644,$B47,الإدخال!$F$5:$F$644,"معتذر"))</f>
        <v/>
      </c>
      <c r="H47" s="125" t="str">
        <f>IF($B47="","",IFERROR(E47/COUNTIFS(الإدخال!$D$5:$D$644,$B47,الإدخال!$F$5:$F$644,"&lt;&gt;"),""))</f>
        <v/>
      </c>
      <c r="I47" s="126" t="str">
        <f>IF($B47="","",IFERROR(SUMIFS(الإدخال!$O$5:$O$644,الإدخال!$D$5:$D$644,$B47)/SUMIFS(الإدخال!$P$5:$P$644,الإدخال!$D$5:$D$644,$B47)/100,""))</f>
        <v/>
      </c>
      <c r="J47" s="130" t="str">
        <f t="shared" si="0"/>
        <v/>
      </c>
      <c r="K47" s="124" t="str">
        <f>IF($B47="","",SUMIFS(الإدخال!$H$5:$H$644,الإدخال!$D$5:$D$644,$B47,الإدخال!$N$5:$N$644,1))</f>
        <v/>
      </c>
      <c r="L47" s="130" t="str">
        <f t="shared" si="1"/>
        <v/>
      </c>
      <c r="M47" s="132" t="str" cm="1">
        <f t="array" ref="M47">IFERROR(_xlfn.AGGREGATE(15,6,(ROW(الطلاب!$D$5:$D$44)-ROW(الطلاب!$D$5)+1)/(الطلاب!$D$5:$D$44=$C$3),ROWS(M$29:M47)),"")</f>
        <v/>
      </c>
    </row>
    <row r="48" spans="1:13">
      <c r="A48" s="24"/>
      <c r="B48" s="130" t="str" cm="1">
        <f t="array" ref="B48">IF($M48="","",INDEX(الطلاب!$A$5:$A$44,$M48))</f>
        <v/>
      </c>
      <c r="C48" s="131" t="str" cm="1">
        <f t="array" ref="C48">IF($M48="","",INDEX(الطلاب!$B$5:$B$44,$M48))</f>
        <v/>
      </c>
      <c r="D48" s="130" t="str" cm="1">
        <f t="array" ref="D48">IF($M48="","",INDEX(الطلاب!$C$5:$C$44,$M48))</f>
        <v/>
      </c>
      <c r="E48" s="124" t="str">
        <f>IF($B48="","",SUMIFS(الإدخال!$N$5:$N$644,الإدخال!$D$5:$D$644,$B48))</f>
        <v/>
      </c>
      <c r="F48" s="124" t="str">
        <f>IF($B48="","",COUNTIFS(الإدخال!$D$5:$D$644,$B48,الإدخال!$F$5:$F$644,"غائب"))</f>
        <v/>
      </c>
      <c r="G48" s="124" t="str">
        <f>IF($B48="","",COUNTIFS(الإدخال!$D$5:$D$644,$B48,الإدخال!$F$5:$F$644,"معتذر"))</f>
        <v/>
      </c>
      <c r="H48" s="125" t="str">
        <f>IF($B48="","",IFERROR(E48/COUNTIFS(الإدخال!$D$5:$D$644,$B48,الإدخال!$F$5:$F$644,"&lt;&gt;"),""))</f>
        <v/>
      </c>
      <c r="I48" s="126" t="str">
        <f>IF($B48="","",IFERROR(SUMIFS(الإدخال!$O$5:$O$644,الإدخال!$D$5:$D$644,$B48)/SUMIFS(الإدخال!$P$5:$P$644,الإدخال!$D$5:$D$644,$B48)/100,""))</f>
        <v/>
      </c>
      <c r="J48" s="130" t="str">
        <f t="shared" si="0"/>
        <v/>
      </c>
      <c r="K48" s="124" t="str">
        <f>IF($B48="","",SUMIFS(الإدخال!$H$5:$H$644,الإدخال!$D$5:$D$644,$B48,الإدخال!$N$5:$N$644,1))</f>
        <v/>
      </c>
      <c r="L48" s="130" t="str">
        <f t="shared" si="1"/>
        <v/>
      </c>
      <c r="M48" s="132" t="str" cm="1">
        <f t="array" ref="M48">IFERROR(_xlfn.AGGREGATE(15,6,(ROW(الطلاب!$D$5:$D$44)-ROW(الطلاب!$D$5)+1)/(الطلاب!$D$5:$D$44=$C$3),ROWS(M$29:M48)),"")</f>
        <v/>
      </c>
    </row>
    <row r="49" spans="1:13">
      <c r="A49" s="24"/>
      <c r="B49" s="130" t="str" cm="1">
        <f t="array" ref="B49">IF($M49="","",INDEX(الطلاب!$A$5:$A$44,$M49))</f>
        <v/>
      </c>
      <c r="C49" s="131" t="str" cm="1">
        <f t="array" ref="C49">IF($M49="","",INDEX(الطلاب!$B$5:$B$44,$M49))</f>
        <v/>
      </c>
      <c r="D49" s="130" t="str" cm="1">
        <f t="array" ref="D49">IF($M49="","",INDEX(الطلاب!$C$5:$C$44,$M49))</f>
        <v/>
      </c>
      <c r="E49" s="124" t="str">
        <f>IF($B49="","",SUMIFS(الإدخال!$N$5:$N$644,الإدخال!$D$5:$D$644,$B49))</f>
        <v/>
      </c>
      <c r="F49" s="124" t="str">
        <f>IF($B49="","",COUNTIFS(الإدخال!$D$5:$D$644,$B49,الإدخال!$F$5:$F$644,"غائب"))</f>
        <v/>
      </c>
      <c r="G49" s="124" t="str">
        <f>IF($B49="","",COUNTIFS(الإدخال!$D$5:$D$644,$B49,الإدخال!$F$5:$F$644,"معتذر"))</f>
        <v/>
      </c>
      <c r="H49" s="125" t="str">
        <f>IF($B49="","",IFERROR(E49/COUNTIFS(الإدخال!$D$5:$D$644,$B49,الإدخال!$F$5:$F$644,"&lt;&gt;"),""))</f>
        <v/>
      </c>
      <c r="I49" s="126" t="str">
        <f>IF($B49="","",IFERROR(SUMIFS(الإدخال!$O$5:$O$644,الإدخال!$D$5:$D$644,$B49)/SUMIFS(الإدخال!$P$5:$P$644,الإدخال!$D$5:$D$644,$B49)/100,""))</f>
        <v/>
      </c>
      <c r="J49" s="130" t="str">
        <f t="shared" si="0"/>
        <v/>
      </c>
      <c r="K49" s="124" t="str">
        <f>IF($B49="","",SUMIFS(الإدخال!$H$5:$H$644,الإدخال!$D$5:$D$644,$B49,الإدخال!$N$5:$N$644,1))</f>
        <v/>
      </c>
      <c r="L49" s="130" t="str">
        <f t="shared" si="1"/>
        <v/>
      </c>
      <c r="M49" s="132" t="str" cm="1">
        <f t="array" ref="M49">IFERROR(_xlfn.AGGREGATE(15,6,(ROW(الطلاب!$D$5:$D$44)-ROW(الطلاب!$D$5)+1)/(الطلاب!$D$5:$D$44=$C$3),ROWS(M$29:M49)),"")</f>
        <v/>
      </c>
    </row>
    <row r="50" spans="1:13">
      <c r="A50" s="24"/>
      <c r="B50" s="130" t="str" cm="1">
        <f t="array" ref="B50">IF($M50="","",INDEX(الطلاب!$A$5:$A$44,$M50))</f>
        <v/>
      </c>
      <c r="C50" s="131" t="str" cm="1">
        <f t="array" ref="C50">IF($M50="","",INDEX(الطلاب!$B$5:$B$44,$M50))</f>
        <v/>
      </c>
      <c r="D50" s="130" t="str" cm="1">
        <f t="array" ref="D50">IF($M50="","",INDEX(الطلاب!$C$5:$C$44,$M50))</f>
        <v/>
      </c>
      <c r="E50" s="124" t="str">
        <f>IF($B50="","",SUMIFS(الإدخال!$N$5:$N$644,الإدخال!$D$5:$D$644,$B50))</f>
        <v/>
      </c>
      <c r="F50" s="124" t="str">
        <f>IF($B50="","",COUNTIFS(الإدخال!$D$5:$D$644,$B50,الإدخال!$F$5:$F$644,"غائب"))</f>
        <v/>
      </c>
      <c r="G50" s="124" t="str">
        <f>IF($B50="","",COUNTIFS(الإدخال!$D$5:$D$644,$B50,الإدخال!$F$5:$F$644,"معتذر"))</f>
        <v/>
      </c>
      <c r="H50" s="125" t="str">
        <f>IF($B50="","",IFERROR(E50/COUNTIFS(الإدخال!$D$5:$D$644,$B50,الإدخال!$F$5:$F$644,"&lt;&gt;"),""))</f>
        <v/>
      </c>
      <c r="I50" s="126" t="str">
        <f>IF($B50="","",IFERROR(SUMIFS(الإدخال!$O$5:$O$644,الإدخال!$D$5:$D$644,$B50)/SUMIFS(الإدخال!$P$5:$P$644,الإدخال!$D$5:$D$644,$B50)/100,""))</f>
        <v/>
      </c>
      <c r="J50" s="130" t="str">
        <f t="shared" si="0"/>
        <v/>
      </c>
      <c r="K50" s="124" t="str">
        <f>IF($B50="","",SUMIFS(الإدخال!$H$5:$H$644,الإدخال!$D$5:$D$644,$B50,الإدخال!$N$5:$N$644,1))</f>
        <v/>
      </c>
      <c r="L50" s="130" t="str">
        <f t="shared" si="1"/>
        <v/>
      </c>
      <c r="M50" s="132" t="str" cm="1">
        <f t="array" ref="M50">IFERROR(_xlfn.AGGREGATE(15,6,(ROW(الطلاب!$D$5:$D$44)-ROW(الطلاب!$D$5)+1)/(الطلاب!$D$5:$D$44=$C$3),ROWS(M$29:M50)),"")</f>
        <v/>
      </c>
    </row>
    <row r="51" spans="1:13">
      <c r="A51" s="24"/>
      <c r="B51" s="130" t="str" cm="1">
        <f t="array" ref="B51">IF($M51="","",INDEX(الطلاب!$A$5:$A$44,$M51))</f>
        <v/>
      </c>
      <c r="C51" s="131" t="str" cm="1">
        <f t="array" ref="C51">IF($M51="","",INDEX(الطلاب!$B$5:$B$44,$M51))</f>
        <v/>
      </c>
      <c r="D51" s="130" t="str" cm="1">
        <f t="array" ref="D51">IF($M51="","",INDEX(الطلاب!$C$5:$C$44,$M51))</f>
        <v/>
      </c>
      <c r="E51" s="124" t="str">
        <f>IF($B51="","",SUMIFS(الإدخال!$N$5:$N$644,الإدخال!$D$5:$D$644,$B51))</f>
        <v/>
      </c>
      <c r="F51" s="124" t="str">
        <f>IF($B51="","",COUNTIFS(الإدخال!$D$5:$D$644,$B51,الإدخال!$F$5:$F$644,"غائب"))</f>
        <v/>
      </c>
      <c r="G51" s="124" t="str">
        <f>IF($B51="","",COUNTIFS(الإدخال!$D$5:$D$644,$B51,الإدخال!$F$5:$F$644,"معتذر"))</f>
        <v/>
      </c>
      <c r="H51" s="125" t="str">
        <f>IF($B51="","",IFERROR(E51/COUNTIFS(الإدخال!$D$5:$D$644,$B51,الإدخال!$F$5:$F$644,"&lt;&gt;"),""))</f>
        <v/>
      </c>
      <c r="I51" s="126" t="str">
        <f>IF($B51="","",IFERROR(SUMIFS(الإدخال!$O$5:$O$644,الإدخال!$D$5:$D$644,$B51)/SUMIFS(الإدخال!$P$5:$P$644,الإدخال!$D$5:$D$644,$B51)/100,""))</f>
        <v/>
      </c>
      <c r="J51" s="130" t="str">
        <f t="shared" si="0"/>
        <v/>
      </c>
      <c r="K51" s="124" t="str">
        <f>IF($B51="","",SUMIFS(الإدخال!$H$5:$H$644,الإدخال!$D$5:$D$644,$B51,الإدخال!$N$5:$N$644,1))</f>
        <v/>
      </c>
      <c r="L51" s="130" t="str">
        <f t="shared" si="1"/>
        <v/>
      </c>
      <c r="M51" s="132" t="str" cm="1">
        <f t="array" ref="M51">IFERROR(_xlfn.AGGREGATE(15,6,(ROW(الطلاب!$D$5:$D$44)-ROW(الطلاب!$D$5)+1)/(الطلاب!$D$5:$D$44=$C$3),ROWS(M$29:M51)),"")</f>
        <v/>
      </c>
    </row>
    <row r="52" spans="1:13">
      <c r="A52" s="24"/>
      <c r="B52" s="130" t="str" cm="1">
        <f t="array" ref="B52">IF($M52="","",INDEX(الطلاب!$A$5:$A$44,$M52))</f>
        <v/>
      </c>
      <c r="C52" s="131" t="str" cm="1">
        <f t="array" ref="C52">IF($M52="","",INDEX(الطلاب!$B$5:$B$44,$M52))</f>
        <v/>
      </c>
      <c r="D52" s="130" t="str" cm="1">
        <f t="array" ref="D52">IF($M52="","",INDEX(الطلاب!$C$5:$C$44,$M52))</f>
        <v/>
      </c>
      <c r="E52" s="124" t="str">
        <f>IF($B52="","",SUMIFS(الإدخال!$N$5:$N$644,الإدخال!$D$5:$D$644,$B52))</f>
        <v/>
      </c>
      <c r="F52" s="124" t="str">
        <f>IF($B52="","",COUNTIFS(الإدخال!$D$5:$D$644,$B52,الإدخال!$F$5:$F$644,"غائب"))</f>
        <v/>
      </c>
      <c r="G52" s="124" t="str">
        <f>IF($B52="","",COUNTIFS(الإدخال!$D$5:$D$644,$B52,الإدخال!$F$5:$F$644,"معتذر"))</f>
        <v/>
      </c>
      <c r="H52" s="125" t="str">
        <f>IF($B52="","",IFERROR(E52/COUNTIFS(الإدخال!$D$5:$D$644,$B52,الإدخال!$F$5:$F$644,"&lt;&gt;"),""))</f>
        <v/>
      </c>
      <c r="I52" s="126" t="str">
        <f>IF($B52="","",IFERROR(SUMIFS(الإدخال!$O$5:$O$644,الإدخال!$D$5:$D$644,$B52)/SUMIFS(الإدخال!$P$5:$P$644,الإدخال!$D$5:$D$644,$B52)/100,""))</f>
        <v/>
      </c>
      <c r="J52" s="130" t="str">
        <f t="shared" si="0"/>
        <v/>
      </c>
      <c r="K52" s="124" t="str">
        <f>IF($B52="","",SUMIFS(الإدخال!$H$5:$H$644,الإدخال!$D$5:$D$644,$B52,الإدخال!$N$5:$N$644,1))</f>
        <v/>
      </c>
      <c r="L52" s="130" t="str">
        <f t="shared" si="1"/>
        <v/>
      </c>
      <c r="M52" s="132" t="str" cm="1">
        <f t="array" ref="M52">IFERROR(_xlfn.AGGREGATE(15,6,(ROW(الطلاب!$D$5:$D$44)-ROW(الطلاب!$D$5)+1)/(الطلاب!$D$5:$D$44=$C$3),ROWS(M$29:M52)),"")</f>
        <v/>
      </c>
    </row>
    <row r="53" spans="1:13">
      <c r="A53" s="24"/>
      <c r="B53" s="130" t="str" cm="1">
        <f t="array" ref="B53">IF($M53="","",INDEX(الطلاب!$A$5:$A$44,$M53))</f>
        <v/>
      </c>
      <c r="C53" s="131" t="str" cm="1">
        <f t="array" ref="C53">IF($M53="","",INDEX(الطلاب!$B$5:$B$44,$M53))</f>
        <v/>
      </c>
      <c r="D53" s="130" t="str" cm="1">
        <f t="array" ref="D53">IF($M53="","",INDEX(الطلاب!$C$5:$C$44,$M53))</f>
        <v/>
      </c>
      <c r="E53" s="124" t="str">
        <f>IF($B53="","",SUMIFS(الإدخال!$N$5:$N$644,الإدخال!$D$5:$D$644,$B53))</f>
        <v/>
      </c>
      <c r="F53" s="124" t="str">
        <f>IF($B53="","",COUNTIFS(الإدخال!$D$5:$D$644,$B53,الإدخال!$F$5:$F$644,"غائب"))</f>
        <v/>
      </c>
      <c r="G53" s="124" t="str">
        <f>IF($B53="","",COUNTIFS(الإدخال!$D$5:$D$644,$B53,الإدخال!$F$5:$F$644,"معتذر"))</f>
        <v/>
      </c>
      <c r="H53" s="125" t="str">
        <f>IF($B53="","",IFERROR(E53/COUNTIFS(الإدخال!$D$5:$D$644,$B53,الإدخال!$F$5:$F$644,"&lt;&gt;"),""))</f>
        <v/>
      </c>
      <c r="I53" s="126" t="str">
        <f>IF($B53="","",IFERROR(SUMIFS(الإدخال!$O$5:$O$644,الإدخال!$D$5:$D$644,$B53)/SUMIFS(الإدخال!$P$5:$P$644,الإدخال!$D$5:$D$644,$B53)/100,""))</f>
        <v/>
      </c>
      <c r="J53" s="130" t="str">
        <f t="shared" si="0"/>
        <v/>
      </c>
      <c r="K53" s="124" t="str">
        <f>IF($B53="","",SUMIFS(الإدخال!$H$5:$H$644,الإدخال!$D$5:$D$644,$B53,الإدخال!$N$5:$N$644,1))</f>
        <v/>
      </c>
      <c r="L53" s="130" t="str">
        <f t="shared" si="1"/>
        <v/>
      </c>
      <c r="M53" s="132" t="str" cm="1">
        <f t="array" ref="M53">IFERROR(_xlfn.AGGREGATE(15,6,(ROW(الطلاب!$D$5:$D$44)-ROW(الطلاب!$D$5)+1)/(الطلاب!$D$5:$D$44=$C$3),ROWS(M$29:M53)),"")</f>
        <v/>
      </c>
    </row>
    <row r="54" spans="1:13">
      <c r="A54" s="24"/>
      <c r="B54" s="130" t="str" cm="1">
        <f t="array" ref="B54">IF($M54="","",INDEX(الطلاب!$A$5:$A$44,$M54))</f>
        <v/>
      </c>
      <c r="C54" s="131" t="str" cm="1">
        <f t="array" ref="C54">IF($M54="","",INDEX(الطلاب!$B$5:$B$44,$M54))</f>
        <v/>
      </c>
      <c r="D54" s="130" t="str" cm="1">
        <f t="array" ref="D54">IF($M54="","",INDEX(الطلاب!$C$5:$C$44,$M54))</f>
        <v/>
      </c>
      <c r="E54" s="124" t="str">
        <f>IF($B54="","",SUMIFS(الإدخال!$N$5:$N$644,الإدخال!$D$5:$D$644,$B54))</f>
        <v/>
      </c>
      <c r="F54" s="124" t="str">
        <f>IF($B54="","",COUNTIFS(الإدخال!$D$5:$D$644,$B54,الإدخال!$F$5:$F$644,"غائب"))</f>
        <v/>
      </c>
      <c r="G54" s="124" t="str">
        <f>IF($B54="","",COUNTIFS(الإدخال!$D$5:$D$644,$B54,الإدخال!$F$5:$F$644,"معتذر"))</f>
        <v/>
      </c>
      <c r="H54" s="125" t="str">
        <f>IF($B54="","",IFERROR(E54/COUNTIFS(الإدخال!$D$5:$D$644,$B54,الإدخال!$F$5:$F$644,"&lt;&gt;"),""))</f>
        <v/>
      </c>
      <c r="I54" s="126" t="str">
        <f>IF($B54="","",IFERROR(SUMIFS(الإدخال!$O$5:$O$644,الإدخال!$D$5:$D$644,$B54)/SUMIFS(الإدخال!$P$5:$P$644,الإدخال!$D$5:$D$644,$B54)/100,""))</f>
        <v/>
      </c>
      <c r="J54" s="130" t="str">
        <f t="shared" si="0"/>
        <v/>
      </c>
      <c r="K54" s="124" t="str">
        <f>IF($B54="","",SUMIFS(الإدخال!$H$5:$H$644,الإدخال!$D$5:$D$644,$B54,الإدخال!$N$5:$N$644,1))</f>
        <v/>
      </c>
      <c r="L54" s="130" t="str">
        <f t="shared" si="1"/>
        <v/>
      </c>
      <c r="M54" s="132" t="str" cm="1">
        <f t="array" ref="M54">IFERROR(_xlfn.AGGREGATE(15,6,(ROW(الطلاب!$D$5:$D$44)-ROW(الطلاب!$D$5)+1)/(الطلاب!$D$5:$D$44=$C$3),ROWS(M$29:M54)),"")</f>
        <v/>
      </c>
    </row>
    <row r="55" spans="1:13">
      <c r="A55" s="24"/>
      <c r="B55" s="130" t="str" cm="1">
        <f t="array" ref="B55">IF($M55="","",INDEX(الطلاب!$A$5:$A$44,$M55))</f>
        <v/>
      </c>
      <c r="C55" s="131" t="str" cm="1">
        <f t="array" ref="C55">IF($M55="","",INDEX(الطلاب!$B$5:$B$44,$M55))</f>
        <v/>
      </c>
      <c r="D55" s="130" t="str" cm="1">
        <f t="array" ref="D55">IF($M55="","",INDEX(الطلاب!$C$5:$C$44,$M55))</f>
        <v/>
      </c>
      <c r="E55" s="124" t="str">
        <f>IF($B55="","",SUMIFS(الإدخال!$N$5:$N$644,الإدخال!$D$5:$D$644,$B55))</f>
        <v/>
      </c>
      <c r="F55" s="124" t="str">
        <f>IF($B55="","",COUNTIFS(الإدخال!$D$5:$D$644,$B55,الإدخال!$F$5:$F$644,"غائب"))</f>
        <v/>
      </c>
      <c r="G55" s="124" t="str">
        <f>IF($B55="","",COUNTIFS(الإدخال!$D$5:$D$644,$B55,الإدخال!$F$5:$F$644,"معتذر"))</f>
        <v/>
      </c>
      <c r="H55" s="125" t="str">
        <f>IF($B55="","",IFERROR(E55/COUNTIFS(الإدخال!$D$5:$D$644,$B55,الإدخال!$F$5:$F$644,"&lt;&gt;"),""))</f>
        <v/>
      </c>
      <c r="I55" s="126" t="str">
        <f>IF($B55="","",IFERROR(SUMIFS(الإدخال!$O$5:$O$644,الإدخال!$D$5:$D$644,$B55)/SUMIFS(الإدخال!$P$5:$P$644,الإدخال!$D$5:$D$644,$B55)/100,""))</f>
        <v/>
      </c>
      <c r="J55" s="130" t="str">
        <f t="shared" si="0"/>
        <v/>
      </c>
      <c r="K55" s="124" t="str">
        <f>IF($B55="","",SUMIFS(الإدخال!$H$5:$H$644,الإدخال!$D$5:$D$644,$B55,الإدخال!$N$5:$N$644,1))</f>
        <v/>
      </c>
      <c r="L55" s="130" t="str">
        <f t="shared" si="1"/>
        <v/>
      </c>
      <c r="M55" s="132" t="str" cm="1">
        <f t="array" ref="M55">IFERROR(_xlfn.AGGREGATE(15,6,(ROW(الطلاب!$D$5:$D$44)-ROW(الطلاب!$D$5)+1)/(الطلاب!$D$5:$D$44=$C$3),ROWS(M$29:M55)),"")</f>
        <v/>
      </c>
    </row>
    <row r="56" spans="1:13">
      <c r="A56" s="24"/>
      <c r="B56" s="130" t="str" cm="1">
        <f t="array" ref="B56">IF($M56="","",INDEX(الطلاب!$A$5:$A$44,$M56))</f>
        <v/>
      </c>
      <c r="C56" s="131" t="str" cm="1">
        <f t="array" ref="C56">IF($M56="","",INDEX(الطلاب!$B$5:$B$44,$M56))</f>
        <v/>
      </c>
      <c r="D56" s="130" t="str" cm="1">
        <f t="array" ref="D56">IF($M56="","",INDEX(الطلاب!$C$5:$C$44,$M56))</f>
        <v/>
      </c>
      <c r="E56" s="124" t="str">
        <f>IF($B56="","",SUMIFS(الإدخال!$N$5:$N$644,الإدخال!$D$5:$D$644,$B56))</f>
        <v/>
      </c>
      <c r="F56" s="124" t="str">
        <f>IF($B56="","",COUNTIFS(الإدخال!$D$5:$D$644,$B56,الإدخال!$F$5:$F$644,"غائب"))</f>
        <v/>
      </c>
      <c r="G56" s="124" t="str">
        <f>IF($B56="","",COUNTIFS(الإدخال!$D$5:$D$644,$B56,الإدخال!$F$5:$F$644,"معتذر"))</f>
        <v/>
      </c>
      <c r="H56" s="125" t="str">
        <f>IF($B56="","",IFERROR(E56/COUNTIFS(الإدخال!$D$5:$D$644,$B56,الإدخال!$F$5:$F$644,"&lt;&gt;"),""))</f>
        <v/>
      </c>
      <c r="I56" s="126" t="str">
        <f>IF($B56="","",IFERROR(SUMIFS(الإدخال!$O$5:$O$644,الإدخال!$D$5:$D$644,$B56)/SUMIFS(الإدخال!$P$5:$P$644,الإدخال!$D$5:$D$644,$B56)/100,""))</f>
        <v/>
      </c>
      <c r="J56" s="130" t="str">
        <f t="shared" si="0"/>
        <v/>
      </c>
      <c r="K56" s="124" t="str">
        <f>IF($B56="","",SUMIFS(الإدخال!$H$5:$H$644,الإدخال!$D$5:$D$644,$B56,الإدخال!$N$5:$N$644,1))</f>
        <v/>
      </c>
      <c r="L56" s="130" t="str">
        <f t="shared" si="1"/>
        <v/>
      </c>
      <c r="M56" s="132" t="str" cm="1">
        <f t="array" ref="M56">IFERROR(_xlfn.AGGREGATE(15,6,(ROW(الطلاب!$D$5:$D$44)-ROW(الطلاب!$D$5)+1)/(الطلاب!$D$5:$D$44=$C$3),ROWS(M$29:M56)),"")</f>
        <v/>
      </c>
    </row>
    <row r="57" spans="1:13">
      <c r="A57" s="24"/>
      <c r="B57" s="130" t="str" cm="1">
        <f t="array" ref="B57">IF($M57="","",INDEX(الطلاب!$A$5:$A$44,$M57))</f>
        <v/>
      </c>
      <c r="C57" s="131" t="str" cm="1">
        <f t="array" ref="C57">IF($M57="","",INDEX(الطلاب!$B$5:$B$44,$M57))</f>
        <v/>
      </c>
      <c r="D57" s="130" t="str" cm="1">
        <f t="array" ref="D57">IF($M57="","",INDEX(الطلاب!$C$5:$C$44,$M57))</f>
        <v/>
      </c>
      <c r="E57" s="124" t="str">
        <f>IF($B57="","",SUMIFS(الإدخال!$N$5:$N$644,الإدخال!$D$5:$D$644,$B57))</f>
        <v/>
      </c>
      <c r="F57" s="124" t="str">
        <f>IF($B57="","",COUNTIFS(الإدخال!$D$5:$D$644,$B57,الإدخال!$F$5:$F$644,"غائب"))</f>
        <v/>
      </c>
      <c r="G57" s="124" t="str">
        <f>IF($B57="","",COUNTIFS(الإدخال!$D$5:$D$644,$B57,الإدخال!$F$5:$F$644,"معتذر"))</f>
        <v/>
      </c>
      <c r="H57" s="125" t="str">
        <f>IF($B57="","",IFERROR(E57/COUNTIFS(الإدخال!$D$5:$D$644,$B57,الإدخال!$F$5:$F$644,"&lt;&gt;"),""))</f>
        <v/>
      </c>
      <c r="I57" s="126" t="str">
        <f>IF($B57="","",IFERROR(SUMIFS(الإدخال!$O$5:$O$644,الإدخال!$D$5:$D$644,$B57)/SUMIFS(الإدخال!$P$5:$P$644,الإدخال!$D$5:$D$644,$B57)/100,""))</f>
        <v/>
      </c>
      <c r="J57" s="130" t="str">
        <f t="shared" si="0"/>
        <v/>
      </c>
      <c r="K57" s="124" t="str">
        <f>IF($B57="","",SUMIFS(الإدخال!$H$5:$H$644,الإدخال!$D$5:$D$644,$B57,الإدخال!$N$5:$N$644,1))</f>
        <v/>
      </c>
      <c r="L57" s="130" t="str">
        <f t="shared" si="1"/>
        <v/>
      </c>
      <c r="M57" s="132" t="str" cm="1">
        <f t="array" ref="M57">IFERROR(_xlfn.AGGREGATE(15,6,(ROW(الطلاب!$D$5:$D$44)-ROW(الطلاب!$D$5)+1)/(الطلاب!$D$5:$D$44=$C$3),ROWS(M$29:M57)),"")</f>
        <v/>
      </c>
    </row>
    <row r="58" spans="1:13">
      <c r="A58" s="24"/>
      <c r="B58" s="130" t="str" cm="1">
        <f t="array" ref="B58">IF($M58="","",INDEX(الطلاب!$A$5:$A$44,$M58))</f>
        <v/>
      </c>
      <c r="C58" s="131" t="str" cm="1">
        <f t="array" ref="C58">IF($M58="","",INDEX(الطلاب!$B$5:$B$44,$M58))</f>
        <v/>
      </c>
      <c r="D58" s="130" t="str" cm="1">
        <f t="array" ref="D58">IF($M58="","",INDEX(الطلاب!$C$5:$C$44,$M58))</f>
        <v/>
      </c>
      <c r="E58" s="124" t="str">
        <f>IF($B58="","",SUMIFS(الإدخال!$N$5:$N$644,الإدخال!$D$5:$D$644,$B58))</f>
        <v/>
      </c>
      <c r="F58" s="124" t="str">
        <f>IF($B58="","",COUNTIFS(الإدخال!$D$5:$D$644,$B58,الإدخال!$F$5:$F$644,"غائب"))</f>
        <v/>
      </c>
      <c r="G58" s="124" t="str">
        <f>IF($B58="","",COUNTIFS(الإدخال!$D$5:$D$644,$B58,الإدخال!$F$5:$F$644,"معتذر"))</f>
        <v/>
      </c>
      <c r="H58" s="125" t="str">
        <f>IF($B58="","",IFERROR(E58/COUNTIFS(الإدخال!$D$5:$D$644,$B58,الإدخال!$F$5:$F$644,"&lt;&gt;"),""))</f>
        <v/>
      </c>
      <c r="I58" s="126" t="str">
        <f>IF($B58="","",IFERROR(SUMIFS(الإدخال!$O$5:$O$644,الإدخال!$D$5:$D$644,$B58)/SUMIFS(الإدخال!$P$5:$P$644,الإدخال!$D$5:$D$644,$B58)/100,""))</f>
        <v/>
      </c>
      <c r="J58" s="130" t="str">
        <f t="shared" si="0"/>
        <v/>
      </c>
      <c r="K58" s="124" t="str">
        <f>IF($B58="","",SUMIFS(الإدخال!$H$5:$H$644,الإدخال!$D$5:$D$644,$B58,الإدخال!$N$5:$N$644,1))</f>
        <v/>
      </c>
      <c r="L58" s="130" t="str">
        <f t="shared" si="1"/>
        <v/>
      </c>
      <c r="M58" s="132" t="str" cm="1">
        <f t="array" ref="M58">IFERROR(_xlfn.AGGREGATE(15,6,(ROW(الطلاب!$D$5:$D$44)-ROW(الطلاب!$D$5)+1)/(الطلاب!$D$5:$D$44=$C$3),ROWS(M$29:M58)),"")</f>
        <v/>
      </c>
    </row>
    <row r="59" spans="1:13">
      <c r="A59" s="24"/>
      <c r="B59" s="130" t="str" cm="1">
        <f t="array" ref="B59">IF($M59="","",INDEX(الطلاب!$A$5:$A$44,$M59))</f>
        <v/>
      </c>
      <c r="C59" s="131" t="str" cm="1">
        <f t="array" ref="C59">IF($M59="","",INDEX(الطلاب!$B$5:$B$44,$M59))</f>
        <v/>
      </c>
      <c r="D59" s="130" t="str" cm="1">
        <f t="array" ref="D59">IF($M59="","",INDEX(الطلاب!$C$5:$C$44,$M59))</f>
        <v/>
      </c>
      <c r="E59" s="124" t="str">
        <f>IF($B59="","",SUMIFS(الإدخال!$N$5:$N$644,الإدخال!$D$5:$D$644,$B59))</f>
        <v/>
      </c>
      <c r="F59" s="124" t="str">
        <f>IF($B59="","",COUNTIFS(الإدخال!$D$5:$D$644,$B59,الإدخال!$F$5:$F$644,"غائب"))</f>
        <v/>
      </c>
      <c r="G59" s="124" t="str">
        <f>IF($B59="","",COUNTIFS(الإدخال!$D$5:$D$644,$B59,الإدخال!$F$5:$F$644,"معتذر"))</f>
        <v/>
      </c>
      <c r="H59" s="125" t="str">
        <f>IF($B59="","",IFERROR(E59/COUNTIFS(الإدخال!$D$5:$D$644,$B59,الإدخال!$F$5:$F$644,"&lt;&gt;"),""))</f>
        <v/>
      </c>
      <c r="I59" s="126" t="str">
        <f>IF($B59="","",IFERROR(SUMIFS(الإدخال!$O$5:$O$644,الإدخال!$D$5:$D$644,$B59)/SUMIFS(الإدخال!$P$5:$P$644,الإدخال!$D$5:$D$644,$B59)/100,""))</f>
        <v/>
      </c>
      <c r="J59" s="130" t="str">
        <f t="shared" si="0"/>
        <v/>
      </c>
      <c r="K59" s="124" t="str">
        <f>IF($B59="","",SUMIFS(الإدخال!$H$5:$H$644,الإدخال!$D$5:$D$644,$B59,الإدخال!$N$5:$N$644,1))</f>
        <v/>
      </c>
      <c r="L59" s="130" t="str">
        <f t="shared" si="1"/>
        <v/>
      </c>
      <c r="M59" s="132" t="str" cm="1">
        <f t="array" ref="M59">IFERROR(_xlfn.AGGREGATE(15,6,(ROW(الطلاب!$D$5:$D$44)-ROW(الطلاب!$D$5)+1)/(الطلاب!$D$5:$D$44=$C$3),ROWS(M$29:M59)),"")</f>
        <v/>
      </c>
    </row>
    <row r="60" spans="1:13">
      <c r="A60" s="24"/>
      <c r="B60" s="130" t="str" cm="1">
        <f t="array" ref="B60">IF($M60="","",INDEX(الطلاب!$A$5:$A$44,$M60))</f>
        <v/>
      </c>
      <c r="C60" s="131" t="str" cm="1">
        <f t="array" ref="C60">IF($M60="","",INDEX(الطلاب!$B$5:$B$44,$M60))</f>
        <v/>
      </c>
      <c r="D60" s="130" t="str" cm="1">
        <f t="array" ref="D60">IF($M60="","",INDEX(الطلاب!$C$5:$C$44,$M60))</f>
        <v/>
      </c>
      <c r="E60" s="124" t="str">
        <f>IF($B60="","",SUMIFS(الإدخال!$N$5:$N$644,الإدخال!$D$5:$D$644,$B60))</f>
        <v/>
      </c>
      <c r="F60" s="124" t="str">
        <f>IF($B60="","",COUNTIFS(الإدخال!$D$5:$D$644,$B60,الإدخال!$F$5:$F$644,"غائب"))</f>
        <v/>
      </c>
      <c r="G60" s="124" t="str">
        <f>IF($B60="","",COUNTIFS(الإدخال!$D$5:$D$644,$B60,الإدخال!$F$5:$F$644,"معتذر"))</f>
        <v/>
      </c>
      <c r="H60" s="125" t="str">
        <f>IF($B60="","",IFERROR(E60/COUNTIFS(الإدخال!$D$5:$D$644,$B60,الإدخال!$F$5:$F$644,"&lt;&gt;"),""))</f>
        <v/>
      </c>
      <c r="I60" s="126" t="str">
        <f>IF($B60="","",IFERROR(SUMIFS(الإدخال!$O$5:$O$644,الإدخال!$D$5:$D$644,$B60)/SUMIFS(الإدخال!$P$5:$P$644,الإدخال!$D$5:$D$644,$B60)/100,""))</f>
        <v/>
      </c>
      <c r="J60" s="130" t="str">
        <f t="shared" si="0"/>
        <v/>
      </c>
      <c r="K60" s="124" t="str">
        <f>IF($B60="","",SUMIFS(الإدخال!$H$5:$H$644,الإدخال!$D$5:$D$644,$B60,الإدخال!$N$5:$N$644,1))</f>
        <v/>
      </c>
      <c r="L60" s="130" t="str">
        <f t="shared" si="1"/>
        <v/>
      </c>
      <c r="M60" s="132" t="str" cm="1">
        <f t="array" ref="M60">IFERROR(_xlfn.AGGREGATE(15,6,(ROW(الطلاب!$D$5:$D$44)-ROW(الطلاب!$D$5)+1)/(الطلاب!$D$5:$D$44=$C$3),ROWS(M$29:M60)),"")</f>
        <v/>
      </c>
    </row>
    <row r="61" spans="1:13">
      <c r="A61" s="24"/>
      <c r="B61" s="130" t="str" cm="1">
        <f t="array" ref="B61">IF($M61="","",INDEX(الطلاب!$A$5:$A$44,$M61))</f>
        <v/>
      </c>
      <c r="C61" s="131" t="str" cm="1">
        <f t="array" ref="C61">IF($M61="","",INDEX(الطلاب!$B$5:$B$44,$M61))</f>
        <v/>
      </c>
      <c r="D61" s="130" t="str" cm="1">
        <f t="array" ref="D61">IF($M61="","",INDEX(الطلاب!$C$5:$C$44,$M61))</f>
        <v/>
      </c>
      <c r="E61" s="124" t="str">
        <f>IF($B61="","",SUMIFS(الإدخال!$N$5:$N$644,الإدخال!$D$5:$D$644,$B61))</f>
        <v/>
      </c>
      <c r="F61" s="124" t="str">
        <f>IF($B61="","",COUNTIFS(الإدخال!$D$5:$D$644,$B61,الإدخال!$F$5:$F$644,"غائب"))</f>
        <v/>
      </c>
      <c r="G61" s="124" t="str">
        <f>IF($B61="","",COUNTIFS(الإدخال!$D$5:$D$644,$B61,الإدخال!$F$5:$F$644,"معتذر"))</f>
        <v/>
      </c>
      <c r="H61" s="125" t="str">
        <f>IF($B61="","",IFERROR(E61/COUNTIFS(الإدخال!$D$5:$D$644,$B61,الإدخال!$F$5:$F$644,"&lt;&gt;"),""))</f>
        <v/>
      </c>
      <c r="I61" s="126" t="str">
        <f>IF($B61="","",IFERROR(SUMIFS(الإدخال!$O$5:$O$644,الإدخال!$D$5:$D$644,$B61)/SUMIFS(الإدخال!$P$5:$P$644,الإدخال!$D$5:$D$644,$B61)/100,""))</f>
        <v/>
      </c>
      <c r="J61" s="130" t="str">
        <f t="shared" si="0"/>
        <v/>
      </c>
      <c r="K61" s="124" t="str">
        <f>IF($B61="","",SUMIFS(الإدخال!$H$5:$H$644,الإدخال!$D$5:$D$644,$B61,الإدخال!$N$5:$N$644,1))</f>
        <v/>
      </c>
      <c r="L61" s="130" t="str">
        <f t="shared" si="1"/>
        <v/>
      </c>
      <c r="M61" s="132" t="str" cm="1">
        <f t="array" ref="M61">IFERROR(_xlfn.AGGREGATE(15,6,(ROW(الطلاب!$D$5:$D$44)-ROW(الطلاب!$D$5)+1)/(الطلاب!$D$5:$D$44=$C$3),ROWS(M$29:M61)),"")</f>
        <v/>
      </c>
    </row>
    <row r="62" spans="1:13">
      <c r="A62" s="24"/>
      <c r="B62" s="130" t="str" cm="1">
        <f t="array" ref="B62">IF($M62="","",INDEX(الطلاب!$A$5:$A$44,$M62))</f>
        <v/>
      </c>
      <c r="C62" s="131" t="str" cm="1">
        <f t="array" ref="C62">IF($M62="","",INDEX(الطلاب!$B$5:$B$44,$M62))</f>
        <v/>
      </c>
      <c r="D62" s="130" t="str" cm="1">
        <f t="array" ref="D62">IF($M62="","",INDEX(الطلاب!$C$5:$C$44,$M62))</f>
        <v/>
      </c>
      <c r="E62" s="124" t="str">
        <f>IF($B62="","",SUMIFS(الإدخال!$N$5:$N$644,الإدخال!$D$5:$D$644,$B62))</f>
        <v/>
      </c>
      <c r="F62" s="124" t="str">
        <f>IF($B62="","",COUNTIFS(الإدخال!$D$5:$D$644,$B62,الإدخال!$F$5:$F$644,"غائب"))</f>
        <v/>
      </c>
      <c r="G62" s="124" t="str">
        <f>IF($B62="","",COUNTIFS(الإدخال!$D$5:$D$644,$B62,الإدخال!$F$5:$F$644,"معتذر"))</f>
        <v/>
      </c>
      <c r="H62" s="125" t="str">
        <f>IF($B62="","",IFERROR(E62/COUNTIFS(الإدخال!$D$5:$D$644,$B62,الإدخال!$F$5:$F$644,"&lt;&gt;"),""))</f>
        <v/>
      </c>
      <c r="I62" s="126" t="str">
        <f>IF($B62="","",IFERROR(SUMIFS(الإدخال!$O$5:$O$644,الإدخال!$D$5:$D$644,$B62)/SUMIFS(الإدخال!$P$5:$P$644,الإدخال!$D$5:$D$644,$B62)/100,""))</f>
        <v/>
      </c>
      <c r="J62" s="130" t="str">
        <f t="shared" si="0"/>
        <v/>
      </c>
      <c r="K62" s="124" t="str">
        <f>IF($B62="","",SUMIFS(الإدخال!$H$5:$H$644,الإدخال!$D$5:$D$644,$B62,الإدخال!$N$5:$N$644,1))</f>
        <v/>
      </c>
      <c r="L62" s="130" t="str">
        <f t="shared" si="1"/>
        <v/>
      </c>
      <c r="M62" s="132" t="str" cm="1">
        <f t="array" ref="M62">IFERROR(_xlfn.AGGREGATE(15,6,(ROW(الطلاب!$D$5:$D$44)-ROW(الطلاب!$D$5)+1)/(الطلاب!$D$5:$D$44=$C$3),ROWS(M$29:M62)),"")</f>
        <v/>
      </c>
    </row>
    <row r="63" spans="1:13">
      <c r="A63" s="24"/>
      <c r="B63" s="130" t="str" cm="1">
        <f t="array" ref="B63">IF($M63="","",INDEX(الطلاب!$A$5:$A$44,$M63))</f>
        <v/>
      </c>
      <c r="C63" s="131" t="str" cm="1">
        <f t="array" ref="C63">IF($M63="","",INDEX(الطلاب!$B$5:$B$44,$M63))</f>
        <v/>
      </c>
      <c r="D63" s="130" t="str" cm="1">
        <f t="array" ref="D63">IF($M63="","",INDEX(الطلاب!$C$5:$C$44,$M63))</f>
        <v/>
      </c>
      <c r="E63" s="124" t="str">
        <f>IF($B63="","",SUMIFS(الإدخال!$N$5:$N$644,الإدخال!$D$5:$D$644,$B63))</f>
        <v/>
      </c>
      <c r="F63" s="124" t="str">
        <f>IF($B63="","",COUNTIFS(الإدخال!$D$5:$D$644,$B63,الإدخال!$F$5:$F$644,"غائب"))</f>
        <v/>
      </c>
      <c r="G63" s="124" t="str">
        <f>IF($B63="","",COUNTIFS(الإدخال!$D$5:$D$644,$B63,الإدخال!$F$5:$F$644,"معتذر"))</f>
        <v/>
      </c>
      <c r="H63" s="125" t="str">
        <f>IF($B63="","",IFERROR(E63/COUNTIFS(الإدخال!$D$5:$D$644,$B63,الإدخال!$F$5:$F$644,"&lt;&gt;"),""))</f>
        <v/>
      </c>
      <c r="I63" s="126" t="str">
        <f>IF($B63="","",IFERROR(SUMIFS(الإدخال!$O$5:$O$644,الإدخال!$D$5:$D$644,$B63)/SUMIFS(الإدخال!$P$5:$P$644,الإدخال!$D$5:$D$644,$B63)/100,""))</f>
        <v/>
      </c>
      <c r="J63" s="130" t="str">
        <f t="shared" si="0"/>
        <v/>
      </c>
      <c r="K63" s="124" t="str">
        <f>IF($B63="","",SUMIFS(الإدخال!$H$5:$H$644,الإدخال!$D$5:$D$644,$B63,الإدخال!$N$5:$N$644,1))</f>
        <v/>
      </c>
      <c r="L63" s="130" t="str">
        <f t="shared" si="1"/>
        <v/>
      </c>
      <c r="M63" s="132" t="str" cm="1">
        <f t="array" ref="M63">IFERROR(_xlfn.AGGREGATE(15,6,(ROW(الطلاب!$D$5:$D$44)-ROW(الطلاب!$D$5)+1)/(الطلاب!$D$5:$D$44=$C$3),ROWS(M$29:M63)),"")</f>
        <v/>
      </c>
    </row>
    <row r="64" spans="1:13">
      <c r="A64" s="24"/>
      <c r="B64" s="130" t="str" cm="1">
        <f t="array" ref="B64">IF($M64="","",INDEX(الطلاب!$A$5:$A$44,$M64))</f>
        <v/>
      </c>
      <c r="C64" s="131" t="str" cm="1">
        <f t="array" ref="C64">IF($M64="","",INDEX(الطلاب!$B$5:$B$44,$M64))</f>
        <v/>
      </c>
      <c r="D64" s="130" t="str" cm="1">
        <f t="array" ref="D64">IF($M64="","",INDEX(الطلاب!$C$5:$C$44,$M64))</f>
        <v/>
      </c>
      <c r="E64" s="124" t="str">
        <f>IF($B64="","",SUMIFS(الإدخال!$N$5:$N$644,الإدخال!$D$5:$D$644,$B64))</f>
        <v/>
      </c>
      <c r="F64" s="124" t="str">
        <f>IF($B64="","",COUNTIFS(الإدخال!$D$5:$D$644,$B64,الإدخال!$F$5:$F$644,"غائب"))</f>
        <v/>
      </c>
      <c r="G64" s="124" t="str">
        <f>IF($B64="","",COUNTIFS(الإدخال!$D$5:$D$644,$B64,الإدخال!$F$5:$F$644,"معتذر"))</f>
        <v/>
      </c>
      <c r="H64" s="125" t="str">
        <f>IF($B64="","",IFERROR(E64/COUNTIFS(الإدخال!$D$5:$D$644,$B64,الإدخال!$F$5:$F$644,"&lt;&gt;"),""))</f>
        <v/>
      </c>
      <c r="I64" s="126" t="str">
        <f>IF($B64="","",IFERROR(SUMIFS(الإدخال!$O$5:$O$644,الإدخال!$D$5:$D$644,$B64)/SUMIFS(الإدخال!$P$5:$P$644,الإدخال!$D$5:$D$644,$B64)/100,""))</f>
        <v/>
      </c>
      <c r="J64" s="130" t="str">
        <f t="shared" si="0"/>
        <v/>
      </c>
      <c r="K64" s="124" t="str">
        <f>IF($B64="","",SUMIFS(الإدخال!$H$5:$H$644,الإدخال!$D$5:$D$644,$B64,الإدخال!$N$5:$N$644,1))</f>
        <v/>
      </c>
      <c r="L64" s="130" t="str">
        <f t="shared" si="1"/>
        <v/>
      </c>
      <c r="M64" s="132" t="str" cm="1">
        <f t="array" ref="M64">IFERROR(_xlfn.AGGREGATE(15,6,(ROW(الطلاب!$D$5:$D$44)-ROW(الطلاب!$D$5)+1)/(الطلاب!$D$5:$D$44=$C$3),ROWS(M$29:M64)),"")</f>
        <v/>
      </c>
    </row>
    <row r="65" spans="1:13">
      <c r="A65" s="24"/>
      <c r="B65" s="130" t="str" cm="1">
        <f t="array" ref="B65">IF($M65="","",INDEX(الطلاب!$A$5:$A$44,$M65))</f>
        <v/>
      </c>
      <c r="C65" s="131" t="str" cm="1">
        <f t="array" ref="C65">IF($M65="","",INDEX(الطلاب!$B$5:$B$44,$M65))</f>
        <v/>
      </c>
      <c r="D65" s="130" t="str" cm="1">
        <f t="array" ref="D65">IF($M65="","",INDEX(الطلاب!$C$5:$C$44,$M65))</f>
        <v/>
      </c>
      <c r="E65" s="124" t="str">
        <f>IF($B65="","",SUMIFS(الإدخال!$N$5:$N$644,الإدخال!$D$5:$D$644,$B65))</f>
        <v/>
      </c>
      <c r="F65" s="124" t="str">
        <f>IF($B65="","",COUNTIFS(الإدخال!$D$5:$D$644,$B65,الإدخال!$F$5:$F$644,"غائب"))</f>
        <v/>
      </c>
      <c r="G65" s="124" t="str">
        <f>IF($B65="","",COUNTIFS(الإدخال!$D$5:$D$644,$B65,الإدخال!$F$5:$F$644,"معتذر"))</f>
        <v/>
      </c>
      <c r="H65" s="125" t="str">
        <f>IF($B65="","",IFERROR(E65/COUNTIFS(الإدخال!$D$5:$D$644,$B65,الإدخال!$F$5:$F$644,"&lt;&gt;"),""))</f>
        <v/>
      </c>
      <c r="I65" s="126" t="str">
        <f>IF($B65="","",IFERROR(SUMIFS(الإدخال!$O$5:$O$644,الإدخال!$D$5:$D$644,$B65)/SUMIFS(الإدخال!$P$5:$P$644,الإدخال!$D$5:$D$644,$B65)/100,""))</f>
        <v/>
      </c>
      <c r="J65" s="130" t="str">
        <f t="shared" si="0"/>
        <v/>
      </c>
      <c r="K65" s="124" t="str">
        <f>IF($B65="","",SUMIFS(الإدخال!$H$5:$H$644,الإدخال!$D$5:$D$644,$B65,الإدخال!$N$5:$N$644,1))</f>
        <v/>
      </c>
      <c r="L65" s="130" t="str">
        <f t="shared" si="1"/>
        <v/>
      </c>
      <c r="M65" s="132" t="str" cm="1">
        <f t="array" ref="M65">IFERROR(_xlfn.AGGREGATE(15,6,(ROW(الطلاب!$D$5:$D$44)-ROW(الطلاب!$D$5)+1)/(الطلاب!$D$5:$D$44=$C$3),ROWS(M$29:M65)),"")</f>
        <v/>
      </c>
    </row>
    <row r="66" spans="1:13">
      <c r="A66" s="24"/>
      <c r="B66" s="130" t="str" cm="1">
        <f t="array" ref="B66">IF($M66="","",INDEX(الطلاب!$A$5:$A$44,$M66))</f>
        <v/>
      </c>
      <c r="C66" s="131" t="str" cm="1">
        <f t="array" ref="C66">IF($M66="","",INDEX(الطلاب!$B$5:$B$44,$M66))</f>
        <v/>
      </c>
      <c r="D66" s="130" t="str" cm="1">
        <f t="array" ref="D66">IF($M66="","",INDEX(الطلاب!$C$5:$C$44,$M66))</f>
        <v/>
      </c>
      <c r="E66" s="124" t="str">
        <f>IF($B66="","",SUMIFS(الإدخال!$N$5:$N$644,الإدخال!$D$5:$D$644,$B66))</f>
        <v/>
      </c>
      <c r="F66" s="124" t="str">
        <f>IF($B66="","",COUNTIFS(الإدخال!$D$5:$D$644,$B66,الإدخال!$F$5:$F$644,"غائب"))</f>
        <v/>
      </c>
      <c r="G66" s="124" t="str">
        <f>IF($B66="","",COUNTIFS(الإدخال!$D$5:$D$644,$B66,الإدخال!$F$5:$F$644,"معتذر"))</f>
        <v/>
      </c>
      <c r="H66" s="125" t="str">
        <f>IF($B66="","",IFERROR(E66/COUNTIFS(الإدخال!$D$5:$D$644,$B66,الإدخال!$F$5:$F$644,"&lt;&gt;"),""))</f>
        <v/>
      </c>
      <c r="I66" s="126" t="str">
        <f>IF($B66="","",IFERROR(SUMIFS(الإدخال!$O$5:$O$644,الإدخال!$D$5:$D$644,$B66)/SUMIFS(الإدخال!$P$5:$P$644,الإدخال!$D$5:$D$644,$B66)/100,""))</f>
        <v/>
      </c>
      <c r="J66" s="130" t="str">
        <f t="shared" si="0"/>
        <v/>
      </c>
      <c r="K66" s="124" t="str">
        <f>IF($B66="","",SUMIFS(الإدخال!$H$5:$H$644,الإدخال!$D$5:$D$644,$B66,الإدخال!$N$5:$N$644,1))</f>
        <v/>
      </c>
      <c r="L66" s="130" t="str">
        <f t="shared" si="1"/>
        <v/>
      </c>
      <c r="M66" s="132" t="str" cm="1">
        <f t="array" ref="M66">IFERROR(_xlfn.AGGREGATE(15,6,(ROW(الطلاب!$D$5:$D$44)-ROW(الطلاب!$D$5)+1)/(الطلاب!$D$5:$D$44=$C$3),ROWS(M$29:M66)),"")</f>
        <v/>
      </c>
    </row>
    <row r="67" spans="1:13">
      <c r="A67" s="24"/>
      <c r="B67" s="130" t="str" cm="1">
        <f t="array" ref="B67">IF($M67="","",INDEX(الطلاب!$A$5:$A$44,$M67))</f>
        <v/>
      </c>
      <c r="C67" s="131" t="str" cm="1">
        <f t="array" ref="C67">IF($M67="","",INDEX(الطلاب!$B$5:$B$44,$M67))</f>
        <v/>
      </c>
      <c r="D67" s="130" t="str" cm="1">
        <f t="array" ref="D67">IF($M67="","",INDEX(الطلاب!$C$5:$C$44,$M67))</f>
        <v/>
      </c>
      <c r="E67" s="124" t="str">
        <f>IF($B67="","",SUMIFS(الإدخال!$N$5:$N$644,الإدخال!$D$5:$D$644,$B67))</f>
        <v/>
      </c>
      <c r="F67" s="124" t="str">
        <f>IF($B67="","",COUNTIFS(الإدخال!$D$5:$D$644,$B67,الإدخال!$F$5:$F$644,"غائب"))</f>
        <v/>
      </c>
      <c r="G67" s="124" t="str">
        <f>IF($B67="","",COUNTIFS(الإدخال!$D$5:$D$644,$B67,الإدخال!$F$5:$F$644,"معتذر"))</f>
        <v/>
      </c>
      <c r="H67" s="125" t="str">
        <f>IF($B67="","",IFERROR(E67/COUNTIFS(الإدخال!$D$5:$D$644,$B67,الإدخال!$F$5:$F$644,"&lt;&gt;"),""))</f>
        <v/>
      </c>
      <c r="I67" s="126" t="str">
        <f>IF($B67="","",IFERROR(SUMIFS(الإدخال!$O$5:$O$644,الإدخال!$D$5:$D$644,$B67)/SUMIFS(الإدخال!$P$5:$P$644,الإدخال!$D$5:$D$644,$B67)/100,""))</f>
        <v/>
      </c>
      <c r="J67" s="130" t="str">
        <f t="shared" si="0"/>
        <v/>
      </c>
      <c r="K67" s="124" t="str">
        <f>IF($B67="","",SUMIFS(الإدخال!$H$5:$H$644,الإدخال!$D$5:$D$644,$B67,الإدخال!$N$5:$N$644,1))</f>
        <v/>
      </c>
      <c r="L67" s="130" t="str">
        <f t="shared" si="1"/>
        <v/>
      </c>
      <c r="M67" s="132" t="str" cm="1">
        <f t="array" ref="M67">IFERROR(_xlfn.AGGREGATE(15,6,(ROW(الطلاب!$D$5:$D$44)-ROW(الطلاب!$D$5)+1)/(الطلاب!$D$5:$D$44=$C$3),ROWS(M$29:M67)),"")</f>
        <v/>
      </c>
    </row>
    <row r="68" spans="1:13">
      <c r="A68" s="24"/>
      <c r="B68" s="127" t="str" cm="1">
        <f t="array" ref="B68">IF($M68="","",INDEX(الطلاب!$A$5:$A$44,$M68))</f>
        <v/>
      </c>
      <c r="C68" s="128" t="str" cm="1">
        <f t="array" ref="C68">IF($M68="","",INDEX(الطلاب!$B$5:$B$44,$M68))</f>
        <v/>
      </c>
      <c r="D68" s="127" t="str" cm="1">
        <f t="array" ref="D68">IF($M68="","",INDEX(الطلاب!$C$5:$C$44,$M68))</f>
        <v/>
      </c>
      <c r="E68" s="119" t="str">
        <f>IF($B68="","",SUMIFS(الإدخال!$N$5:$N$644,الإدخال!$D$5:$D$644,$B68))</f>
        <v/>
      </c>
      <c r="F68" s="119" t="str">
        <f>IF($B68="","",COUNTIFS(الإدخال!$D$5:$D$644,$B68,الإدخال!$F$5:$F$644,"غائب"))</f>
        <v/>
      </c>
      <c r="G68" s="119" t="str">
        <f>IF($B68="","",COUNTIFS(الإدخال!$D$5:$D$644,$B68,الإدخال!$F$5:$F$644,"معتذر"))</f>
        <v/>
      </c>
      <c r="H68" s="120" t="str">
        <f>IF($B68="","",IFERROR(E68/COUNTIFS(الإدخال!$D$5:$D$644,$B68,الإدخال!$F$5:$F$644,"&lt;&gt;"),""))</f>
        <v/>
      </c>
      <c r="I68" s="121" t="str">
        <f>IF($B68="","",IFERROR(SUMIFS(الإدخال!$O$5:$O$644,الإدخال!$D$5:$D$644,$B68)/SUMIFS(الإدخال!$P$5:$P$644,الإدخال!$D$5:$D$644,$B68)/100,""))</f>
        <v/>
      </c>
      <c r="J68" s="127" t="str">
        <f t="shared" si="0"/>
        <v/>
      </c>
      <c r="K68" s="119" t="str">
        <f>IF($B68="","",SUMIFS(الإدخال!$H$5:$H$644,الإدخال!$D$5:$D$644,$B68,الإدخال!$N$5:$N$644,1))</f>
        <v/>
      </c>
      <c r="L68" s="127" t="str">
        <f t="shared" si="1"/>
        <v/>
      </c>
      <c r="M68" s="129" t="str" cm="1">
        <f t="array" ref="M68">IFERROR(_xlfn.AGGREGATE(15,6,(ROW(الطلاب!$D$5:$D$44)-ROW(الطلاب!$D$5)+1)/(الطلاب!$D$5:$D$44=$C$3),ROWS(M$29:M68)),"")</f>
        <v/>
      </c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</sheetData>
  <sheetProtection algorithmName="SHA-512" hashValue="z6ndM3U57dGrwIg4ILJzqJ0OOC86CgpZYSgxWhzSwNvfzDG6vZodplUQe2HTTseVdyaecL7aHPpTNcvvkXdBLA==" saltValue="4bMukApz3vp3G9Nl/0Gq7g==" spinCount="100000" sheet="1" objects="1" scenarios="1"/>
  <mergeCells count="1">
    <mergeCell ref="C3:E3"/>
  </mergeCells>
  <conditionalFormatting sqref="B29:L68">
    <cfRule type="expression" dxfId="11" priority="1">
      <formula>AND($B29&lt;&gt;"",MOD(ROW(),2)=0)</formula>
    </cfRule>
  </conditionalFormatting>
  <conditionalFormatting sqref="J29:J68">
    <cfRule type="expression" dxfId="10" priority="2">
      <formula>$J29="يحتاج متابعة"</formula>
    </cfRule>
    <cfRule type="expression" dxfId="9" priority="3">
      <formula>$J29="ممتاز"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7D6B-BD25-1F47-BDEB-93A027325FC8}">
  <sheetPr codeName="ورقة11">
    <tabColor rgb="FF0D5A54"/>
    <pageSetUpPr fitToPage="1"/>
  </sheetPr>
  <dimension ref="A1:M70"/>
  <sheetViews>
    <sheetView showGridLines="0" rightToLeft="1" zoomScaleNormal="100" workbookViewId="0">
      <selection activeCell="R32" sqref="R32"/>
    </sheetView>
  </sheetViews>
  <sheetFormatPr defaultColWidth="8.7109375" defaultRowHeight="15"/>
  <cols>
    <col min="1" max="1" width="3" customWidth="1"/>
    <col min="2" max="2" width="12" customWidth="1"/>
    <col min="3" max="3" width="21.7109375" customWidth="1"/>
    <col min="4" max="4" width="15.85546875" customWidth="1"/>
    <col min="5" max="7" width="11" customWidth="1"/>
    <col min="8" max="9" width="13" customWidth="1"/>
    <col min="10" max="10" width="14.140625" customWidth="1"/>
    <col min="11" max="11" width="11.7109375" customWidth="1"/>
    <col min="12" max="13" width="10" customWidth="1"/>
    <col min="14" max="14" width="12" customWidth="1"/>
    <col min="15" max="15" width="13" customWidth="1"/>
  </cols>
  <sheetData>
    <row r="1" spans="1:13" ht="30" customHeight="1">
      <c r="A1" s="117" t="str">
        <f>"لوحة معلومات حلقة "&amp;TRIM($C$3)</f>
        <v>لوحة معلومات حلقة ابن رجب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>
      <c r="A2" s="61" t="s">
        <v>154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5.95">
      <c r="A3" s="24"/>
      <c r="B3" s="22" t="s">
        <v>155</v>
      </c>
      <c r="C3" s="167" t="str">
        <f>الإعدادات!$C$13</f>
        <v xml:space="preserve">ابن رجب </v>
      </c>
      <c r="D3" s="167"/>
      <c r="E3" s="167"/>
      <c r="F3" s="24"/>
      <c r="G3" s="24"/>
      <c r="H3" s="24"/>
      <c r="I3" s="24"/>
      <c r="J3" s="24"/>
      <c r="K3" s="24"/>
      <c r="L3" s="24"/>
      <c r="M3" s="24"/>
    </row>
    <row r="4" spans="1:13" ht="36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30" customHeight="1">
      <c r="A5" s="24"/>
      <c r="B5" s="14" t="s">
        <v>140</v>
      </c>
      <c r="C5" s="14" t="s">
        <v>145</v>
      </c>
      <c r="D5" s="14" t="s">
        <v>121</v>
      </c>
      <c r="E5" s="14" t="s">
        <v>122</v>
      </c>
      <c r="F5" s="14" t="s">
        <v>40</v>
      </c>
      <c r="G5" s="14" t="s">
        <v>38</v>
      </c>
      <c r="H5" s="14" t="s">
        <v>44</v>
      </c>
      <c r="I5" s="14" t="s">
        <v>61</v>
      </c>
      <c r="J5" s="13" t="s">
        <v>62</v>
      </c>
      <c r="K5" s="24"/>
      <c r="L5" s="24"/>
      <c r="M5" s="24"/>
    </row>
    <row r="6" spans="1:13" ht="32.1" customHeight="1">
      <c r="A6" s="24"/>
      <c r="B6" s="149">
        <f>COUNTIFS(الطلاب!$D$5:$D$44,$C$3)</f>
        <v>11</v>
      </c>
      <c r="C6" s="149">
        <f>SUMIFS(الإدخال!$N$5:$N$644,الإدخال!$C$5:$C$644,$C$3)</f>
        <v>16</v>
      </c>
      <c r="D6" s="149">
        <f>COUNTIFS(الإدخال!$C$5:$C$644,$C$3,الإدخال!$F$5:$F$644,"غائب")</f>
        <v>3</v>
      </c>
      <c r="E6" s="149">
        <f>COUNTIFS(الإدخال!$C$5:$C$644,$C$3,الإدخال!$F$5:$F$644,"معتذر")</f>
        <v>3</v>
      </c>
      <c r="F6" s="150">
        <f>IFERROR(C6/COUNTIFS(الإدخال!$C$5:$C$644,$C$3,الإدخال!$F$5:$F$644,"&lt;&gt;"),"")</f>
        <v>0.72727272727272729</v>
      </c>
      <c r="G6" s="150">
        <f>IFERROR(SUMIFS(الإدخال!$O$5:$O$644,الإدخال!$C$5:$C$644,$C$3)/SUMIFS(الإدخال!$P$5:$P$644,الإدخال!$C$5:$C$644,$C$3)/100,"")</f>
        <v>0.63545454545454549</v>
      </c>
      <c r="H6" s="151" t="str">
        <f>IF(G6="","",IF(G6&gt;=0.9,"ممتاز",IF(G6&gt;=0.8,"جيد جدًا",IF(G6&gt;=0.7,"جيد",IF(G6&gt;=0.6,"مقبول","يحتاج متابعة")))))</f>
        <v>مقبول</v>
      </c>
      <c r="I6" s="152">
        <f>SUMIFS(الإدخال!$H$5:$H$644,الإدخال!$C$5:$C$644,$C$3,الإدخال!$N$5:$N$644,1)</f>
        <v>49</v>
      </c>
      <c r="J6" s="152">
        <f>SUMIFS(الإدخال!$I$5:$I$644,الإدخال!$C$5:$C$644,$C$3,الإدخال!$N$5:$N$644,1)</f>
        <v>363</v>
      </c>
      <c r="K6" s="25"/>
      <c r="L6" s="24"/>
      <c r="M6" s="24"/>
    </row>
    <row r="7" spans="1:13">
      <c r="A7" s="24"/>
      <c r="B7" s="118"/>
      <c r="C7" s="118"/>
      <c r="D7" s="118"/>
      <c r="E7" s="118"/>
      <c r="F7" s="118"/>
      <c r="G7" s="118"/>
      <c r="H7" s="118"/>
      <c r="I7" s="118"/>
      <c r="J7" s="118"/>
      <c r="K7" s="24"/>
      <c r="L7" s="24"/>
      <c r="M7" s="24"/>
    </row>
    <row r="8" spans="1:13" ht="36" customHeight="1">
      <c r="A8" s="24"/>
      <c r="B8" s="21" t="s">
        <v>150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24" customHeight="1">
      <c r="A9" s="24"/>
      <c r="B9" s="14" t="s">
        <v>56</v>
      </c>
      <c r="C9" s="14" t="s">
        <v>151</v>
      </c>
      <c r="D9" s="14" t="s">
        <v>125</v>
      </c>
      <c r="E9" s="14" t="s">
        <v>121</v>
      </c>
      <c r="F9" s="14" t="s">
        <v>122</v>
      </c>
      <c r="G9" s="14" t="s">
        <v>40</v>
      </c>
      <c r="H9" s="13" t="s">
        <v>38</v>
      </c>
      <c r="I9" s="24"/>
      <c r="J9" s="24"/>
      <c r="K9" s="24"/>
      <c r="L9" s="24"/>
      <c r="M9" s="24"/>
    </row>
    <row r="10" spans="1:13">
      <c r="A10" s="24"/>
      <c r="B10" s="153">
        <f>IF(ROWS($B$10:B10)&gt;الإعدادات!$C$5,"",ROWS($B$10:B10))</f>
        <v>1</v>
      </c>
      <c r="C10" s="154" t="str">
        <f>IF(OR($B10="",الإعدادات!$C$4=""),"",الإعدادات!$C$4+($B10-1)*7)</f>
        <v/>
      </c>
      <c r="D10" s="155">
        <f>IF($B10="","",SUMIFS(الإدخال!$N$5:$N$644,الإدخال!$A$5:$A$644,$B10,الإدخال!$C$5:$C$644,$C$3))</f>
        <v>9</v>
      </c>
      <c r="E10" s="155">
        <f>IF($B10="","",COUNTIFS(الإدخال!$A$5:$A$644,$B10,الإدخال!$C$5:$C$644,$C$3,الإدخال!$F$5:$F$644,"غائب"))</f>
        <v>0</v>
      </c>
      <c r="F10" s="155">
        <f>IF($B10="","",COUNTIFS(الإدخال!$A$5:$A$644,$B10,الإدخال!$C$5:$C$644,$C$3,الإدخال!$F$5:$F$644,"معتذر"))</f>
        <v>2</v>
      </c>
      <c r="G10" s="156">
        <f>IF($B10="","",IFERROR(D10/COUNTIFS(الإدخال!$A$5:$A$644,$B10,الإدخال!$C$5:$C$644,$C$3,الإدخال!$F$5:$F$644,"&lt;&gt;"),""))</f>
        <v>0.81818181818181823</v>
      </c>
      <c r="H10" s="157">
        <f>IF($B10="","",IFERROR(SUMIFS(الإدخال!$O$5:$O$644,الإدخال!$A$5:$A$644,$B10,الإدخال!$C$5:$C$644,$C$3)/SUMIFS(الإدخال!$P$5:$P$644,الإدخال!$A$5:$A$644,$B10,الإدخال!$C$5:$C$644,$C$3)/100,""))</f>
        <v>0.75090909090909097</v>
      </c>
      <c r="I10" s="25"/>
      <c r="J10" s="24"/>
      <c r="K10" s="24"/>
      <c r="L10" s="24"/>
      <c r="M10" s="24"/>
    </row>
    <row r="11" spans="1:13">
      <c r="A11" s="24"/>
      <c r="B11" s="122">
        <f>IF(ROWS($B$10:B11)&gt;الإعدادات!$C$5,"",ROWS($B$10:B11))</f>
        <v>2</v>
      </c>
      <c r="C11" s="123" t="str">
        <f>IF(OR($B11="",الإعدادات!$C$4=""),"",الإعدادات!$C$4+($B11-1)*7)</f>
        <v/>
      </c>
      <c r="D11" s="124">
        <f>IF($B11="","",SUMIFS(الإدخال!$N$5:$N$644,الإدخال!$A$5:$A$644,$B11,الإدخال!$C$5:$C$644,$C$3))</f>
        <v>7</v>
      </c>
      <c r="E11" s="124">
        <f>IF($B11="","",COUNTIFS(الإدخال!$A$5:$A$644,$B11,الإدخال!$C$5:$C$644,$C$3,الإدخال!$F$5:$F$644,"غائب"))</f>
        <v>3</v>
      </c>
      <c r="F11" s="124">
        <f>IF($B11="","",COUNTIFS(الإدخال!$A$5:$A$644,$B11,الإدخال!$C$5:$C$644,$C$3,الإدخال!$F$5:$F$644,"معتذر"))</f>
        <v>1</v>
      </c>
      <c r="G11" s="125">
        <f>IF($B11="","",IFERROR(D11/COUNTIFS(الإدخال!$A$5:$A$644,$B11,الإدخال!$C$5:$C$644,$C$3,الإدخال!$F$5:$F$644,"&lt;&gt;"),""))</f>
        <v>0.63636363636363635</v>
      </c>
      <c r="H11" s="126">
        <f>IF($B11="","",IFERROR(SUMIFS(الإدخال!$O$5:$O$644,الإدخال!$A$5:$A$644,$B11,الإدخال!$C$5:$C$644,$C$3)/SUMIFS(الإدخال!$P$5:$P$644,الإدخال!$A$5:$A$644,$B11,الإدخال!$C$5:$C$644,$C$3)/100,""))</f>
        <v>0.52</v>
      </c>
      <c r="I11" s="25"/>
      <c r="J11" s="24"/>
      <c r="K11" s="24"/>
      <c r="L11" s="24"/>
      <c r="M11" s="24"/>
    </row>
    <row r="12" spans="1:13">
      <c r="A12" s="24"/>
      <c r="B12" s="122">
        <f>IF(ROWS($B$10:B12)&gt;الإعدادات!$C$5,"",ROWS($B$10:B12))</f>
        <v>3</v>
      </c>
      <c r="C12" s="123" t="str">
        <f>IF(OR($B12="",الإعدادات!$C$4=""),"",الإعدادات!$C$4+($B12-1)*7)</f>
        <v/>
      </c>
      <c r="D12" s="124">
        <f>IF($B12="","",SUMIFS(الإدخال!$N$5:$N$644,الإدخال!$A$5:$A$644,$B12,الإدخال!$C$5:$C$644,$C$3))</f>
        <v>0</v>
      </c>
      <c r="E12" s="124">
        <f>IF($B12="","",COUNTIFS(الإدخال!$A$5:$A$644,$B12,الإدخال!$C$5:$C$644,$C$3,الإدخال!$F$5:$F$644,"غائب"))</f>
        <v>0</v>
      </c>
      <c r="F12" s="124">
        <f>IF($B12="","",COUNTIFS(الإدخال!$A$5:$A$644,$B12,الإدخال!$C$5:$C$644,$C$3,الإدخال!$F$5:$F$644,"معتذر"))</f>
        <v>0</v>
      </c>
      <c r="G12" s="125" t="str">
        <f>IF($B12="","",IFERROR(D12/COUNTIFS(الإدخال!$A$5:$A$644,$B12,الإدخال!$C$5:$C$644,$C$3,الإدخال!$F$5:$F$644,"&lt;&gt;"),""))</f>
        <v/>
      </c>
      <c r="H12" s="126" t="str">
        <f>IF($B12="","",IFERROR(SUMIFS(الإدخال!$O$5:$O$644,الإدخال!$A$5:$A$644,$B12,الإدخال!$C$5:$C$644,$C$3)/SUMIFS(الإدخال!$P$5:$P$644,الإدخال!$A$5:$A$644,$B12,الإدخال!$C$5:$C$644,$C$3)/100,""))</f>
        <v/>
      </c>
      <c r="I12" s="25"/>
      <c r="J12" s="24"/>
      <c r="K12" s="24"/>
      <c r="L12" s="24"/>
      <c r="M12" s="24"/>
    </row>
    <row r="13" spans="1:13">
      <c r="A13" s="24"/>
      <c r="B13" s="122">
        <f>IF(ROWS($B$10:B13)&gt;الإعدادات!$C$5,"",ROWS($B$10:B13))</f>
        <v>4</v>
      </c>
      <c r="C13" s="123" t="str">
        <f>IF(OR($B13="",الإعدادات!$C$4=""),"",الإعدادات!$C$4+($B13-1)*7)</f>
        <v/>
      </c>
      <c r="D13" s="124">
        <f>IF($B13="","",SUMIFS(الإدخال!$N$5:$N$644,الإدخال!$A$5:$A$644,$B13,الإدخال!$C$5:$C$644,$C$3))</f>
        <v>0</v>
      </c>
      <c r="E13" s="124">
        <f>IF($B13="","",COUNTIFS(الإدخال!$A$5:$A$644,$B13,الإدخال!$C$5:$C$644,$C$3,الإدخال!$F$5:$F$644,"غائب"))</f>
        <v>0</v>
      </c>
      <c r="F13" s="124">
        <f>IF($B13="","",COUNTIFS(الإدخال!$A$5:$A$644,$B13,الإدخال!$C$5:$C$644,$C$3,الإدخال!$F$5:$F$644,"معتذر"))</f>
        <v>0</v>
      </c>
      <c r="G13" s="125" t="str">
        <f>IF($B13="","",IFERROR(D13/COUNTIFS(الإدخال!$A$5:$A$644,$B13,الإدخال!$C$5:$C$644,$C$3,الإدخال!$F$5:$F$644,"&lt;&gt;"),""))</f>
        <v/>
      </c>
      <c r="H13" s="126" t="str">
        <f>IF($B13="","",IFERROR(SUMIFS(الإدخال!$O$5:$O$644,الإدخال!$A$5:$A$644,$B13,الإدخال!$C$5:$C$644,$C$3)/SUMIFS(الإدخال!$P$5:$P$644,الإدخال!$A$5:$A$644,$B13,الإدخال!$C$5:$C$644,$C$3)/100,""))</f>
        <v/>
      </c>
      <c r="I13" s="25"/>
      <c r="J13" s="24"/>
      <c r="K13" s="24"/>
      <c r="L13" s="24"/>
      <c r="M13" s="24"/>
    </row>
    <row r="14" spans="1:13">
      <c r="A14" s="24"/>
      <c r="B14" s="122">
        <f>IF(ROWS($B$10:B14)&gt;الإعدادات!$C$5,"",ROWS($B$10:B14))</f>
        <v>5</v>
      </c>
      <c r="C14" s="123" t="str">
        <f>IF(OR($B14="",الإعدادات!$C$4=""),"",الإعدادات!$C$4+($B14-1)*7)</f>
        <v/>
      </c>
      <c r="D14" s="124">
        <f>IF($B14="","",SUMIFS(الإدخال!$N$5:$N$644,الإدخال!$A$5:$A$644,$B14,الإدخال!$C$5:$C$644,$C$3))</f>
        <v>0</v>
      </c>
      <c r="E14" s="124">
        <f>IF($B14="","",COUNTIFS(الإدخال!$A$5:$A$644,$B14,الإدخال!$C$5:$C$644,$C$3,الإدخال!$F$5:$F$644,"غائب"))</f>
        <v>0</v>
      </c>
      <c r="F14" s="124">
        <f>IF($B14="","",COUNTIFS(الإدخال!$A$5:$A$644,$B14,الإدخال!$C$5:$C$644,$C$3,الإدخال!$F$5:$F$644,"معتذر"))</f>
        <v>0</v>
      </c>
      <c r="G14" s="125" t="str">
        <f>IF($B14="","",IFERROR(D14/COUNTIFS(الإدخال!$A$5:$A$644,$B14,الإدخال!$C$5:$C$644,$C$3,الإدخال!$F$5:$F$644,"&lt;&gt;"),""))</f>
        <v/>
      </c>
      <c r="H14" s="126" t="str">
        <f>IF($B14="","",IFERROR(SUMIFS(الإدخال!$O$5:$O$644,الإدخال!$A$5:$A$644,$B14,الإدخال!$C$5:$C$644,$C$3)/SUMIFS(الإدخال!$P$5:$P$644,الإدخال!$A$5:$A$644,$B14,الإدخال!$C$5:$C$644,$C$3)/100,""))</f>
        <v/>
      </c>
      <c r="I14" s="25"/>
      <c r="J14" s="24"/>
      <c r="K14" s="24"/>
      <c r="L14" s="24"/>
      <c r="M14" s="24"/>
    </row>
    <row r="15" spans="1:13">
      <c r="A15" s="24"/>
      <c r="B15" s="122">
        <f>IF(ROWS($B$10:B15)&gt;الإعدادات!$C$5,"",ROWS($B$10:B15))</f>
        <v>6</v>
      </c>
      <c r="C15" s="123" t="str">
        <f>IF(OR($B15="",الإعدادات!$C$4=""),"",الإعدادات!$C$4+($B15-1)*7)</f>
        <v/>
      </c>
      <c r="D15" s="124">
        <f>IF($B15="","",SUMIFS(الإدخال!$N$5:$N$644,الإدخال!$A$5:$A$644,$B15,الإدخال!$C$5:$C$644,$C$3))</f>
        <v>0</v>
      </c>
      <c r="E15" s="124">
        <f>IF($B15="","",COUNTIFS(الإدخال!$A$5:$A$644,$B15,الإدخال!$C$5:$C$644,$C$3,الإدخال!$F$5:$F$644,"غائب"))</f>
        <v>0</v>
      </c>
      <c r="F15" s="124">
        <f>IF($B15="","",COUNTIFS(الإدخال!$A$5:$A$644,$B15,الإدخال!$C$5:$C$644,$C$3,الإدخال!$F$5:$F$644,"معتذر"))</f>
        <v>0</v>
      </c>
      <c r="G15" s="125" t="str">
        <f>IF($B15="","",IFERROR(D15/COUNTIFS(الإدخال!$A$5:$A$644,$B15,الإدخال!$C$5:$C$644,$C$3,الإدخال!$F$5:$F$644,"&lt;&gt;"),""))</f>
        <v/>
      </c>
      <c r="H15" s="126" t="str">
        <f>IF($B15="","",IFERROR(SUMIFS(الإدخال!$O$5:$O$644,الإدخال!$A$5:$A$644,$B15,الإدخال!$C$5:$C$644,$C$3)/SUMIFS(الإدخال!$P$5:$P$644,الإدخال!$A$5:$A$644,$B15,الإدخال!$C$5:$C$644,$C$3)/100,""))</f>
        <v/>
      </c>
      <c r="I15" s="25"/>
      <c r="J15" s="24"/>
      <c r="K15" s="24"/>
      <c r="L15" s="24"/>
      <c r="M15" s="24"/>
    </row>
    <row r="16" spans="1:13">
      <c r="A16" s="24"/>
      <c r="B16" s="122">
        <f>IF(ROWS($B$10:B16)&gt;الإعدادات!$C$5,"",ROWS($B$10:B16))</f>
        <v>7</v>
      </c>
      <c r="C16" s="123" t="str">
        <f>IF(OR($B16="",الإعدادات!$C$4=""),"",الإعدادات!$C$4+($B16-1)*7)</f>
        <v/>
      </c>
      <c r="D16" s="124">
        <f>IF($B16="","",SUMIFS(الإدخال!$N$5:$N$644,الإدخال!$A$5:$A$644,$B16,الإدخال!$C$5:$C$644,$C$3))</f>
        <v>0</v>
      </c>
      <c r="E16" s="124">
        <f>IF($B16="","",COUNTIFS(الإدخال!$A$5:$A$644,$B16,الإدخال!$C$5:$C$644,$C$3,الإدخال!$F$5:$F$644,"غائب"))</f>
        <v>0</v>
      </c>
      <c r="F16" s="124">
        <f>IF($B16="","",COUNTIFS(الإدخال!$A$5:$A$644,$B16,الإدخال!$C$5:$C$644,$C$3,الإدخال!$F$5:$F$644,"معتذر"))</f>
        <v>0</v>
      </c>
      <c r="G16" s="125" t="str">
        <f>IF($B16="","",IFERROR(D16/COUNTIFS(الإدخال!$A$5:$A$644,$B16,الإدخال!$C$5:$C$644,$C$3,الإدخال!$F$5:$F$644,"&lt;&gt;"),""))</f>
        <v/>
      </c>
      <c r="H16" s="126" t="str">
        <f>IF($B16="","",IFERROR(SUMIFS(الإدخال!$O$5:$O$644,الإدخال!$A$5:$A$644,$B16,الإدخال!$C$5:$C$644,$C$3)/SUMIFS(الإدخال!$P$5:$P$644,الإدخال!$A$5:$A$644,$B16,الإدخال!$C$5:$C$644,$C$3)/100,""))</f>
        <v/>
      </c>
      <c r="I16" s="25"/>
      <c r="J16" s="24"/>
      <c r="K16" s="24"/>
      <c r="L16" s="24"/>
      <c r="M16" s="24"/>
    </row>
    <row r="17" spans="1:13">
      <c r="A17" s="24"/>
      <c r="B17" s="122">
        <f>IF(ROWS($B$10:B17)&gt;الإعدادات!$C$5,"",ROWS($B$10:B17))</f>
        <v>8</v>
      </c>
      <c r="C17" s="123" t="str">
        <f>IF(OR($B17="",الإعدادات!$C$4=""),"",الإعدادات!$C$4+($B17-1)*7)</f>
        <v/>
      </c>
      <c r="D17" s="124">
        <f>IF($B17="","",SUMIFS(الإدخال!$N$5:$N$644,الإدخال!$A$5:$A$644,$B17,الإدخال!$C$5:$C$644,$C$3))</f>
        <v>0</v>
      </c>
      <c r="E17" s="124">
        <f>IF($B17="","",COUNTIFS(الإدخال!$A$5:$A$644,$B17,الإدخال!$C$5:$C$644,$C$3,الإدخال!$F$5:$F$644,"غائب"))</f>
        <v>0</v>
      </c>
      <c r="F17" s="124">
        <f>IF($B17="","",COUNTIFS(الإدخال!$A$5:$A$644,$B17,الإدخال!$C$5:$C$644,$C$3,الإدخال!$F$5:$F$644,"معتذر"))</f>
        <v>0</v>
      </c>
      <c r="G17" s="125" t="str">
        <f>IF($B17="","",IFERROR(D17/COUNTIFS(الإدخال!$A$5:$A$644,$B17,الإدخال!$C$5:$C$644,$C$3,الإدخال!$F$5:$F$644,"&lt;&gt;"),""))</f>
        <v/>
      </c>
      <c r="H17" s="126" t="str">
        <f>IF($B17="","",IFERROR(SUMIFS(الإدخال!$O$5:$O$644,الإدخال!$A$5:$A$644,$B17,الإدخال!$C$5:$C$644,$C$3)/SUMIFS(الإدخال!$P$5:$P$644,الإدخال!$A$5:$A$644,$B17,الإدخال!$C$5:$C$644,$C$3)/100,""))</f>
        <v/>
      </c>
      <c r="I17" s="25"/>
      <c r="J17" s="24"/>
      <c r="K17" s="24"/>
      <c r="L17" s="24"/>
      <c r="M17" s="24"/>
    </row>
    <row r="18" spans="1:13">
      <c r="A18" s="24"/>
      <c r="B18" s="122">
        <f>IF(ROWS($B$10:B18)&gt;الإعدادات!$C$5,"",ROWS($B$10:B18))</f>
        <v>9</v>
      </c>
      <c r="C18" s="123" t="str">
        <f>IF(OR($B18="",الإعدادات!$C$4=""),"",الإعدادات!$C$4+($B18-1)*7)</f>
        <v/>
      </c>
      <c r="D18" s="124">
        <f>IF($B18="","",SUMIFS(الإدخال!$N$5:$N$644,الإدخال!$A$5:$A$644,$B18,الإدخال!$C$5:$C$644,$C$3))</f>
        <v>0</v>
      </c>
      <c r="E18" s="124">
        <f>IF($B18="","",COUNTIFS(الإدخال!$A$5:$A$644,$B18,الإدخال!$C$5:$C$644,$C$3,الإدخال!$F$5:$F$644,"غائب"))</f>
        <v>0</v>
      </c>
      <c r="F18" s="124">
        <f>IF($B18="","",COUNTIFS(الإدخال!$A$5:$A$644,$B18,الإدخال!$C$5:$C$644,$C$3,الإدخال!$F$5:$F$644,"معتذر"))</f>
        <v>0</v>
      </c>
      <c r="G18" s="125" t="str">
        <f>IF($B18="","",IFERROR(D18/COUNTIFS(الإدخال!$A$5:$A$644,$B18,الإدخال!$C$5:$C$644,$C$3,الإدخال!$F$5:$F$644,"&lt;&gt;"),""))</f>
        <v/>
      </c>
      <c r="H18" s="126" t="str">
        <f>IF($B18="","",IFERROR(SUMIFS(الإدخال!$O$5:$O$644,الإدخال!$A$5:$A$644,$B18,الإدخال!$C$5:$C$644,$C$3)/SUMIFS(الإدخال!$P$5:$P$644,الإدخال!$A$5:$A$644,$B18,الإدخال!$C$5:$C$644,$C$3)/100,""))</f>
        <v/>
      </c>
      <c r="I18" s="25"/>
      <c r="J18" s="24"/>
      <c r="K18" s="24"/>
      <c r="L18" s="24"/>
      <c r="M18" s="24"/>
    </row>
    <row r="19" spans="1:13">
      <c r="A19" s="24"/>
      <c r="B19" s="122">
        <f>IF(ROWS($B$10:B19)&gt;الإعدادات!$C$5,"",ROWS($B$10:B19))</f>
        <v>10</v>
      </c>
      <c r="C19" s="123" t="str">
        <f>IF(OR($B19="",الإعدادات!$C$4=""),"",الإعدادات!$C$4+($B19-1)*7)</f>
        <v/>
      </c>
      <c r="D19" s="124">
        <f>IF($B19="","",SUMIFS(الإدخال!$N$5:$N$644,الإدخال!$A$5:$A$644,$B19,الإدخال!$C$5:$C$644,$C$3))</f>
        <v>0</v>
      </c>
      <c r="E19" s="124">
        <f>IF($B19="","",COUNTIFS(الإدخال!$A$5:$A$644,$B19,الإدخال!$C$5:$C$644,$C$3,الإدخال!$F$5:$F$644,"غائب"))</f>
        <v>0</v>
      </c>
      <c r="F19" s="124">
        <f>IF($B19="","",COUNTIFS(الإدخال!$A$5:$A$644,$B19,الإدخال!$C$5:$C$644,$C$3,الإدخال!$F$5:$F$644,"معتذر"))</f>
        <v>0</v>
      </c>
      <c r="G19" s="125" t="str">
        <f>IF($B19="","",IFERROR(D19/COUNTIFS(الإدخال!$A$5:$A$644,$B19,الإدخال!$C$5:$C$644,$C$3,الإدخال!$F$5:$F$644,"&lt;&gt;"),""))</f>
        <v/>
      </c>
      <c r="H19" s="126" t="str">
        <f>IF($B19="","",IFERROR(SUMIFS(الإدخال!$O$5:$O$644,الإدخال!$A$5:$A$644,$B19,الإدخال!$C$5:$C$644,$C$3)/SUMIFS(الإدخال!$P$5:$P$644,الإدخال!$A$5:$A$644,$B19,الإدخال!$C$5:$C$644,$C$3)/100,""))</f>
        <v/>
      </c>
      <c r="I19" s="25"/>
      <c r="J19" s="24"/>
      <c r="K19" s="24"/>
      <c r="L19" s="24"/>
      <c r="M19" s="24"/>
    </row>
    <row r="20" spans="1:13">
      <c r="A20" s="24"/>
      <c r="B20" s="122">
        <f>IF(ROWS($B$10:B20)&gt;الإعدادات!$C$5,"",ROWS($B$10:B20))</f>
        <v>11</v>
      </c>
      <c r="C20" s="123" t="str">
        <f>IF(OR($B20="",الإعدادات!$C$4=""),"",الإعدادات!$C$4+($B20-1)*7)</f>
        <v/>
      </c>
      <c r="D20" s="124">
        <f>IF($B20="","",SUMIFS(الإدخال!$N$5:$N$644,الإدخال!$A$5:$A$644,$B20,الإدخال!$C$5:$C$644,$C$3))</f>
        <v>0</v>
      </c>
      <c r="E20" s="124">
        <f>IF($B20="","",COUNTIFS(الإدخال!$A$5:$A$644,$B20,الإدخال!$C$5:$C$644,$C$3,الإدخال!$F$5:$F$644,"غائب"))</f>
        <v>0</v>
      </c>
      <c r="F20" s="124">
        <f>IF($B20="","",COUNTIFS(الإدخال!$A$5:$A$644,$B20,الإدخال!$C$5:$C$644,$C$3,الإدخال!$F$5:$F$644,"معتذر"))</f>
        <v>0</v>
      </c>
      <c r="G20" s="125" t="str">
        <f>IF($B20="","",IFERROR(D20/COUNTIFS(الإدخال!$A$5:$A$644,$B20,الإدخال!$C$5:$C$644,$C$3,الإدخال!$F$5:$F$644,"&lt;&gt;"),""))</f>
        <v/>
      </c>
      <c r="H20" s="126" t="str">
        <f>IF($B20="","",IFERROR(SUMIFS(الإدخال!$O$5:$O$644,الإدخال!$A$5:$A$644,$B20,الإدخال!$C$5:$C$644,$C$3)/SUMIFS(الإدخال!$P$5:$P$644,الإدخال!$A$5:$A$644,$B20,الإدخال!$C$5:$C$644,$C$3)/100,""))</f>
        <v/>
      </c>
      <c r="I20" s="25"/>
      <c r="J20" s="24"/>
      <c r="K20" s="24"/>
      <c r="L20" s="24"/>
      <c r="M20" s="24"/>
    </row>
    <row r="21" spans="1:13">
      <c r="A21" s="24"/>
      <c r="B21" s="122">
        <f>IF(ROWS($B$10:B21)&gt;الإعدادات!$C$5,"",ROWS($B$10:B21))</f>
        <v>12</v>
      </c>
      <c r="C21" s="123" t="str">
        <f>IF(OR($B21="",الإعدادات!$C$4=""),"",الإعدادات!$C$4+($B21-1)*7)</f>
        <v/>
      </c>
      <c r="D21" s="124">
        <f>IF($B21="","",SUMIFS(الإدخال!$N$5:$N$644,الإدخال!$A$5:$A$644,$B21,الإدخال!$C$5:$C$644,$C$3))</f>
        <v>0</v>
      </c>
      <c r="E21" s="124">
        <f>IF($B21="","",COUNTIFS(الإدخال!$A$5:$A$644,$B21,الإدخال!$C$5:$C$644,$C$3,الإدخال!$F$5:$F$644,"غائب"))</f>
        <v>0</v>
      </c>
      <c r="F21" s="124">
        <f>IF($B21="","",COUNTIFS(الإدخال!$A$5:$A$644,$B21,الإدخال!$C$5:$C$644,$C$3,الإدخال!$F$5:$F$644,"معتذر"))</f>
        <v>0</v>
      </c>
      <c r="G21" s="125" t="str">
        <f>IF($B21="","",IFERROR(D21/COUNTIFS(الإدخال!$A$5:$A$644,$B21,الإدخال!$C$5:$C$644,$C$3,الإدخال!$F$5:$F$644,"&lt;&gt;"),""))</f>
        <v/>
      </c>
      <c r="H21" s="126" t="str">
        <f>IF($B21="","",IFERROR(SUMIFS(الإدخال!$O$5:$O$644,الإدخال!$A$5:$A$644,$B21,الإدخال!$C$5:$C$644,$C$3)/SUMIFS(الإدخال!$P$5:$P$644,الإدخال!$A$5:$A$644,$B21,الإدخال!$C$5:$C$644,$C$3)/100,""))</f>
        <v/>
      </c>
      <c r="I21" s="25"/>
      <c r="J21" s="24"/>
      <c r="K21" s="24"/>
      <c r="L21" s="24"/>
      <c r="M21" s="24"/>
    </row>
    <row r="22" spans="1:13">
      <c r="A22" s="24"/>
      <c r="B22" s="122">
        <f>IF(ROWS($B$10:B22)&gt;الإعدادات!$C$5,"",ROWS($B$10:B22))</f>
        <v>13</v>
      </c>
      <c r="C22" s="123" t="str">
        <f>IF(OR($B22="",الإعدادات!$C$4=""),"",الإعدادات!$C$4+($B22-1)*7)</f>
        <v/>
      </c>
      <c r="D22" s="124">
        <f>IF($B22="","",SUMIFS(الإدخال!$N$5:$N$644,الإدخال!$A$5:$A$644,$B22,الإدخال!$C$5:$C$644,$C$3))</f>
        <v>0</v>
      </c>
      <c r="E22" s="124">
        <f>IF($B22="","",COUNTIFS(الإدخال!$A$5:$A$644,$B22,الإدخال!$C$5:$C$644,$C$3,الإدخال!$F$5:$F$644,"غائب"))</f>
        <v>0</v>
      </c>
      <c r="F22" s="124">
        <f>IF($B22="","",COUNTIFS(الإدخال!$A$5:$A$644,$B22,الإدخال!$C$5:$C$644,$C$3,الإدخال!$F$5:$F$644,"معتذر"))</f>
        <v>0</v>
      </c>
      <c r="G22" s="125" t="str">
        <f>IF($B22="","",IFERROR(D22/COUNTIFS(الإدخال!$A$5:$A$644,$B22,الإدخال!$C$5:$C$644,$C$3,الإدخال!$F$5:$F$644,"&lt;&gt;"),""))</f>
        <v/>
      </c>
      <c r="H22" s="126" t="str">
        <f>IF($B22="","",IFERROR(SUMIFS(الإدخال!$O$5:$O$644,الإدخال!$A$5:$A$644,$B22,الإدخال!$C$5:$C$644,$C$3)/SUMIFS(الإدخال!$P$5:$P$644,الإدخال!$A$5:$A$644,$B22,الإدخال!$C$5:$C$644,$C$3)/100,""))</f>
        <v/>
      </c>
      <c r="I22" s="25"/>
      <c r="J22" s="24"/>
      <c r="K22" s="24"/>
      <c r="L22" s="24"/>
      <c r="M22" s="24"/>
    </row>
    <row r="23" spans="1:13">
      <c r="A23" s="24"/>
      <c r="B23" s="122">
        <f>IF(ROWS($B$10:B23)&gt;الإعدادات!$C$5,"",ROWS($B$10:B23))</f>
        <v>14</v>
      </c>
      <c r="C23" s="123" t="str">
        <f>IF(OR($B23="",الإعدادات!$C$4=""),"",الإعدادات!$C$4+($B23-1)*7)</f>
        <v/>
      </c>
      <c r="D23" s="124">
        <f>IF($B23="","",SUMIFS(الإدخال!$N$5:$N$644,الإدخال!$A$5:$A$644,$B23,الإدخال!$C$5:$C$644,$C$3))</f>
        <v>0</v>
      </c>
      <c r="E23" s="124">
        <f>IF($B23="","",COUNTIFS(الإدخال!$A$5:$A$644,$B23,الإدخال!$C$5:$C$644,$C$3,الإدخال!$F$5:$F$644,"غائب"))</f>
        <v>0</v>
      </c>
      <c r="F23" s="124">
        <f>IF($B23="","",COUNTIFS(الإدخال!$A$5:$A$644,$B23,الإدخال!$C$5:$C$644,$C$3,الإدخال!$F$5:$F$644,"معتذر"))</f>
        <v>0</v>
      </c>
      <c r="G23" s="125" t="str">
        <f>IF($B23="","",IFERROR(D23/COUNTIFS(الإدخال!$A$5:$A$644,$B23,الإدخال!$C$5:$C$644,$C$3,الإدخال!$F$5:$F$644,"&lt;&gt;"),""))</f>
        <v/>
      </c>
      <c r="H23" s="126" t="str">
        <f>IF($B23="","",IFERROR(SUMIFS(الإدخال!$O$5:$O$644,الإدخال!$A$5:$A$644,$B23,الإدخال!$C$5:$C$644,$C$3)/SUMIFS(الإدخال!$P$5:$P$644,الإدخال!$A$5:$A$644,$B23,الإدخال!$C$5:$C$644,$C$3)/100,""))</f>
        <v/>
      </c>
      <c r="I23" s="25"/>
      <c r="J23" s="24"/>
      <c r="K23" s="24"/>
      <c r="L23" s="24"/>
      <c r="M23" s="24"/>
    </row>
    <row r="24" spans="1:13">
      <c r="A24" s="24"/>
      <c r="B24" s="122">
        <f>IF(ROWS($B$10:B24)&gt;الإعدادات!$C$5,"",ROWS($B$10:B24))</f>
        <v>15</v>
      </c>
      <c r="C24" s="123" t="str">
        <f>IF(OR($B24="",الإعدادات!$C$4=""),"",الإعدادات!$C$4+($B24-1)*7)</f>
        <v/>
      </c>
      <c r="D24" s="124">
        <f>IF($B24="","",SUMIFS(الإدخال!$N$5:$N$644,الإدخال!$A$5:$A$644,$B24,الإدخال!$C$5:$C$644,$C$3))</f>
        <v>0</v>
      </c>
      <c r="E24" s="124">
        <f>IF($B24="","",COUNTIFS(الإدخال!$A$5:$A$644,$B24,الإدخال!$C$5:$C$644,$C$3,الإدخال!$F$5:$F$644,"غائب"))</f>
        <v>0</v>
      </c>
      <c r="F24" s="124">
        <f>IF($B24="","",COUNTIFS(الإدخال!$A$5:$A$644,$B24,الإدخال!$C$5:$C$644,$C$3,الإدخال!$F$5:$F$644,"معتذر"))</f>
        <v>0</v>
      </c>
      <c r="G24" s="125" t="str">
        <f>IF($B24="","",IFERROR(D24/COUNTIFS(الإدخال!$A$5:$A$644,$B24,الإدخال!$C$5:$C$644,$C$3,الإدخال!$F$5:$F$644,"&lt;&gt;"),""))</f>
        <v/>
      </c>
      <c r="H24" s="126" t="str">
        <f>IF($B24="","",IFERROR(SUMIFS(الإدخال!$O$5:$O$644,الإدخال!$A$5:$A$644,$B24,الإدخال!$C$5:$C$644,$C$3)/SUMIFS(الإدخال!$P$5:$P$644,الإدخال!$A$5:$A$644,$B24,الإدخال!$C$5:$C$644,$C$3)/100,""))</f>
        <v/>
      </c>
      <c r="I24" s="25"/>
      <c r="J24" s="24"/>
      <c r="K24" s="24"/>
      <c r="L24" s="24"/>
      <c r="M24" s="24"/>
    </row>
    <row r="25" spans="1:13">
      <c r="A25" s="24"/>
      <c r="B25" s="122">
        <f>IF(ROWS($B$10:B25)&gt;الإعدادات!$C$5,"",ROWS($B$10:B25))</f>
        <v>16</v>
      </c>
      <c r="C25" s="123" t="str">
        <f>IF(OR($B25="",الإعدادات!$C$4=""),"",الإعدادات!$C$4+($B25-1)*7)</f>
        <v/>
      </c>
      <c r="D25" s="124">
        <f>IF($B25="","",SUMIFS(الإدخال!$N$5:$N$644,الإدخال!$A$5:$A$644,$B25,الإدخال!$C$5:$C$644,$C$3))</f>
        <v>0</v>
      </c>
      <c r="E25" s="124">
        <f>IF($B25="","",COUNTIFS(الإدخال!$A$5:$A$644,$B25,الإدخال!$C$5:$C$644,$C$3,الإدخال!$F$5:$F$644,"غائب"))</f>
        <v>0</v>
      </c>
      <c r="F25" s="124">
        <f>IF($B25="","",COUNTIFS(الإدخال!$A$5:$A$644,$B25,الإدخال!$C$5:$C$644,$C$3,الإدخال!$F$5:$F$644,"معتذر"))</f>
        <v>0</v>
      </c>
      <c r="G25" s="125" t="str">
        <f>IF($B25="","",IFERROR(D25/COUNTIFS(الإدخال!$A$5:$A$644,$B25,الإدخال!$C$5:$C$644,$C$3,الإدخال!$F$5:$F$644,"&lt;&gt;"),""))</f>
        <v/>
      </c>
      <c r="H25" s="126" t="str">
        <f>IF($B25="","",IFERROR(SUMIFS(الإدخال!$O$5:$O$644,الإدخال!$A$5:$A$644,$B25,الإدخال!$C$5:$C$644,$C$3)/SUMIFS(الإدخال!$P$5:$P$644,الإدخال!$A$5:$A$644,$B25,الإدخال!$C$5:$C$644,$C$3)/100,""))</f>
        <v/>
      </c>
      <c r="I25" s="25"/>
      <c r="J25" s="24"/>
      <c r="K25" s="24"/>
      <c r="L25" s="24"/>
      <c r="M25" s="24"/>
    </row>
    <row r="26" spans="1:13">
      <c r="A26" s="24"/>
      <c r="B26" s="118"/>
      <c r="C26" s="118"/>
      <c r="D26" s="118"/>
      <c r="E26" s="118"/>
      <c r="F26" s="118"/>
      <c r="G26" s="118"/>
      <c r="H26" s="118"/>
      <c r="I26" s="24"/>
      <c r="J26" s="24"/>
      <c r="K26" s="24"/>
      <c r="L26" s="24"/>
      <c r="M26" s="24"/>
    </row>
    <row r="27" spans="1:13" ht="15.95">
      <c r="A27" s="24"/>
      <c r="B27" s="21" t="s">
        <v>156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ht="30" customHeight="1">
      <c r="A28" s="24"/>
      <c r="B28" s="14" t="s">
        <v>57</v>
      </c>
      <c r="C28" s="14" t="s">
        <v>58</v>
      </c>
      <c r="D28" s="14" t="s">
        <v>6</v>
      </c>
      <c r="E28" s="14" t="s">
        <v>119</v>
      </c>
      <c r="F28" s="14" t="s">
        <v>121</v>
      </c>
      <c r="G28" s="14" t="s">
        <v>122</v>
      </c>
      <c r="H28" s="14" t="s">
        <v>40</v>
      </c>
      <c r="I28" s="14" t="s">
        <v>38</v>
      </c>
      <c r="J28" s="14" t="s">
        <v>44</v>
      </c>
      <c r="K28" s="14" t="s">
        <v>61</v>
      </c>
      <c r="L28" s="14" t="s">
        <v>133</v>
      </c>
      <c r="M28" s="161" t="s">
        <v>157</v>
      </c>
    </row>
    <row r="29" spans="1:13">
      <c r="A29" s="24"/>
      <c r="B29" s="158" cm="1">
        <f t="array" ref="B29">IF($M29="","",INDEX(الطلاب!$A$5:$A$44,$M29))</f>
        <v>6</v>
      </c>
      <c r="C29" s="159" t="str" cm="1">
        <f t="array" ref="C29">IF($M29="","",INDEX(الطلاب!$B$5:$B$44,$M29))</f>
        <v xml:space="preserve">عاصم الضبيعي </v>
      </c>
      <c r="D29" s="158" t="str" cm="1">
        <f t="array" ref="D29">IF($M29="","",INDEX(الطلاب!$C$5:$C$44,$M29))</f>
        <v>المقرأة الأولى</v>
      </c>
      <c r="E29" s="155">
        <f>IF($B29="","",SUMIFS(الإدخال!$N$5:$N$644,الإدخال!$D$5:$D$644,$B29))</f>
        <v>2</v>
      </c>
      <c r="F29" s="155">
        <f>IF($B29="","",COUNTIFS(الإدخال!$D$5:$D$644,$B29,الإدخال!$F$5:$F$644,"غائب"))</f>
        <v>0</v>
      </c>
      <c r="G29" s="155">
        <f>IF($B29="","",COUNTIFS(الإدخال!$D$5:$D$644,$B29,الإدخال!$F$5:$F$644,"معتذر"))</f>
        <v>0</v>
      </c>
      <c r="H29" s="156">
        <f>IF($B29="","",IFERROR(E29/COUNTIFS(الإدخال!$D$5:$D$644,$B29,الإدخال!$F$5:$F$644,"&lt;&gt;"),""))</f>
        <v>1</v>
      </c>
      <c r="I29" s="157">
        <f>IF($B29="","",IFERROR(SUMIFS(الإدخال!$O$5:$O$644,الإدخال!$D$5:$D$644,$B29)/SUMIFS(الإدخال!$P$5:$P$644,الإدخال!$D$5:$D$644,$B29)/100,""))</f>
        <v>0.93500000000000005</v>
      </c>
      <c r="J29" s="158" t="str">
        <f>IF(I29="","",IF(I29&gt;=0.9,"ممتاز",IF(I29&gt;=0.8,"جيد جدًا",IF(I29&gt;=0.7,"جيد",IF(I29&gt;=0.6,"مقبول","يحتاج متابعة")))))</f>
        <v>ممتاز</v>
      </c>
      <c r="K29" s="155">
        <f>IF($B29="","",SUMIFS(الإدخال!$H$5:$H$644,الإدخال!$D$5:$D$644,$B29,الإدخال!$N$5:$N$644,1))</f>
        <v>3</v>
      </c>
      <c r="L29" s="158">
        <f>IF(ISNUMBER(I29),COUNTIFS($I$29:$I$68,"&gt;"&amp;I29)+1,"")</f>
        <v>1</v>
      </c>
      <c r="M29" s="160" cm="1">
        <f t="array" ref="M29">IFERROR(_xlfn.AGGREGATE(15,6,(ROW(الطلاب!$D$5:$D$44)-ROW(الطلاب!$D$5)+1)/(الطلاب!$D$5:$D$44=$C$3),ROWS(M$29:M29)),"")</f>
        <v>6</v>
      </c>
    </row>
    <row r="30" spans="1:13">
      <c r="A30" s="24"/>
      <c r="B30" s="130" cm="1">
        <f t="array" ref="B30">IF($M30="","",INDEX(الطلاب!$A$5:$A$44,$M30))</f>
        <v>7</v>
      </c>
      <c r="C30" s="131" t="str" cm="1">
        <f t="array" ref="C30">IF($M30="","",INDEX(الطلاب!$B$5:$B$44,$M30))</f>
        <v>محمد السعوي</v>
      </c>
      <c r="D30" s="130" t="str" cm="1">
        <f t="array" ref="D30">IF($M30="","",INDEX(الطلاب!$C$5:$C$44,$M30))</f>
        <v>المقرأة الأولى</v>
      </c>
      <c r="E30" s="124">
        <f>IF($B30="","",SUMIFS(الإدخال!$N$5:$N$644,الإدخال!$D$5:$D$644,$B30))</f>
        <v>2</v>
      </c>
      <c r="F30" s="124">
        <f>IF($B30="","",COUNTIFS(الإدخال!$D$5:$D$644,$B30,الإدخال!$F$5:$F$644,"غائب"))</f>
        <v>0</v>
      </c>
      <c r="G30" s="124">
        <f>IF($B30="","",COUNTIFS(الإدخال!$D$5:$D$644,$B30,الإدخال!$F$5:$F$644,"معتذر"))</f>
        <v>0</v>
      </c>
      <c r="H30" s="125">
        <f>IF($B30="","",IFERROR(E30/COUNTIFS(الإدخال!$D$5:$D$644,$B30,الإدخال!$F$5:$F$644,"&lt;&gt;"),""))</f>
        <v>1</v>
      </c>
      <c r="I30" s="126">
        <f>IF($B30="","",IFERROR(SUMIFS(الإدخال!$O$5:$O$644,الإدخال!$D$5:$D$644,$B30)/SUMIFS(الإدخال!$P$5:$P$644,الإدخال!$D$5:$D$644,$B30)/100,""))</f>
        <v>0.84</v>
      </c>
      <c r="J30" s="130" t="str">
        <f t="shared" ref="J30:J68" si="0">IF(I30="","",IF(I30&gt;=0.9,"ممتاز",IF(I30&gt;=0.8,"جيد جدًا",IF(I30&gt;=0.7,"جيد",IF(I30&gt;=0.6,"مقبول","يحتاج متابعة")))))</f>
        <v>جيد جدًا</v>
      </c>
      <c r="K30" s="124">
        <f>IF($B30="","",SUMIFS(الإدخال!$H$5:$H$644,الإدخال!$D$5:$D$644,$B30,الإدخال!$N$5:$N$644,1))</f>
        <v>1</v>
      </c>
      <c r="L30" s="130">
        <f t="shared" ref="L30:L68" si="1">IF(ISNUMBER(I30),COUNTIFS($I$29:$I$68,"&gt;"&amp;I30)+1,"")</f>
        <v>4</v>
      </c>
      <c r="M30" s="132" cm="1">
        <f t="array" ref="M30">IFERROR(_xlfn.AGGREGATE(15,6,(ROW(الطلاب!$D$5:$D$44)-ROW(الطلاب!$D$5)+1)/(الطلاب!$D$5:$D$44=$C$3),ROWS(M$29:M30)),"")</f>
        <v>7</v>
      </c>
    </row>
    <row r="31" spans="1:13">
      <c r="A31" s="24"/>
      <c r="B31" s="130" cm="1">
        <f t="array" ref="B31">IF($M31="","",INDEX(الطلاب!$A$5:$A$44,$M31))</f>
        <v>8</v>
      </c>
      <c r="C31" s="131" t="str" cm="1">
        <f t="array" ref="C31">IF($M31="","",INDEX(الطلاب!$B$5:$B$44,$M31))</f>
        <v>هشام المخلف</v>
      </c>
      <c r="D31" s="130" t="str" cm="1">
        <f t="array" ref="D31">IF($M31="","",INDEX(الطلاب!$C$5:$C$44,$M31))</f>
        <v>المقرأة الأولى</v>
      </c>
      <c r="E31" s="124">
        <f>IF($B31="","",SUMIFS(الإدخال!$N$5:$N$644,الإدخال!$D$5:$D$644,$B31))</f>
        <v>2</v>
      </c>
      <c r="F31" s="124">
        <f>IF($B31="","",COUNTIFS(الإدخال!$D$5:$D$644,$B31,الإدخال!$F$5:$F$644,"غائب"))</f>
        <v>0</v>
      </c>
      <c r="G31" s="124">
        <f>IF($B31="","",COUNTIFS(الإدخال!$D$5:$D$644,$B31,الإدخال!$F$5:$F$644,"معتذر"))</f>
        <v>0</v>
      </c>
      <c r="H31" s="125">
        <f>IF($B31="","",IFERROR(E31/COUNTIFS(الإدخال!$D$5:$D$644,$B31,الإدخال!$F$5:$F$644,"&lt;&gt;"),""))</f>
        <v>1</v>
      </c>
      <c r="I31" s="126">
        <f>IF($B31="","",IFERROR(SUMIFS(الإدخال!$O$5:$O$644,الإدخال!$D$5:$D$644,$B31)/SUMIFS(الإدخال!$P$5:$P$644,الإدخال!$D$5:$D$644,$B31)/100,""))</f>
        <v>0.93</v>
      </c>
      <c r="J31" s="130" t="str">
        <f t="shared" si="0"/>
        <v>ممتاز</v>
      </c>
      <c r="K31" s="124">
        <f>IF($B31="","",SUMIFS(الإدخال!$H$5:$H$644,الإدخال!$D$5:$D$644,$B31,الإدخال!$N$5:$N$644,1))</f>
        <v>3</v>
      </c>
      <c r="L31" s="130">
        <f t="shared" si="1"/>
        <v>2</v>
      </c>
      <c r="M31" s="132" cm="1">
        <f t="array" ref="M31">IFERROR(_xlfn.AGGREGATE(15,6,(ROW(الطلاب!$D$5:$D$44)-ROW(الطلاب!$D$5)+1)/(الطلاب!$D$5:$D$44=$C$3),ROWS(M$29:M31)),"")</f>
        <v>8</v>
      </c>
    </row>
    <row r="32" spans="1:13">
      <c r="A32" s="24"/>
      <c r="B32" s="130" cm="1">
        <f t="array" ref="B32">IF($M32="","",INDEX(الطلاب!$A$5:$A$44,$M32))</f>
        <v>9</v>
      </c>
      <c r="C32" s="131" t="str" cm="1">
        <f t="array" ref="C32">IF($M32="","",INDEX(الطلاب!$B$5:$B$44,$M32))</f>
        <v xml:space="preserve">اسامة السعدون </v>
      </c>
      <c r="D32" s="130" t="str" cm="1">
        <f t="array" ref="D32">IF($M32="","",INDEX(الطلاب!$C$5:$C$44,$M32))</f>
        <v>المقرأة الأولى</v>
      </c>
      <c r="E32" s="124">
        <f>IF($B32="","",SUMIFS(الإدخال!$N$5:$N$644,الإدخال!$D$5:$D$644,$B32))</f>
        <v>0</v>
      </c>
      <c r="F32" s="124">
        <f>IF($B32="","",COUNTIFS(الإدخال!$D$5:$D$644,$B32,الإدخال!$F$5:$F$644,"غائب"))</f>
        <v>0</v>
      </c>
      <c r="G32" s="124">
        <f>IF($B32="","",COUNTIFS(الإدخال!$D$5:$D$644,$B32,الإدخال!$F$5:$F$644,"معتذر"))</f>
        <v>2</v>
      </c>
      <c r="H32" s="125">
        <f>IF($B32="","",IFERROR(E32/COUNTIFS(الإدخال!$D$5:$D$644,$B32,الإدخال!$F$5:$F$644,"&lt;&gt;"),""))</f>
        <v>0</v>
      </c>
      <c r="I32" s="126">
        <f>IF($B32="","",IFERROR(SUMIFS(الإدخال!$O$5:$O$644,الإدخال!$D$5:$D$644,$B32)/SUMIFS(الإدخال!$P$5:$P$644,الإدخال!$D$5:$D$644,$B32)/100,""))</f>
        <v>7.4999999999999997E-2</v>
      </c>
      <c r="J32" s="130" t="str">
        <f t="shared" si="0"/>
        <v>يحتاج متابعة</v>
      </c>
      <c r="K32" s="124">
        <f>IF($B32="","",SUMIFS(الإدخال!$H$5:$H$644,الإدخال!$D$5:$D$644,$B32,الإدخال!$N$5:$N$644,1))</f>
        <v>0</v>
      </c>
      <c r="L32" s="130">
        <f t="shared" si="1"/>
        <v>11</v>
      </c>
      <c r="M32" s="132" cm="1">
        <f t="array" ref="M32">IFERROR(_xlfn.AGGREGATE(15,6,(ROW(الطلاب!$D$5:$D$44)-ROW(الطلاب!$D$5)+1)/(الطلاب!$D$5:$D$44=$C$3),ROWS(M$29:M32)),"")</f>
        <v>9</v>
      </c>
    </row>
    <row r="33" spans="1:13">
      <c r="A33" s="24"/>
      <c r="B33" s="130" cm="1">
        <f t="array" ref="B33">IF($M33="","",INDEX(الطلاب!$A$5:$A$44,$M33))</f>
        <v>20</v>
      </c>
      <c r="C33" s="131" t="str" cm="1">
        <f t="array" ref="C33">IF($M33="","",INDEX(الطلاب!$B$5:$B$44,$M33))</f>
        <v xml:space="preserve">اصيل التويجري </v>
      </c>
      <c r="D33" s="130" t="str" cm="1">
        <f t="array" ref="D33">IF($M33="","",INDEX(الطلاب!$C$5:$C$44,$M33))</f>
        <v>المقرأة الثانية</v>
      </c>
      <c r="E33" s="124">
        <f>IF($B33="","",SUMIFS(الإدخال!$N$5:$N$644,الإدخال!$D$5:$D$644,$B33))</f>
        <v>1</v>
      </c>
      <c r="F33" s="124">
        <f>IF($B33="","",COUNTIFS(الإدخال!$D$5:$D$644,$B33,الإدخال!$F$5:$F$644,"غائب"))</f>
        <v>1</v>
      </c>
      <c r="G33" s="124">
        <f>IF($B33="","",COUNTIFS(الإدخال!$D$5:$D$644,$B33,الإدخال!$F$5:$F$644,"معتذر"))</f>
        <v>0</v>
      </c>
      <c r="H33" s="125">
        <f>IF($B33="","",IFERROR(E33/COUNTIFS(الإدخال!$D$5:$D$644,$B33,الإدخال!$F$5:$F$644,"&lt;&gt;"),""))</f>
        <v>0.5</v>
      </c>
      <c r="I33" s="126">
        <f>IF($B33="","",IFERROR(SUMIFS(الإدخال!$O$5:$O$644,الإدخال!$D$5:$D$644,$B33)/SUMIFS(الإدخال!$P$5:$P$644,الإدخال!$D$5:$D$644,$B33)/100,""))</f>
        <v>0.495</v>
      </c>
      <c r="J33" s="130" t="str">
        <f t="shared" si="0"/>
        <v>يحتاج متابعة</v>
      </c>
      <c r="K33" s="124">
        <f>IF($B33="","",SUMIFS(الإدخال!$H$5:$H$644,الإدخال!$D$5:$D$644,$B33,الإدخال!$N$5:$N$644,1))</f>
        <v>4</v>
      </c>
      <c r="L33" s="130">
        <f t="shared" si="1"/>
        <v>8</v>
      </c>
      <c r="M33" s="132" cm="1">
        <f t="array" ref="M33">IFERROR(_xlfn.AGGREGATE(15,6,(ROW(الطلاب!$D$5:$D$44)-ROW(الطلاب!$D$5)+1)/(الطلاب!$D$5:$D$44=$C$3),ROWS(M$29:M33)),"")</f>
        <v>20</v>
      </c>
    </row>
    <row r="34" spans="1:13">
      <c r="A34" s="24"/>
      <c r="B34" s="130" cm="1">
        <f t="array" ref="B34">IF($M34="","",INDEX(الطلاب!$A$5:$A$44,$M34))</f>
        <v>21</v>
      </c>
      <c r="C34" s="131" t="str" cm="1">
        <f t="array" ref="C34">IF($M34="","",INDEX(الطلاب!$B$5:$B$44,$M34))</f>
        <v xml:space="preserve">جواد الرفيعي </v>
      </c>
      <c r="D34" s="130" t="str" cm="1">
        <f t="array" ref="D34">IF($M34="","",INDEX(الطلاب!$C$5:$C$44,$M34))</f>
        <v>المقرأة الثانية</v>
      </c>
      <c r="E34" s="124">
        <f>IF($B34="","",SUMIFS(الإدخال!$N$5:$N$644,الإدخال!$D$5:$D$644,$B34))</f>
        <v>1</v>
      </c>
      <c r="F34" s="124">
        <f>IF($B34="","",COUNTIFS(الإدخال!$D$5:$D$644,$B34,الإدخال!$F$5:$F$644,"غائب"))</f>
        <v>0</v>
      </c>
      <c r="G34" s="124">
        <f>IF($B34="","",COUNTIFS(الإدخال!$D$5:$D$644,$B34,الإدخال!$F$5:$F$644,"معتذر"))</f>
        <v>1</v>
      </c>
      <c r="H34" s="125">
        <f>IF($B34="","",IFERROR(E34/COUNTIFS(الإدخال!$D$5:$D$644,$B34,الإدخال!$F$5:$F$644,"&lt;&gt;"),""))</f>
        <v>0.5</v>
      </c>
      <c r="I34" s="126">
        <f>IF($B34="","",IFERROR(SUMIFS(الإدخال!$O$5:$O$644,الإدخال!$D$5:$D$644,$B34)/SUMIFS(الإدخال!$P$5:$P$644,الإدخال!$D$5:$D$644,$B34)/100,""))</f>
        <v>0.46</v>
      </c>
      <c r="J34" s="130" t="str">
        <f t="shared" si="0"/>
        <v>يحتاج متابعة</v>
      </c>
      <c r="K34" s="124">
        <f>IF($B34="","",SUMIFS(الإدخال!$H$5:$H$644,الإدخال!$D$5:$D$644,$B34,الإدخال!$N$5:$N$644,1))</f>
        <v>2</v>
      </c>
      <c r="L34" s="130">
        <f t="shared" si="1"/>
        <v>10</v>
      </c>
      <c r="M34" s="132" cm="1">
        <f t="array" ref="M34">IFERROR(_xlfn.AGGREGATE(15,6,(ROW(الطلاب!$D$5:$D$44)-ROW(الطلاب!$D$5)+1)/(الطلاب!$D$5:$D$44=$C$3),ROWS(M$29:M34)),"")</f>
        <v>21</v>
      </c>
    </row>
    <row r="35" spans="1:13">
      <c r="A35" s="24"/>
      <c r="B35" s="130" cm="1">
        <f t="array" ref="B35">IF($M35="","",INDEX(الطلاب!$A$5:$A$44,$M35))</f>
        <v>22</v>
      </c>
      <c r="C35" s="131" t="str" cm="1">
        <f t="array" ref="C35">IF($M35="","",INDEX(الطلاب!$B$5:$B$44,$M35))</f>
        <v xml:space="preserve">سفيان السبيعي </v>
      </c>
      <c r="D35" s="130" t="str" cm="1">
        <f t="array" ref="D35">IF($M35="","",INDEX(الطلاب!$C$5:$C$44,$M35))</f>
        <v>المقرأة الثانية</v>
      </c>
      <c r="E35" s="124">
        <f>IF($B35="","",SUMIFS(الإدخال!$N$5:$N$644,الإدخال!$D$5:$D$644,$B35))</f>
        <v>1</v>
      </c>
      <c r="F35" s="124">
        <f>IF($B35="","",COUNTIFS(الإدخال!$D$5:$D$644,$B35,الإدخال!$F$5:$F$644,"غائب"))</f>
        <v>1</v>
      </c>
      <c r="G35" s="124">
        <f>IF($B35="","",COUNTIFS(الإدخال!$D$5:$D$644,$B35,الإدخال!$F$5:$F$644,"معتذر"))</f>
        <v>0</v>
      </c>
      <c r="H35" s="125">
        <f>IF($B35="","",IFERROR(E35/COUNTIFS(الإدخال!$D$5:$D$644,$B35,الإدخال!$F$5:$F$644,"&lt;&gt;"),""))</f>
        <v>0.5</v>
      </c>
      <c r="I35" s="126">
        <f>IF($B35="","",IFERROR(SUMIFS(الإدخال!$O$5:$O$644,الإدخال!$D$5:$D$644,$B35)/SUMIFS(الإدخال!$P$5:$P$644,الإدخال!$D$5:$D$644,$B35)/100,""))</f>
        <v>0.47499999999999998</v>
      </c>
      <c r="J35" s="130" t="str">
        <f t="shared" si="0"/>
        <v>يحتاج متابعة</v>
      </c>
      <c r="K35" s="124">
        <f>IF($B35="","",SUMIFS(الإدخال!$H$5:$H$644,الإدخال!$D$5:$D$644,$B35,الإدخال!$N$5:$N$644,1))</f>
        <v>5</v>
      </c>
      <c r="L35" s="130">
        <f t="shared" si="1"/>
        <v>9</v>
      </c>
      <c r="M35" s="132" cm="1">
        <f t="array" ref="M35">IFERROR(_xlfn.AGGREGATE(15,6,(ROW(الطلاب!$D$5:$D$44)-ROW(الطلاب!$D$5)+1)/(الطلاب!$D$5:$D$44=$C$3),ROWS(M$29:M35)),"")</f>
        <v>22</v>
      </c>
    </row>
    <row r="36" spans="1:13">
      <c r="A36" s="24"/>
      <c r="B36" s="130" cm="1">
        <f t="array" ref="B36">IF($M36="","",INDEX(الطلاب!$A$5:$A$44,$M36))</f>
        <v>23</v>
      </c>
      <c r="C36" s="131" t="str" cm="1">
        <f t="array" ref="C36">IF($M36="","",INDEX(الطلاب!$B$5:$B$44,$M36))</f>
        <v xml:space="preserve">عمار الفضل </v>
      </c>
      <c r="D36" s="130" t="str" cm="1">
        <f t="array" ref="D36">IF($M36="","",INDEX(الطلاب!$C$5:$C$44,$M36))</f>
        <v>المقرأة الثانية</v>
      </c>
      <c r="E36" s="124">
        <f>IF($B36="","",SUMIFS(الإدخال!$N$5:$N$644,الإدخال!$D$5:$D$644,$B36))</f>
        <v>2</v>
      </c>
      <c r="F36" s="124">
        <f>IF($B36="","",COUNTIFS(الإدخال!$D$5:$D$644,$B36,الإدخال!$F$5:$F$644,"غائب"))</f>
        <v>0</v>
      </c>
      <c r="G36" s="124">
        <f>IF($B36="","",COUNTIFS(الإدخال!$D$5:$D$644,$B36,الإدخال!$F$5:$F$644,"معتذر"))</f>
        <v>0</v>
      </c>
      <c r="H36" s="125">
        <f>IF($B36="","",IFERROR(E36/COUNTIFS(الإدخال!$D$5:$D$644,$B36,الإدخال!$F$5:$F$644,"&lt;&gt;"),""))</f>
        <v>1</v>
      </c>
      <c r="I36" s="126">
        <f>IF($B36="","",IFERROR(SUMIFS(الإدخال!$O$5:$O$644,الإدخال!$D$5:$D$644,$B36)/SUMIFS(الإدخال!$P$5:$P$644,الإدخال!$D$5:$D$644,$B36)/100,""))</f>
        <v>0.84</v>
      </c>
      <c r="J36" s="130" t="str">
        <f t="shared" si="0"/>
        <v>جيد جدًا</v>
      </c>
      <c r="K36" s="124">
        <f>IF($B36="","",SUMIFS(الإدخال!$H$5:$H$644,الإدخال!$D$5:$D$644,$B36,الإدخال!$N$5:$N$644,1))</f>
        <v>6</v>
      </c>
      <c r="L36" s="130">
        <f t="shared" si="1"/>
        <v>4</v>
      </c>
      <c r="M36" s="132" cm="1">
        <f t="array" ref="M36">IFERROR(_xlfn.AGGREGATE(15,6,(ROW(الطلاب!$D$5:$D$44)-ROW(الطلاب!$D$5)+1)/(الطلاب!$D$5:$D$44=$C$3),ROWS(M$29:M36)),"")</f>
        <v>23</v>
      </c>
    </row>
    <row r="37" spans="1:13">
      <c r="A37" s="24"/>
      <c r="B37" s="130" cm="1">
        <f t="array" ref="B37">IF($M37="","",INDEX(الطلاب!$A$5:$A$44,$M37))</f>
        <v>24</v>
      </c>
      <c r="C37" s="131" t="str" cm="1">
        <f t="array" ref="C37">IF($M37="","",INDEX(الطلاب!$B$5:$B$44,$M37))</f>
        <v xml:space="preserve">مروان المهوس </v>
      </c>
      <c r="D37" s="130" t="str" cm="1">
        <f t="array" ref="D37">IF($M37="","",INDEX(الطلاب!$C$5:$C$44,$M37))</f>
        <v>المقرأة الثانية</v>
      </c>
      <c r="E37" s="124">
        <f>IF($B37="","",SUMIFS(الإدخال!$N$5:$N$644,الإدخال!$D$5:$D$644,$B37))</f>
        <v>1</v>
      </c>
      <c r="F37" s="124">
        <f>IF($B37="","",COUNTIFS(الإدخال!$D$5:$D$644,$B37,الإدخال!$F$5:$F$644,"غائب"))</f>
        <v>1</v>
      </c>
      <c r="G37" s="124">
        <f>IF($B37="","",COUNTIFS(الإدخال!$D$5:$D$644,$B37,الإدخال!$F$5:$F$644,"معتذر"))</f>
        <v>0</v>
      </c>
      <c r="H37" s="125">
        <f>IF($B37="","",IFERROR(E37/COUNTIFS(الإدخال!$D$5:$D$644,$B37,الإدخال!$F$5:$F$644,"&lt;&gt;"),""))</f>
        <v>0.5</v>
      </c>
      <c r="I37" s="126">
        <f>IF($B37="","",IFERROR(SUMIFS(الإدخال!$O$5:$O$644,الإدخال!$D$5:$D$644,$B37)/SUMIFS(الإدخال!$P$5:$P$644,الإدخال!$D$5:$D$644,$B37)/100,""))</f>
        <v>0.5</v>
      </c>
      <c r="J37" s="130" t="str">
        <f t="shared" si="0"/>
        <v>يحتاج متابعة</v>
      </c>
      <c r="K37" s="124">
        <f>IF($B37="","",SUMIFS(الإدخال!$H$5:$H$644,الإدخال!$D$5:$D$644,$B37,الإدخال!$N$5:$N$644,1))</f>
        <v>5</v>
      </c>
      <c r="L37" s="130">
        <f t="shared" si="1"/>
        <v>7</v>
      </c>
      <c r="M37" s="132" cm="1">
        <f t="array" ref="M37">IFERROR(_xlfn.AGGREGATE(15,6,(ROW(الطلاب!$D$5:$D$44)-ROW(الطلاب!$D$5)+1)/(الطلاب!$D$5:$D$44=$C$3),ROWS(M$29:M37)),"")</f>
        <v>24</v>
      </c>
    </row>
    <row r="38" spans="1:13">
      <c r="A38" s="24"/>
      <c r="B38" s="130" cm="1">
        <f t="array" ref="B38">IF($M38="","",INDEX(الطلاب!$A$5:$A$44,$M38))</f>
        <v>25</v>
      </c>
      <c r="C38" s="131" t="str" cm="1">
        <f t="array" ref="C38">IF($M38="","",INDEX(الطلاب!$B$5:$B$44,$M38))</f>
        <v>جهاد الجدعان</v>
      </c>
      <c r="D38" s="130" t="str" cm="1">
        <f t="array" ref="D38">IF($M38="","",INDEX(الطلاب!$C$5:$C$44,$M38))</f>
        <v>المقرأة الثانية</v>
      </c>
      <c r="E38" s="124">
        <f>IF($B38="","",SUMIFS(الإدخال!$N$5:$N$644,الإدخال!$D$5:$D$644,$B38))</f>
        <v>2</v>
      </c>
      <c r="F38" s="124">
        <f>IF($B38="","",COUNTIFS(الإدخال!$D$5:$D$644,$B38,الإدخال!$F$5:$F$644,"غائب"))</f>
        <v>0</v>
      </c>
      <c r="G38" s="124">
        <f>IF($B38="","",COUNTIFS(الإدخال!$D$5:$D$644,$B38,الإدخال!$F$5:$F$644,"معتذر"))</f>
        <v>0</v>
      </c>
      <c r="H38" s="125">
        <f>IF($B38="","",IFERROR(E38/COUNTIFS(الإدخال!$D$5:$D$644,$B38,الإدخال!$F$5:$F$644,"&lt;&gt;"),""))</f>
        <v>1</v>
      </c>
      <c r="I38" s="126">
        <f>IF($B38="","",IFERROR(SUMIFS(الإدخال!$O$5:$O$644,الإدخال!$D$5:$D$644,$B38)/SUMIFS(الإدخال!$P$5:$P$644,الإدخال!$D$5:$D$644,$B38)/100,""))</f>
        <v>0.9</v>
      </c>
      <c r="J38" s="130" t="str">
        <f t="shared" si="0"/>
        <v>ممتاز</v>
      </c>
      <c r="K38" s="124">
        <f>IF($B38="","",SUMIFS(الإدخال!$H$5:$H$644,الإدخال!$D$5:$D$644,$B38,الإدخال!$N$5:$N$644,1))</f>
        <v>10</v>
      </c>
      <c r="L38" s="130">
        <f t="shared" si="1"/>
        <v>3</v>
      </c>
      <c r="M38" s="132" cm="1">
        <f t="array" ref="M38">IFERROR(_xlfn.AGGREGATE(15,6,(ROW(الطلاب!$D$5:$D$44)-ROW(الطلاب!$D$5)+1)/(الطلاب!$D$5:$D$44=$C$3),ROWS(M$29:M38)),"")</f>
        <v>25</v>
      </c>
    </row>
    <row r="39" spans="1:13">
      <c r="A39" s="24"/>
      <c r="B39" s="130" cm="1">
        <f t="array" ref="B39">IF($M39="","",INDEX(الطلاب!$A$5:$A$44,$M39))</f>
        <v>26</v>
      </c>
      <c r="C39" s="131" t="str" cm="1">
        <f t="array" ref="C39">IF($M39="","",INDEX(الطلاب!$B$5:$B$44,$M39))</f>
        <v>صلاح مسعد</v>
      </c>
      <c r="D39" s="130" t="str" cm="1">
        <f t="array" ref="D39">IF($M39="","",INDEX(الطلاب!$C$5:$C$44,$M39))</f>
        <v>المقرأة الثانية</v>
      </c>
      <c r="E39" s="124">
        <f>IF($B39="","",SUMIFS(الإدخال!$N$5:$N$644,الإدخال!$D$5:$D$644,$B39))</f>
        <v>2</v>
      </c>
      <c r="F39" s="124">
        <f>IF($B39="","",COUNTIFS(الإدخال!$D$5:$D$644,$B39,الإدخال!$F$5:$F$644,"غائب"))</f>
        <v>0</v>
      </c>
      <c r="G39" s="124">
        <f>IF($B39="","",COUNTIFS(الإدخال!$D$5:$D$644,$B39,الإدخال!$F$5:$F$644,"معتذر"))</f>
        <v>0</v>
      </c>
      <c r="H39" s="125">
        <f>IF($B39="","",IFERROR(E39/COUNTIFS(الإدخال!$D$5:$D$644,$B39,الإدخال!$F$5:$F$644,"&lt;&gt;"),""))</f>
        <v>1</v>
      </c>
      <c r="I39" s="126">
        <f>IF($B39="","",IFERROR(SUMIFS(الإدخال!$O$5:$O$644,الإدخال!$D$5:$D$644,$B39)/SUMIFS(الإدخال!$P$5:$P$644,الإدخال!$D$5:$D$644,$B39)/100,""))</f>
        <v>0.54</v>
      </c>
      <c r="J39" s="130" t="str">
        <f t="shared" si="0"/>
        <v>يحتاج متابعة</v>
      </c>
      <c r="K39" s="124">
        <f>IF($B39="","",SUMIFS(الإدخال!$H$5:$H$644,الإدخال!$D$5:$D$644,$B39,الإدخال!$N$5:$N$644,1))</f>
        <v>10</v>
      </c>
      <c r="L39" s="130">
        <f t="shared" si="1"/>
        <v>6</v>
      </c>
      <c r="M39" s="132" cm="1">
        <f t="array" ref="M39">IFERROR(_xlfn.AGGREGATE(15,6,(ROW(الطلاب!$D$5:$D$44)-ROW(الطلاب!$D$5)+1)/(الطلاب!$D$5:$D$44=$C$3),ROWS(M$29:M39)),"")</f>
        <v>26</v>
      </c>
    </row>
    <row r="40" spans="1:13">
      <c r="A40" s="24"/>
      <c r="B40" s="130" t="str" cm="1">
        <f t="array" ref="B40">IF($M40="","",INDEX(الطلاب!$A$5:$A$44,$M40))</f>
        <v/>
      </c>
      <c r="C40" s="131" t="str" cm="1">
        <f t="array" ref="C40">IF($M40="","",INDEX(الطلاب!$B$5:$B$44,$M40))</f>
        <v/>
      </c>
      <c r="D40" s="130" t="str" cm="1">
        <f t="array" ref="D40">IF($M40="","",INDEX(الطلاب!$C$5:$C$44,$M40))</f>
        <v/>
      </c>
      <c r="E40" s="124" t="str">
        <f>IF($B40="","",SUMIFS(الإدخال!$N$5:$N$644,الإدخال!$D$5:$D$644,$B40))</f>
        <v/>
      </c>
      <c r="F40" s="124" t="str">
        <f>IF($B40="","",COUNTIFS(الإدخال!$D$5:$D$644,$B40,الإدخال!$F$5:$F$644,"غائب"))</f>
        <v/>
      </c>
      <c r="G40" s="124" t="str">
        <f>IF($B40="","",COUNTIFS(الإدخال!$D$5:$D$644,$B40,الإدخال!$F$5:$F$644,"معتذر"))</f>
        <v/>
      </c>
      <c r="H40" s="125" t="str">
        <f>IF($B40="","",IFERROR(E40/COUNTIFS(الإدخال!$D$5:$D$644,$B40,الإدخال!$F$5:$F$644,"&lt;&gt;"),""))</f>
        <v/>
      </c>
      <c r="I40" s="126" t="str">
        <f>IF($B40="","",IFERROR(SUMIFS(الإدخال!$O$5:$O$644,الإدخال!$D$5:$D$644,$B40)/SUMIFS(الإدخال!$P$5:$P$644,الإدخال!$D$5:$D$644,$B40)/100,""))</f>
        <v/>
      </c>
      <c r="J40" s="130" t="str">
        <f t="shared" si="0"/>
        <v/>
      </c>
      <c r="K40" s="124" t="str">
        <f>IF($B40="","",SUMIFS(الإدخال!$H$5:$H$644,الإدخال!$D$5:$D$644,$B40,الإدخال!$N$5:$N$644,1))</f>
        <v/>
      </c>
      <c r="L40" s="130" t="str">
        <f t="shared" si="1"/>
        <v/>
      </c>
      <c r="M40" s="132" t="str" cm="1">
        <f t="array" ref="M40">IFERROR(_xlfn.AGGREGATE(15,6,(ROW(الطلاب!$D$5:$D$44)-ROW(الطلاب!$D$5)+1)/(الطلاب!$D$5:$D$44=$C$3),ROWS(M$29:M40)),"")</f>
        <v/>
      </c>
    </row>
    <row r="41" spans="1:13">
      <c r="A41" s="24"/>
      <c r="B41" s="130" t="str" cm="1">
        <f t="array" ref="B41">IF($M41="","",INDEX(الطلاب!$A$5:$A$44,$M41))</f>
        <v/>
      </c>
      <c r="C41" s="131" t="str" cm="1">
        <f t="array" ref="C41">IF($M41="","",INDEX(الطلاب!$B$5:$B$44,$M41))</f>
        <v/>
      </c>
      <c r="D41" s="130" t="str" cm="1">
        <f t="array" ref="D41">IF($M41="","",INDEX(الطلاب!$C$5:$C$44,$M41))</f>
        <v/>
      </c>
      <c r="E41" s="124" t="str">
        <f>IF($B41="","",SUMIFS(الإدخال!$N$5:$N$644,الإدخال!$D$5:$D$644,$B41))</f>
        <v/>
      </c>
      <c r="F41" s="124" t="str">
        <f>IF($B41="","",COUNTIFS(الإدخال!$D$5:$D$644,$B41,الإدخال!$F$5:$F$644,"غائب"))</f>
        <v/>
      </c>
      <c r="G41" s="124" t="str">
        <f>IF($B41="","",COUNTIFS(الإدخال!$D$5:$D$644,$B41,الإدخال!$F$5:$F$644,"معتذر"))</f>
        <v/>
      </c>
      <c r="H41" s="125" t="str">
        <f>IF($B41="","",IFERROR(E41/COUNTIFS(الإدخال!$D$5:$D$644,$B41,الإدخال!$F$5:$F$644,"&lt;&gt;"),""))</f>
        <v/>
      </c>
      <c r="I41" s="126" t="str">
        <f>IF($B41="","",IFERROR(SUMIFS(الإدخال!$O$5:$O$644,الإدخال!$D$5:$D$644,$B41)/SUMIFS(الإدخال!$P$5:$P$644,الإدخال!$D$5:$D$644,$B41)/100,""))</f>
        <v/>
      </c>
      <c r="J41" s="130" t="str">
        <f t="shared" si="0"/>
        <v/>
      </c>
      <c r="K41" s="124" t="str">
        <f>IF($B41="","",SUMIFS(الإدخال!$H$5:$H$644,الإدخال!$D$5:$D$644,$B41,الإدخال!$N$5:$N$644,1))</f>
        <v/>
      </c>
      <c r="L41" s="130" t="str">
        <f t="shared" si="1"/>
        <v/>
      </c>
      <c r="M41" s="132" t="str" cm="1">
        <f t="array" ref="M41">IFERROR(_xlfn.AGGREGATE(15,6,(ROW(الطلاب!$D$5:$D$44)-ROW(الطلاب!$D$5)+1)/(الطلاب!$D$5:$D$44=$C$3),ROWS(M$29:M41)),"")</f>
        <v/>
      </c>
    </row>
    <row r="42" spans="1:13">
      <c r="A42" s="24"/>
      <c r="B42" s="130" t="str" cm="1">
        <f t="array" ref="B42">IF($M42="","",INDEX(الطلاب!$A$5:$A$44,$M42))</f>
        <v/>
      </c>
      <c r="C42" s="131" t="str" cm="1">
        <f t="array" ref="C42">IF($M42="","",INDEX(الطلاب!$B$5:$B$44,$M42))</f>
        <v/>
      </c>
      <c r="D42" s="130" t="str" cm="1">
        <f t="array" ref="D42">IF($M42="","",INDEX(الطلاب!$C$5:$C$44,$M42))</f>
        <v/>
      </c>
      <c r="E42" s="124" t="str">
        <f>IF($B42="","",SUMIFS(الإدخال!$N$5:$N$644,الإدخال!$D$5:$D$644,$B42))</f>
        <v/>
      </c>
      <c r="F42" s="124" t="str">
        <f>IF($B42="","",COUNTIFS(الإدخال!$D$5:$D$644,$B42,الإدخال!$F$5:$F$644,"غائب"))</f>
        <v/>
      </c>
      <c r="G42" s="124" t="str">
        <f>IF($B42="","",COUNTIFS(الإدخال!$D$5:$D$644,$B42,الإدخال!$F$5:$F$644,"معتذر"))</f>
        <v/>
      </c>
      <c r="H42" s="125" t="str">
        <f>IF($B42="","",IFERROR(E42/COUNTIFS(الإدخال!$D$5:$D$644,$B42,الإدخال!$F$5:$F$644,"&lt;&gt;"),""))</f>
        <v/>
      </c>
      <c r="I42" s="126" t="str">
        <f>IF($B42="","",IFERROR(SUMIFS(الإدخال!$O$5:$O$644,الإدخال!$D$5:$D$644,$B42)/SUMIFS(الإدخال!$P$5:$P$644,الإدخال!$D$5:$D$644,$B42)/100,""))</f>
        <v/>
      </c>
      <c r="J42" s="130" t="str">
        <f t="shared" si="0"/>
        <v/>
      </c>
      <c r="K42" s="124" t="str">
        <f>IF($B42="","",SUMIFS(الإدخال!$H$5:$H$644,الإدخال!$D$5:$D$644,$B42,الإدخال!$N$5:$N$644,1))</f>
        <v/>
      </c>
      <c r="L42" s="130" t="str">
        <f t="shared" si="1"/>
        <v/>
      </c>
      <c r="M42" s="132" t="str" cm="1">
        <f t="array" ref="M42">IFERROR(_xlfn.AGGREGATE(15,6,(ROW(الطلاب!$D$5:$D$44)-ROW(الطلاب!$D$5)+1)/(الطلاب!$D$5:$D$44=$C$3),ROWS(M$29:M42)),"")</f>
        <v/>
      </c>
    </row>
    <row r="43" spans="1:13">
      <c r="A43" s="24"/>
      <c r="B43" s="130" t="str" cm="1">
        <f t="array" ref="B43">IF($M43="","",INDEX(الطلاب!$A$5:$A$44,$M43))</f>
        <v/>
      </c>
      <c r="C43" s="131" t="str" cm="1">
        <f t="array" ref="C43">IF($M43="","",INDEX(الطلاب!$B$5:$B$44,$M43))</f>
        <v/>
      </c>
      <c r="D43" s="130" t="str" cm="1">
        <f t="array" ref="D43">IF($M43="","",INDEX(الطلاب!$C$5:$C$44,$M43))</f>
        <v/>
      </c>
      <c r="E43" s="124" t="str">
        <f>IF($B43="","",SUMIFS(الإدخال!$N$5:$N$644,الإدخال!$D$5:$D$644,$B43))</f>
        <v/>
      </c>
      <c r="F43" s="124" t="str">
        <f>IF($B43="","",COUNTIFS(الإدخال!$D$5:$D$644,$B43,الإدخال!$F$5:$F$644,"غائب"))</f>
        <v/>
      </c>
      <c r="G43" s="124" t="str">
        <f>IF($B43="","",COUNTIFS(الإدخال!$D$5:$D$644,$B43,الإدخال!$F$5:$F$644,"معتذر"))</f>
        <v/>
      </c>
      <c r="H43" s="125" t="str">
        <f>IF($B43="","",IFERROR(E43/COUNTIFS(الإدخال!$D$5:$D$644,$B43,الإدخال!$F$5:$F$644,"&lt;&gt;"),""))</f>
        <v/>
      </c>
      <c r="I43" s="126" t="str">
        <f>IF($B43="","",IFERROR(SUMIFS(الإدخال!$O$5:$O$644,الإدخال!$D$5:$D$644,$B43)/SUMIFS(الإدخال!$P$5:$P$644,الإدخال!$D$5:$D$644,$B43)/100,""))</f>
        <v/>
      </c>
      <c r="J43" s="130" t="str">
        <f t="shared" si="0"/>
        <v/>
      </c>
      <c r="K43" s="124" t="str">
        <f>IF($B43="","",SUMIFS(الإدخال!$H$5:$H$644,الإدخال!$D$5:$D$644,$B43,الإدخال!$N$5:$N$644,1))</f>
        <v/>
      </c>
      <c r="L43" s="130" t="str">
        <f t="shared" si="1"/>
        <v/>
      </c>
      <c r="M43" s="132" t="str" cm="1">
        <f t="array" ref="M43">IFERROR(_xlfn.AGGREGATE(15,6,(ROW(الطلاب!$D$5:$D$44)-ROW(الطلاب!$D$5)+1)/(الطلاب!$D$5:$D$44=$C$3),ROWS(M$29:M43)),"")</f>
        <v/>
      </c>
    </row>
    <row r="44" spans="1:13">
      <c r="A44" s="24"/>
      <c r="B44" s="130" t="str" cm="1">
        <f t="array" ref="B44">IF($M44="","",INDEX(الطلاب!$A$5:$A$44,$M44))</f>
        <v/>
      </c>
      <c r="C44" s="131" t="str" cm="1">
        <f t="array" ref="C44">IF($M44="","",INDEX(الطلاب!$B$5:$B$44,$M44))</f>
        <v/>
      </c>
      <c r="D44" s="130" t="str" cm="1">
        <f t="array" ref="D44">IF($M44="","",INDEX(الطلاب!$C$5:$C$44,$M44))</f>
        <v/>
      </c>
      <c r="E44" s="124" t="str">
        <f>IF($B44="","",SUMIFS(الإدخال!$N$5:$N$644,الإدخال!$D$5:$D$644,$B44))</f>
        <v/>
      </c>
      <c r="F44" s="124" t="str">
        <f>IF($B44="","",COUNTIFS(الإدخال!$D$5:$D$644,$B44,الإدخال!$F$5:$F$644,"غائب"))</f>
        <v/>
      </c>
      <c r="G44" s="124" t="str">
        <f>IF($B44="","",COUNTIFS(الإدخال!$D$5:$D$644,$B44,الإدخال!$F$5:$F$644,"معتذر"))</f>
        <v/>
      </c>
      <c r="H44" s="125" t="str">
        <f>IF($B44="","",IFERROR(E44/COUNTIFS(الإدخال!$D$5:$D$644,$B44,الإدخال!$F$5:$F$644,"&lt;&gt;"),""))</f>
        <v/>
      </c>
      <c r="I44" s="126" t="str">
        <f>IF($B44="","",IFERROR(SUMIFS(الإدخال!$O$5:$O$644,الإدخال!$D$5:$D$644,$B44)/SUMIFS(الإدخال!$P$5:$P$644,الإدخال!$D$5:$D$644,$B44)/100,""))</f>
        <v/>
      </c>
      <c r="J44" s="130" t="str">
        <f t="shared" si="0"/>
        <v/>
      </c>
      <c r="K44" s="124" t="str">
        <f>IF($B44="","",SUMIFS(الإدخال!$H$5:$H$644,الإدخال!$D$5:$D$644,$B44,الإدخال!$N$5:$N$644,1))</f>
        <v/>
      </c>
      <c r="L44" s="130" t="str">
        <f t="shared" si="1"/>
        <v/>
      </c>
      <c r="M44" s="132" t="str" cm="1">
        <f t="array" ref="M44">IFERROR(_xlfn.AGGREGATE(15,6,(ROW(الطلاب!$D$5:$D$44)-ROW(الطلاب!$D$5)+1)/(الطلاب!$D$5:$D$44=$C$3),ROWS(M$29:M44)),"")</f>
        <v/>
      </c>
    </row>
    <row r="45" spans="1:13">
      <c r="A45" s="24"/>
      <c r="B45" s="130" t="str" cm="1">
        <f t="array" ref="B45">IF($M45="","",INDEX(الطلاب!$A$5:$A$44,$M45))</f>
        <v/>
      </c>
      <c r="C45" s="131" t="str" cm="1">
        <f t="array" ref="C45">IF($M45="","",INDEX(الطلاب!$B$5:$B$44,$M45))</f>
        <v/>
      </c>
      <c r="D45" s="130" t="str" cm="1">
        <f t="array" ref="D45">IF($M45="","",INDEX(الطلاب!$C$5:$C$44,$M45))</f>
        <v/>
      </c>
      <c r="E45" s="124" t="str">
        <f>IF($B45="","",SUMIFS(الإدخال!$N$5:$N$644,الإدخال!$D$5:$D$644,$B45))</f>
        <v/>
      </c>
      <c r="F45" s="124" t="str">
        <f>IF($B45="","",COUNTIFS(الإدخال!$D$5:$D$644,$B45,الإدخال!$F$5:$F$644,"غائب"))</f>
        <v/>
      </c>
      <c r="G45" s="124" t="str">
        <f>IF($B45="","",COUNTIFS(الإدخال!$D$5:$D$644,$B45,الإدخال!$F$5:$F$644,"معتذر"))</f>
        <v/>
      </c>
      <c r="H45" s="125" t="str">
        <f>IF($B45="","",IFERROR(E45/COUNTIFS(الإدخال!$D$5:$D$644,$B45,الإدخال!$F$5:$F$644,"&lt;&gt;"),""))</f>
        <v/>
      </c>
      <c r="I45" s="126" t="str">
        <f>IF($B45="","",IFERROR(SUMIFS(الإدخال!$O$5:$O$644,الإدخال!$D$5:$D$644,$B45)/SUMIFS(الإدخال!$P$5:$P$644,الإدخال!$D$5:$D$644,$B45)/100,""))</f>
        <v/>
      </c>
      <c r="J45" s="130" t="str">
        <f t="shared" si="0"/>
        <v/>
      </c>
      <c r="K45" s="124" t="str">
        <f>IF($B45="","",SUMIFS(الإدخال!$H$5:$H$644,الإدخال!$D$5:$D$644,$B45,الإدخال!$N$5:$N$644,1))</f>
        <v/>
      </c>
      <c r="L45" s="130" t="str">
        <f t="shared" si="1"/>
        <v/>
      </c>
      <c r="M45" s="132" t="str" cm="1">
        <f t="array" ref="M45">IFERROR(_xlfn.AGGREGATE(15,6,(ROW(الطلاب!$D$5:$D$44)-ROW(الطلاب!$D$5)+1)/(الطلاب!$D$5:$D$44=$C$3),ROWS(M$29:M45)),"")</f>
        <v/>
      </c>
    </row>
    <row r="46" spans="1:13">
      <c r="A46" s="24"/>
      <c r="B46" s="130" t="str" cm="1">
        <f t="array" ref="B46">IF($M46="","",INDEX(الطلاب!$A$5:$A$44,$M46))</f>
        <v/>
      </c>
      <c r="C46" s="131" t="str" cm="1">
        <f t="array" ref="C46">IF($M46="","",INDEX(الطلاب!$B$5:$B$44,$M46))</f>
        <v/>
      </c>
      <c r="D46" s="130" t="str" cm="1">
        <f t="array" ref="D46">IF($M46="","",INDEX(الطلاب!$C$5:$C$44,$M46))</f>
        <v/>
      </c>
      <c r="E46" s="124" t="str">
        <f>IF($B46="","",SUMIFS(الإدخال!$N$5:$N$644,الإدخال!$D$5:$D$644,$B46))</f>
        <v/>
      </c>
      <c r="F46" s="124" t="str">
        <f>IF($B46="","",COUNTIFS(الإدخال!$D$5:$D$644,$B46,الإدخال!$F$5:$F$644,"غائب"))</f>
        <v/>
      </c>
      <c r="G46" s="124" t="str">
        <f>IF($B46="","",COUNTIFS(الإدخال!$D$5:$D$644,$B46,الإدخال!$F$5:$F$644,"معتذر"))</f>
        <v/>
      </c>
      <c r="H46" s="125" t="str">
        <f>IF($B46="","",IFERROR(E46/COUNTIFS(الإدخال!$D$5:$D$644,$B46,الإدخال!$F$5:$F$644,"&lt;&gt;"),""))</f>
        <v/>
      </c>
      <c r="I46" s="126" t="str">
        <f>IF($B46="","",IFERROR(SUMIFS(الإدخال!$O$5:$O$644,الإدخال!$D$5:$D$644,$B46)/SUMIFS(الإدخال!$P$5:$P$644,الإدخال!$D$5:$D$644,$B46)/100,""))</f>
        <v/>
      </c>
      <c r="J46" s="130" t="str">
        <f t="shared" si="0"/>
        <v/>
      </c>
      <c r="K46" s="124" t="str">
        <f>IF($B46="","",SUMIFS(الإدخال!$H$5:$H$644,الإدخال!$D$5:$D$644,$B46,الإدخال!$N$5:$N$644,1))</f>
        <v/>
      </c>
      <c r="L46" s="130" t="str">
        <f t="shared" si="1"/>
        <v/>
      </c>
      <c r="M46" s="132" t="str" cm="1">
        <f t="array" ref="M46">IFERROR(_xlfn.AGGREGATE(15,6,(ROW(الطلاب!$D$5:$D$44)-ROW(الطلاب!$D$5)+1)/(الطلاب!$D$5:$D$44=$C$3),ROWS(M$29:M46)),"")</f>
        <v/>
      </c>
    </row>
    <row r="47" spans="1:13">
      <c r="A47" s="24"/>
      <c r="B47" s="130" t="str" cm="1">
        <f t="array" ref="B47">IF($M47="","",INDEX(الطلاب!$A$5:$A$44,$M47))</f>
        <v/>
      </c>
      <c r="C47" s="131" t="str" cm="1">
        <f t="array" ref="C47">IF($M47="","",INDEX(الطلاب!$B$5:$B$44,$M47))</f>
        <v/>
      </c>
      <c r="D47" s="130" t="str" cm="1">
        <f t="array" ref="D47">IF($M47="","",INDEX(الطلاب!$C$5:$C$44,$M47))</f>
        <v/>
      </c>
      <c r="E47" s="124" t="str">
        <f>IF($B47="","",SUMIFS(الإدخال!$N$5:$N$644,الإدخال!$D$5:$D$644,$B47))</f>
        <v/>
      </c>
      <c r="F47" s="124" t="str">
        <f>IF($B47="","",COUNTIFS(الإدخال!$D$5:$D$644,$B47,الإدخال!$F$5:$F$644,"غائب"))</f>
        <v/>
      </c>
      <c r="G47" s="124" t="str">
        <f>IF($B47="","",COUNTIFS(الإدخال!$D$5:$D$644,$B47,الإدخال!$F$5:$F$644,"معتذر"))</f>
        <v/>
      </c>
      <c r="H47" s="125" t="str">
        <f>IF($B47="","",IFERROR(E47/COUNTIFS(الإدخال!$D$5:$D$644,$B47,الإدخال!$F$5:$F$644,"&lt;&gt;"),""))</f>
        <v/>
      </c>
      <c r="I47" s="126" t="str">
        <f>IF($B47="","",IFERROR(SUMIFS(الإدخال!$O$5:$O$644,الإدخال!$D$5:$D$644,$B47)/SUMIFS(الإدخال!$P$5:$P$644,الإدخال!$D$5:$D$644,$B47)/100,""))</f>
        <v/>
      </c>
      <c r="J47" s="130" t="str">
        <f t="shared" si="0"/>
        <v/>
      </c>
      <c r="K47" s="124" t="str">
        <f>IF($B47="","",SUMIFS(الإدخال!$H$5:$H$644,الإدخال!$D$5:$D$644,$B47,الإدخال!$N$5:$N$644,1))</f>
        <v/>
      </c>
      <c r="L47" s="130" t="str">
        <f t="shared" si="1"/>
        <v/>
      </c>
      <c r="M47" s="132" t="str" cm="1">
        <f t="array" ref="M47">IFERROR(_xlfn.AGGREGATE(15,6,(ROW(الطلاب!$D$5:$D$44)-ROW(الطلاب!$D$5)+1)/(الطلاب!$D$5:$D$44=$C$3),ROWS(M$29:M47)),"")</f>
        <v/>
      </c>
    </row>
    <row r="48" spans="1:13">
      <c r="A48" s="24"/>
      <c r="B48" s="130" t="str" cm="1">
        <f t="array" ref="B48">IF($M48="","",INDEX(الطلاب!$A$5:$A$44,$M48))</f>
        <v/>
      </c>
      <c r="C48" s="131" t="str" cm="1">
        <f t="array" ref="C48">IF($M48="","",INDEX(الطلاب!$B$5:$B$44,$M48))</f>
        <v/>
      </c>
      <c r="D48" s="130" t="str" cm="1">
        <f t="array" ref="D48">IF($M48="","",INDEX(الطلاب!$C$5:$C$44,$M48))</f>
        <v/>
      </c>
      <c r="E48" s="124" t="str">
        <f>IF($B48="","",SUMIFS(الإدخال!$N$5:$N$644,الإدخال!$D$5:$D$644,$B48))</f>
        <v/>
      </c>
      <c r="F48" s="124" t="str">
        <f>IF($B48="","",COUNTIFS(الإدخال!$D$5:$D$644,$B48,الإدخال!$F$5:$F$644,"غائب"))</f>
        <v/>
      </c>
      <c r="G48" s="124" t="str">
        <f>IF($B48="","",COUNTIFS(الإدخال!$D$5:$D$644,$B48,الإدخال!$F$5:$F$644,"معتذر"))</f>
        <v/>
      </c>
      <c r="H48" s="125" t="str">
        <f>IF($B48="","",IFERROR(E48/COUNTIFS(الإدخال!$D$5:$D$644,$B48,الإدخال!$F$5:$F$644,"&lt;&gt;"),""))</f>
        <v/>
      </c>
      <c r="I48" s="126" t="str">
        <f>IF($B48="","",IFERROR(SUMIFS(الإدخال!$O$5:$O$644,الإدخال!$D$5:$D$644,$B48)/SUMIFS(الإدخال!$P$5:$P$644,الإدخال!$D$5:$D$644,$B48)/100,""))</f>
        <v/>
      </c>
      <c r="J48" s="130" t="str">
        <f t="shared" si="0"/>
        <v/>
      </c>
      <c r="K48" s="124" t="str">
        <f>IF($B48="","",SUMIFS(الإدخال!$H$5:$H$644,الإدخال!$D$5:$D$644,$B48,الإدخال!$N$5:$N$644,1))</f>
        <v/>
      </c>
      <c r="L48" s="130" t="str">
        <f t="shared" si="1"/>
        <v/>
      </c>
      <c r="M48" s="132" t="str" cm="1">
        <f t="array" ref="M48">IFERROR(_xlfn.AGGREGATE(15,6,(ROW(الطلاب!$D$5:$D$44)-ROW(الطلاب!$D$5)+1)/(الطلاب!$D$5:$D$44=$C$3),ROWS(M$29:M48)),"")</f>
        <v/>
      </c>
    </row>
    <row r="49" spans="1:13">
      <c r="A49" s="24"/>
      <c r="B49" s="130" t="str" cm="1">
        <f t="array" ref="B49">IF($M49="","",INDEX(الطلاب!$A$5:$A$44,$M49))</f>
        <v/>
      </c>
      <c r="C49" s="131" t="str" cm="1">
        <f t="array" ref="C49">IF($M49="","",INDEX(الطلاب!$B$5:$B$44,$M49))</f>
        <v/>
      </c>
      <c r="D49" s="130" t="str" cm="1">
        <f t="array" ref="D49">IF($M49="","",INDEX(الطلاب!$C$5:$C$44,$M49))</f>
        <v/>
      </c>
      <c r="E49" s="124" t="str">
        <f>IF($B49="","",SUMIFS(الإدخال!$N$5:$N$644,الإدخال!$D$5:$D$644,$B49))</f>
        <v/>
      </c>
      <c r="F49" s="124" t="str">
        <f>IF($B49="","",COUNTIFS(الإدخال!$D$5:$D$644,$B49,الإدخال!$F$5:$F$644,"غائب"))</f>
        <v/>
      </c>
      <c r="G49" s="124" t="str">
        <f>IF($B49="","",COUNTIFS(الإدخال!$D$5:$D$644,$B49,الإدخال!$F$5:$F$644,"معتذر"))</f>
        <v/>
      </c>
      <c r="H49" s="125" t="str">
        <f>IF($B49="","",IFERROR(E49/COUNTIFS(الإدخال!$D$5:$D$644,$B49,الإدخال!$F$5:$F$644,"&lt;&gt;"),""))</f>
        <v/>
      </c>
      <c r="I49" s="126" t="str">
        <f>IF($B49="","",IFERROR(SUMIFS(الإدخال!$O$5:$O$644,الإدخال!$D$5:$D$644,$B49)/SUMIFS(الإدخال!$P$5:$P$644,الإدخال!$D$5:$D$644,$B49)/100,""))</f>
        <v/>
      </c>
      <c r="J49" s="130" t="str">
        <f t="shared" si="0"/>
        <v/>
      </c>
      <c r="K49" s="124" t="str">
        <f>IF($B49="","",SUMIFS(الإدخال!$H$5:$H$644,الإدخال!$D$5:$D$644,$B49,الإدخال!$N$5:$N$644,1))</f>
        <v/>
      </c>
      <c r="L49" s="130" t="str">
        <f t="shared" si="1"/>
        <v/>
      </c>
      <c r="M49" s="132" t="str" cm="1">
        <f t="array" ref="M49">IFERROR(_xlfn.AGGREGATE(15,6,(ROW(الطلاب!$D$5:$D$44)-ROW(الطلاب!$D$5)+1)/(الطلاب!$D$5:$D$44=$C$3),ROWS(M$29:M49)),"")</f>
        <v/>
      </c>
    </row>
    <row r="50" spans="1:13">
      <c r="A50" s="24"/>
      <c r="B50" s="130" t="str" cm="1">
        <f t="array" ref="B50">IF($M50="","",INDEX(الطلاب!$A$5:$A$44,$M50))</f>
        <v/>
      </c>
      <c r="C50" s="131" t="str" cm="1">
        <f t="array" ref="C50">IF($M50="","",INDEX(الطلاب!$B$5:$B$44,$M50))</f>
        <v/>
      </c>
      <c r="D50" s="130" t="str" cm="1">
        <f t="array" ref="D50">IF($M50="","",INDEX(الطلاب!$C$5:$C$44,$M50))</f>
        <v/>
      </c>
      <c r="E50" s="124" t="str">
        <f>IF($B50="","",SUMIFS(الإدخال!$N$5:$N$644,الإدخال!$D$5:$D$644,$B50))</f>
        <v/>
      </c>
      <c r="F50" s="124" t="str">
        <f>IF($B50="","",COUNTIFS(الإدخال!$D$5:$D$644,$B50,الإدخال!$F$5:$F$644,"غائب"))</f>
        <v/>
      </c>
      <c r="G50" s="124" t="str">
        <f>IF($B50="","",COUNTIFS(الإدخال!$D$5:$D$644,$B50,الإدخال!$F$5:$F$644,"معتذر"))</f>
        <v/>
      </c>
      <c r="H50" s="125" t="str">
        <f>IF($B50="","",IFERROR(E50/COUNTIFS(الإدخال!$D$5:$D$644,$B50,الإدخال!$F$5:$F$644,"&lt;&gt;"),""))</f>
        <v/>
      </c>
      <c r="I50" s="126" t="str">
        <f>IF($B50="","",IFERROR(SUMIFS(الإدخال!$O$5:$O$644,الإدخال!$D$5:$D$644,$B50)/SUMIFS(الإدخال!$P$5:$P$644,الإدخال!$D$5:$D$644,$B50)/100,""))</f>
        <v/>
      </c>
      <c r="J50" s="130" t="str">
        <f t="shared" si="0"/>
        <v/>
      </c>
      <c r="K50" s="124" t="str">
        <f>IF($B50="","",SUMIFS(الإدخال!$H$5:$H$644,الإدخال!$D$5:$D$644,$B50,الإدخال!$N$5:$N$644,1))</f>
        <v/>
      </c>
      <c r="L50" s="130" t="str">
        <f t="shared" si="1"/>
        <v/>
      </c>
      <c r="M50" s="132" t="str" cm="1">
        <f t="array" ref="M50">IFERROR(_xlfn.AGGREGATE(15,6,(ROW(الطلاب!$D$5:$D$44)-ROW(الطلاب!$D$5)+1)/(الطلاب!$D$5:$D$44=$C$3),ROWS(M$29:M50)),"")</f>
        <v/>
      </c>
    </row>
    <row r="51" spans="1:13">
      <c r="A51" s="24"/>
      <c r="B51" s="130" t="str" cm="1">
        <f t="array" ref="B51">IF($M51="","",INDEX(الطلاب!$A$5:$A$44,$M51))</f>
        <v/>
      </c>
      <c r="C51" s="131" t="str" cm="1">
        <f t="array" ref="C51">IF($M51="","",INDEX(الطلاب!$B$5:$B$44,$M51))</f>
        <v/>
      </c>
      <c r="D51" s="130" t="str" cm="1">
        <f t="array" ref="D51">IF($M51="","",INDEX(الطلاب!$C$5:$C$44,$M51))</f>
        <v/>
      </c>
      <c r="E51" s="124" t="str">
        <f>IF($B51="","",SUMIFS(الإدخال!$N$5:$N$644,الإدخال!$D$5:$D$644,$B51))</f>
        <v/>
      </c>
      <c r="F51" s="124" t="str">
        <f>IF($B51="","",COUNTIFS(الإدخال!$D$5:$D$644,$B51,الإدخال!$F$5:$F$644,"غائب"))</f>
        <v/>
      </c>
      <c r="G51" s="124" t="str">
        <f>IF($B51="","",COUNTIFS(الإدخال!$D$5:$D$644,$B51,الإدخال!$F$5:$F$644,"معتذر"))</f>
        <v/>
      </c>
      <c r="H51" s="125" t="str">
        <f>IF($B51="","",IFERROR(E51/COUNTIFS(الإدخال!$D$5:$D$644,$B51,الإدخال!$F$5:$F$644,"&lt;&gt;"),""))</f>
        <v/>
      </c>
      <c r="I51" s="126" t="str">
        <f>IF($B51="","",IFERROR(SUMIFS(الإدخال!$O$5:$O$644,الإدخال!$D$5:$D$644,$B51)/SUMIFS(الإدخال!$P$5:$P$644,الإدخال!$D$5:$D$644,$B51)/100,""))</f>
        <v/>
      </c>
      <c r="J51" s="130" t="str">
        <f t="shared" si="0"/>
        <v/>
      </c>
      <c r="K51" s="124" t="str">
        <f>IF($B51="","",SUMIFS(الإدخال!$H$5:$H$644,الإدخال!$D$5:$D$644,$B51,الإدخال!$N$5:$N$644,1))</f>
        <v/>
      </c>
      <c r="L51" s="130" t="str">
        <f t="shared" si="1"/>
        <v/>
      </c>
      <c r="M51" s="132" t="str" cm="1">
        <f t="array" ref="M51">IFERROR(_xlfn.AGGREGATE(15,6,(ROW(الطلاب!$D$5:$D$44)-ROW(الطلاب!$D$5)+1)/(الطلاب!$D$5:$D$44=$C$3),ROWS(M$29:M51)),"")</f>
        <v/>
      </c>
    </row>
    <row r="52" spans="1:13">
      <c r="A52" s="24"/>
      <c r="B52" s="130" t="str" cm="1">
        <f t="array" ref="B52">IF($M52="","",INDEX(الطلاب!$A$5:$A$44,$M52))</f>
        <v/>
      </c>
      <c r="C52" s="131" t="str" cm="1">
        <f t="array" ref="C52">IF($M52="","",INDEX(الطلاب!$B$5:$B$44,$M52))</f>
        <v/>
      </c>
      <c r="D52" s="130" t="str" cm="1">
        <f t="array" ref="D52">IF($M52="","",INDEX(الطلاب!$C$5:$C$44,$M52))</f>
        <v/>
      </c>
      <c r="E52" s="124" t="str">
        <f>IF($B52="","",SUMIFS(الإدخال!$N$5:$N$644,الإدخال!$D$5:$D$644,$B52))</f>
        <v/>
      </c>
      <c r="F52" s="124" t="str">
        <f>IF($B52="","",COUNTIFS(الإدخال!$D$5:$D$644,$B52,الإدخال!$F$5:$F$644,"غائب"))</f>
        <v/>
      </c>
      <c r="G52" s="124" t="str">
        <f>IF($B52="","",COUNTIFS(الإدخال!$D$5:$D$644,$B52,الإدخال!$F$5:$F$644,"معتذر"))</f>
        <v/>
      </c>
      <c r="H52" s="125" t="str">
        <f>IF($B52="","",IFERROR(E52/COUNTIFS(الإدخال!$D$5:$D$644,$B52,الإدخال!$F$5:$F$644,"&lt;&gt;"),""))</f>
        <v/>
      </c>
      <c r="I52" s="126" t="str">
        <f>IF($B52="","",IFERROR(SUMIFS(الإدخال!$O$5:$O$644,الإدخال!$D$5:$D$644,$B52)/SUMIFS(الإدخال!$P$5:$P$644,الإدخال!$D$5:$D$644,$B52)/100,""))</f>
        <v/>
      </c>
      <c r="J52" s="130" t="str">
        <f t="shared" si="0"/>
        <v/>
      </c>
      <c r="K52" s="124" t="str">
        <f>IF($B52="","",SUMIFS(الإدخال!$H$5:$H$644,الإدخال!$D$5:$D$644,$B52,الإدخال!$N$5:$N$644,1))</f>
        <v/>
      </c>
      <c r="L52" s="130" t="str">
        <f t="shared" si="1"/>
        <v/>
      </c>
      <c r="M52" s="132" t="str" cm="1">
        <f t="array" ref="M52">IFERROR(_xlfn.AGGREGATE(15,6,(ROW(الطلاب!$D$5:$D$44)-ROW(الطلاب!$D$5)+1)/(الطلاب!$D$5:$D$44=$C$3),ROWS(M$29:M52)),"")</f>
        <v/>
      </c>
    </row>
    <row r="53" spans="1:13">
      <c r="A53" s="24"/>
      <c r="B53" s="130" t="str" cm="1">
        <f t="array" ref="B53">IF($M53="","",INDEX(الطلاب!$A$5:$A$44,$M53))</f>
        <v/>
      </c>
      <c r="C53" s="131" t="str" cm="1">
        <f t="array" ref="C53">IF($M53="","",INDEX(الطلاب!$B$5:$B$44,$M53))</f>
        <v/>
      </c>
      <c r="D53" s="130" t="str" cm="1">
        <f t="array" ref="D53">IF($M53="","",INDEX(الطلاب!$C$5:$C$44,$M53))</f>
        <v/>
      </c>
      <c r="E53" s="124" t="str">
        <f>IF($B53="","",SUMIFS(الإدخال!$N$5:$N$644,الإدخال!$D$5:$D$644,$B53))</f>
        <v/>
      </c>
      <c r="F53" s="124" t="str">
        <f>IF($B53="","",COUNTIFS(الإدخال!$D$5:$D$644,$B53,الإدخال!$F$5:$F$644,"غائب"))</f>
        <v/>
      </c>
      <c r="G53" s="124" t="str">
        <f>IF($B53="","",COUNTIFS(الإدخال!$D$5:$D$644,$B53,الإدخال!$F$5:$F$644,"معتذر"))</f>
        <v/>
      </c>
      <c r="H53" s="125" t="str">
        <f>IF($B53="","",IFERROR(E53/COUNTIFS(الإدخال!$D$5:$D$644,$B53,الإدخال!$F$5:$F$644,"&lt;&gt;"),""))</f>
        <v/>
      </c>
      <c r="I53" s="126" t="str">
        <f>IF($B53="","",IFERROR(SUMIFS(الإدخال!$O$5:$O$644,الإدخال!$D$5:$D$644,$B53)/SUMIFS(الإدخال!$P$5:$P$644,الإدخال!$D$5:$D$644,$B53)/100,""))</f>
        <v/>
      </c>
      <c r="J53" s="130" t="str">
        <f t="shared" si="0"/>
        <v/>
      </c>
      <c r="K53" s="124" t="str">
        <f>IF($B53="","",SUMIFS(الإدخال!$H$5:$H$644,الإدخال!$D$5:$D$644,$B53,الإدخال!$N$5:$N$644,1))</f>
        <v/>
      </c>
      <c r="L53" s="130" t="str">
        <f t="shared" si="1"/>
        <v/>
      </c>
      <c r="M53" s="132" t="str" cm="1">
        <f t="array" ref="M53">IFERROR(_xlfn.AGGREGATE(15,6,(ROW(الطلاب!$D$5:$D$44)-ROW(الطلاب!$D$5)+1)/(الطلاب!$D$5:$D$44=$C$3),ROWS(M$29:M53)),"")</f>
        <v/>
      </c>
    </row>
    <row r="54" spans="1:13">
      <c r="A54" s="24"/>
      <c r="B54" s="130" t="str" cm="1">
        <f t="array" ref="B54">IF($M54="","",INDEX(الطلاب!$A$5:$A$44,$M54))</f>
        <v/>
      </c>
      <c r="C54" s="131" t="str" cm="1">
        <f t="array" ref="C54">IF($M54="","",INDEX(الطلاب!$B$5:$B$44,$M54))</f>
        <v/>
      </c>
      <c r="D54" s="130" t="str" cm="1">
        <f t="array" ref="D54">IF($M54="","",INDEX(الطلاب!$C$5:$C$44,$M54))</f>
        <v/>
      </c>
      <c r="E54" s="124" t="str">
        <f>IF($B54="","",SUMIFS(الإدخال!$N$5:$N$644,الإدخال!$D$5:$D$644,$B54))</f>
        <v/>
      </c>
      <c r="F54" s="124" t="str">
        <f>IF($B54="","",COUNTIFS(الإدخال!$D$5:$D$644,$B54,الإدخال!$F$5:$F$644,"غائب"))</f>
        <v/>
      </c>
      <c r="G54" s="124" t="str">
        <f>IF($B54="","",COUNTIFS(الإدخال!$D$5:$D$644,$B54,الإدخال!$F$5:$F$644,"معتذر"))</f>
        <v/>
      </c>
      <c r="H54" s="125" t="str">
        <f>IF($B54="","",IFERROR(E54/COUNTIFS(الإدخال!$D$5:$D$644,$B54,الإدخال!$F$5:$F$644,"&lt;&gt;"),""))</f>
        <v/>
      </c>
      <c r="I54" s="126" t="str">
        <f>IF($B54="","",IFERROR(SUMIFS(الإدخال!$O$5:$O$644,الإدخال!$D$5:$D$644,$B54)/SUMIFS(الإدخال!$P$5:$P$644,الإدخال!$D$5:$D$644,$B54)/100,""))</f>
        <v/>
      </c>
      <c r="J54" s="130" t="str">
        <f t="shared" si="0"/>
        <v/>
      </c>
      <c r="K54" s="124" t="str">
        <f>IF($B54="","",SUMIFS(الإدخال!$H$5:$H$644,الإدخال!$D$5:$D$644,$B54,الإدخال!$N$5:$N$644,1))</f>
        <v/>
      </c>
      <c r="L54" s="130" t="str">
        <f t="shared" si="1"/>
        <v/>
      </c>
      <c r="M54" s="132" t="str" cm="1">
        <f t="array" ref="M54">IFERROR(_xlfn.AGGREGATE(15,6,(ROW(الطلاب!$D$5:$D$44)-ROW(الطلاب!$D$5)+1)/(الطلاب!$D$5:$D$44=$C$3),ROWS(M$29:M54)),"")</f>
        <v/>
      </c>
    </row>
    <row r="55" spans="1:13">
      <c r="A55" s="24"/>
      <c r="B55" s="130" t="str" cm="1">
        <f t="array" ref="B55">IF($M55="","",INDEX(الطلاب!$A$5:$A$44,$M55))</f>
        <v/>
      </c>
      <c r="C55" s="131" t="str" cm="1">
        <f t="array" ref="C55">IF($M55="","",INDEX(الطلاب!$B$5:$B$44,$M55))</f>
        <v/>
      </c>
      <c r="D55" s="130" t="str" cm="1">
        <f t="array" ref="D55">IF($M55="","",INDEX(الطلاب!$C$5:$C$44,$M55))</f>
        <v/>
      </c>
      <c r="E55" s="124" t="str">
        <f>IF($B55="","",SUMIFS(الإدخال!$N$5:$N$644,الإدخال!$D$5:$D$644,$B55))</f>
        <v/>
      </c>
      <c r="F55" s="124" t="str">
        <f>IF($B55="","",COUNTIFS(الإدخال!$D$5:$D$644,$B55,الإدخال!$F$5:$F$644,"غائب"))</f>
        <v/>
      </c>
      <c r="G55" s="124" t="str">
        <f>IF($B55="","",COUNTIFS(الإدخال!$D$5:$D$644,$B55,الإدخال!$F$5:$F$644,"معتذر"))</f>
        <v/>
      </c>
      <c r="H55" s="125" t="str">
        <f>IF($B55="","",IFERROR(E55/COUNTIFS(الإدخال!$D$5:$D$644,$B55,الإدخال!$F$5:$F$644,"&lt;&gt;"),""))</f>
        <v/>
      </c>
      <c r="I55" s="126" t="str">
        <f>IF($B55="","",IFERROR(SUMIFS(الإدخال!$O$5:$O$644,الإدخال!$D$5:$D$644,$B55)/SUMIFS(الإدخال!$P$5:$P$644,الإدخال!$D$5:$D$644,$B55)/100,""))</f>
        <v/>
      </c>
      <c r="J55" s="130" t="str">
        <f t="shared" si="0"/>
        <v/>
      </c>
      <c r="K55" s="124" t="str">
        <f>IF($B55="","",SUMIFS(الإدخال!$H$5:$H$644,الإدخال!$D$5:$D$644,$B55,الإدخال!$N$5:$N$644,1))</f>
        <v/>
      </c>
      <c r="L55" s="130" t="str">
        <f t="shared" si="1"/>
        <v/>
      </c>
      <c r="M55" s="132" t="str" cm="1">
        <f t="array" ref="M55">IFERROR(_xlfn.AGGREGATE(15,6,(ROW(الطلاب!$D$5:$D$44)-ROW(الطلاب!$D$5)+1)/(الطلاب!$D$5:$D$44=$C$3),ROWS(M$29:M55)),"")</f>
        <v/>
      </c>
    </row>
    <row r="56" spans="1:13">
      <c r="A56" s="24"/>
      <c r="B56" s="130" t="str" cm="1">
        <f t="array" ref="B56">IF($M56="","",INDEX(الطلاب!$A$5:$A$44,$M56))</f>
        <v/>
      </c>
      <c r="C56" s="131" t="str" cm="1">
        <f t="array" ref="C56">IF($M56="","",INDEX(الطلاب!$B$5:$B$44,$M56))</f>
        <v/>
      </c>
      <c r="D56" s="130" t="str" cm="1">
        <f t="array" ref="D56">IF($M56="","",INDEX(الطلاب!$C$5:$C$44,$M56))</f>
        <v/>
      </c>
      <c r="E56" s="124" t="str">
        <f>IF($B56="","",SUMIFS(الإدخال!$N$5:$N$644,الإدخال!$D$5:$D$644,$B56))</f>
        <v/>
      </c>
      <c r="F56" s="124" t="str">
        <f>IF($B56="","",COUNTIFS(الإدخال!$D$5:$D$644,$B56,الإدخال!$F$5:$F$644,"غائب"))</f>
        <v/>
      </c>
      <c r="G56" s="124" t="str">
        <f>IF($B56="","",COUNTIFS(الإدخال!$D$5:$D$644,$B56,الإدخال!$F$5:$F$644,"معتذر"))</f>
        <v/>
      </c>
      <c r="H56" s="125" t="str">
        <f>IF($B56="","",IFERROR(E56/COUNTIFS(الإدخال!$D$5:$D$644,$B56,الإدخال!$F$5:$F$644,"&lt;&gt;"),""))</f>
        <v/>
      </c>
      <c r="I56" s="126" t="str">
        <f>IF($B56="","",IFERROR(SUMIFS(الإدخال!$O$5:$O$644,الإدخال!$D$5:$D$644,$B56)/SUMIFS(الإدخال!$P$5:$P$644,الإدخال!$D$5:$D$644,$B56)/100,""))</f>
        <v/>
      </c>
      <c r="J56" s="130" t="str">
        <f t="shared" si="0"/>
        <v/>
      </c>
      <c r="K56" s="124" t="str">
        <f>IF($B56="","",SUMIFS(الإدخال!$H$5:$H$644,الإدخال!$D$5:$D$644,$B56,الإدخال!$N$5:$N$644,1))</f>
        <v/>
      </c>
      <c r="L56" s="130" t="str">
        <f t="shared" si="1"/>
        <v/>
      </c>
      <c r="M56" s="132" t="str" cm="1">
        <f t="array" ref="M56">IFERROR(_xlfn.AGGREGATE(15,6,(ROW(الطلاب!$D$5:$D$44)-ROW(الطلاب!$D$5)+1)/(الطلاب!$D$5:$D$44=$C$3),ROWS(M$29:M56)),"")</f>
        <v/>
      </c>
    </row>
    <row r="57" spans="1:13">
      <c r="A57" s="24"/>
      <c r="B57" s="130" t="str" cm="1">
        <f t="array" ref="B57">IF($M57="","",INDEX(الطلاب!$A$5:$A$44,$M57))</f>
        <v/>
      </c>
      <c r="C57" s="131" t="str" cm="1">
        <f t="array" ref="C57">IF($M57="","",INDEX(الطلاب!$B$5:$B$44,$M57))</f>
        <v/>
      </c>
      <c r="D57" s="130" t="str" cm="1">
        <f t="array" ref="D57">IF($M57="","",INDEX(الطلاب!$C$5:$C$44,$M57))</f>
        <v/>
      </c>
      <c r="E57" s="124" t="str">
        <f>IF($B57="","",SUMIFS(الإدخال!$N$5:$N$644,الإدخال!$D$5:$D$644,$B57))</f>
        <v/>
      </c>
      <c r="F57" s="124" t="str">
        <f>IF($B57="","",COUNTIFS(الإدخال!$D$5:$D$644,$B57,الإدخال!$F$5:$F$644,"غائب"))</f>
        <v/>
      </c>
      <c r="G57" s="124" t="str">
        <f>IF($B57="","",COUNTIFS(الإدخال!$D$5:$D$644,$B57,الإدخال!$F$5:$F$644,"معتذر"))</f>
        <v/>
      </c>
      <c r="H57" s="125" t="str">
        <f>IF($B57="","",IFERROR(E57/COUNTIFS(الإدخال!$D$5:$D$644,$B57,الإدخال!$F$5:$F$644,"&lt;&gt;"),""))</f>
        <v/>
      </c>
      <c r="I57" s="126" t="str">
        <f>IF($B57="","",IFERROR(SUMIFS(الإدخال!$O$5:$O$644,الإدخال!$D$5:$D$644,$B57)/SUMIFS(الإدخال!$P$5:$P$644,الإدخال!$D$5:$D$644,$B57)/100,""))</f>
        <v/>
      </c>
      <c r="J57" s="130" t="str">
        <f t="shared" si="0"/>
        <v/>
      </c>
      <c r="K57" s="124" t="str">
        <f>IF($B57="","",SUMIFS(الإدخال!$H$5:$H$644,الإدخال!$D$5:$D$644,$B57,الإدخال!$N$5:$N$644,1))</f>
        <v/>
      </c>
      <c r="L57" s="130" t="str">
        <f t="shared" si="1"/>
        <v/>
      </c>
      <c r="M57" s="132" t="str" cm="1">
        <f t="array" ref="M57">IFERROR(_xlfn.AGGREGATE(15,6,(ROW(الطلاب!$D$5:$D$44)-ROW(الطلاب!$D$5)+1)/(الطلاب!$D$5:$D$44=$C$3),ROWS(M$29:M57)),"")</f>
        <v/>
      </c>
    </row>
    <row r="58" spans="1:13">
      <c r="A58" s="24"/>
      <c r="B58" s="130" t="str" cm="1">
        <f t="array" ref="B58">IF($M58="","",INDEX(الطلاب!$A$5:$A$44,$M58))</f>
        <v/>
      </c>
      <c r="C58" s="131" t="str" cm="1">
        <f t="array" ref="C58">IF($M58="","",INDEX(الطلاب!$B$5:$B$44,$M58))</f>
        <v/>
      </c>
      <c r="D58" s="130" t="str" cm="1">
        <f t="array" ref="D58">IF($M58="","",INDEX(الطلاب!$C$5:$C$44,$M58))</f>
        <v/>
      </c>
      <c r="E58" s="124" t="str">
        <f>IF($B58="","",SUMIFS(الإدخال!$N$5:$N$644,الإدخال!$D$5:$D$644,$B58))</f>
        <v/>
      </c>
      <c r="F58" s="124" t="str">
        <f>IF($B58="","",COUNTIFS(الإدخال!$D$5:$D$644,$B58,الإدخال!$F$5:$F$644,"غائب"))</f>
        <v/>
      </c>
      <c r="G58" s="124" t="str">
        <f>IF($B58="","",COUNTIFS(الإدخال!$D$5:$D$644,$B58,الإدخال!$F$5:$F$644,"معتذر"))</f>
        <v/>
      </c>
      <c r="H58" s="125" t="str">
        <f>IF($B58="","",IFERROR(E58/COUNTIFS(الإدخال!$D$5:$D$644,$B58,الإدخال!$F$5:$F$644,"&lt;&gt;"),""))</f>
        <v/>
      </c>
      <c r="I58" s="126" t="str">
        <f>IF($B58="","",IFERROR(SUMIFS(الإدخال!$O$5:$O$644,الإدخال!$D$5:$D$644,$B58)/SUMIFS(الإدخال!$P$5:$P$644,الإدخال!$D$5:$D$644,$B58)/100,""))</f>
        <v/>
      </c>
      <c r="J58" s="130" t="str">
        <f t="shared" si="0"/>
        <v/>
      </c>
      <c r="K58" s="124" t="str">
        <f>IF($B58="","",SUMIFS(الإدخال!$H$5:$H$644,الإدخال!$D$5:$D$644,$B58,الإدخال!$N$5:$N$644,1))</f>
        <v/>
      </c>
      <c r="L58" s="130" t="str">
        <f t="shared" si="1"/>
        <v/>
      </c>
      <c r="M58" s="132" t="str" cm="1">
        <f t="array" ref="M58">IFERROR(_xlfn.AGGREGATE(15,6,(ROW(الطلاب!$D$5:$D$44)-ROW(الطلاب!$D$5)+1)/(الطلاب!$D$5:$D$44=$C$3),ROWS(M$29:M58)),"")</f>
        <v/>
      </c>
    </row>
    <row r="59" spans="1:13">
      <c r="A59" s="24"/>
      <c r="B59" s="130" t="str" cm="1">
        <f t="array" ref="B59">IF($M59="","",INDEX(الطلاب!$A$5:$A$44,$M59))</f>
        <v/>
      </c>
      <c r="C59" s="131" t="str" cm="1">
        <f t="array" ref="C59">IF($M59="","",INDEX(الطلاب!$B$5:$B$44,$M59))</f>
        <v/>
      </c>
      <c r="D59" s="130" t="str" cm="1">
        <f t="array" ref="D59">IF($M59="","",INDEX(الطلاب!$C$5:$C$44,$M59))</f>
        <v/>
      </c>
      <c r="E59" s="124" t="str">
        <f>IF($B59="","",SUMIFS(الإدخال!$N$5:$N$644,الإدخال!$D$5:$D$644,$B59))</f>
        <v/>
      </c>
      <c r="F59" s="124" t="str">
        <f>IF($B59="","",COUNTIFS(الإدخال!$D$5:$D$644,$B59,الإدخال!$F$5:$F$644,"غائب"))</f>
        <v/>
      </c>
      <c r="G59" s="124" t="str">
        <f>IF($B59="","",COUNTIFS(الإدخال!$D$5:$D$644,$B59,الإدخال!$F$5:$F$644,"معتذر"))</f>
        <v/>
      </c>
      <c r="H59" s="125" t="str">
        <f>IF($B59="","",IFERROR(E59/COUNTIFS(الإدخال!$D$5:$D$644,$B59,الإدخال!$F$5:$F$644,"&lt;&gt;"),""))</f>
        <v/>
      </c>
      <c r="I59" s="126" t="str">
        <f>IF($B59="","",IFERROR(SUMIFS(الإدخال!$O$5:$O$644,الإدخال!$D$5:$D$644,$B59)/SUMIFS(الإدخال!$P$5:$P$644,الإدخال!$D$5:$D$644,$B59)/100,""))</f>
        <v/>
      </c>
      <c r="J59" s="130" t="str">
        <f t="shared" si="0"/>
        <v/>
      </c>
      <c r="K59" s="124" t="str">
        <f>IF($B59="","",SUMIFS(الإدخال!$H$5:$H$644,الإدخال!$D$5:$D$644,$B59,الإدخال!$N$5:$N$644,1))</f>
        <v/>
      </c>
      <c r="L59" s="130" t="str">
        <f t="shared" si="1"/>
        <v/>
      </c>
      <c r="M59" s="132" t="str" cm="1">
        <f t="array" ref="M59">IFERROR(_xlfn.AGGREGATE(15,6,(ROW(الطلاب!$D$5:$D$44)-ROW(الطلاب!$D$5)+1)/(الطلاب!$D$5:$D$44=$C$3),ROWS(M$29:M59)),"")</f>
        <v/>
      </c>
    </row>
    <row r="60" spans="1:13">
      <c r="A60" s="24"/>
      <c r="B60" s="130" t="str" cm="1">
        <f t="array" ref="B60">IF($M60="","",INDEX(الطلاب!$A$5:$A$44,$M60))</f>
        <v/>
      </c>
      <c r="C60" s="131" t="str" cm="1">
        <f t="array" ref="C60">IF($M60="","",INDEX(الطلاب!$B$5:$B$44,$M60))</f>
        <v/>
      </c>
      <c r="D60" s="130" t="str" cm="1">
        <f t="array" ref="D60">IF($M60="","",INDEX(الطلاب!$C$5:$C$44,$M60))</f>
        <v/>
      </c>
      <c r="E60" s="124" t="str">
        <f>IF($B60="","",SUMIFS(الإدخال!$N$5:$N$644,الإدخال!$D$5:$D$644,$B60))</f>
        <v/>
      </c>
      <c r="F60" s="124" t="str">
        <f>IF($B60="","",COUNTIFS(الإدخال!$D$5:$D$644,$B60,الإدخال!$F$5:$F$644,"غائب"))</f>
        <v/>
      </c>
      <c r="G60" s="124" t="str">
        <f>IF($B60="","",COUNTIFS(الإدخال!$D$5:$D$644,$B60,الإدخال!$F$5:$F$644,"معتذر"))</f>
        <v/>
      </c>
      <c r="H60" s="125" t="str">
        <f>IF($B60="","",IFERROR(E60/COUNTIFS(الإدخال!$D$5:$D$644,$B60,الإدخال!$F$5:$F$644,"&lt;&gt;"),""))</f>
        <v/>
      </c>
      <c r="I60" s="126" t="str">
        <f>IF($B60="","",IFERROR(SUMIFS(الإدخال!$O$5:$O$644,الإدخال!$D$5:$D$644,$B60)/SUMIFS(الإدخال!$P$5:$P$644,الإدخال!$D$5:$D$644,$B60)/100,""))</f>
        <v/>
      </c>
      <c r="J60" s="130" t="str">
        <f t="shared" si="0"/>
        <v/>
      </c>
      <c r="K60" s="124" t="str">
        <f>IF($B60="","",SUMIFS(الإدخال!$H$5:$H$644,الإدخال!$D$5:$D$644,$B60,الإدخال!$N$5:$N$644,1))</f>
        <v/>
      </c>
      <c r="L60" s="130" t="str">
        <f t="shared" si="1"/>
        <v/>
      </c>
      <c r="M60" s="132" t="str" cm="1">
        <f t="array" ref="M60">IFERROR(_xlfn.AGGREGATE(15,6,(ROW(الطلاب!$D$5:$D$44)-ROW(الطلاب!$D$5)+1)/(الطلاب!$D$5:$D$44=$C$3),ROWS(M$29:M60)),"")</f>
        <v/>
      </c>
    </row>
    <row r="61" spans="1:13">
      <c r="A61" s="24"/>
      <c r="B61" s="130" t="str" cm="1">
        <f t="array" ref="B61">IF($M61="","",INDEX(الطلاب!$A$5:$A$44,$M61))</f>
        <v/>
      </c>
      <c r="C61" s="131" t="str" cm="1">
        <f t="array" ref="C61">IF($M61="","",INDEX(الطلاب!$B$5:$B$44,$M61))</f>
        <v/>
      </c>
      <c r="D61" s="130" t="str" cm="1">
        <f t="array" ref="D61">IF($M61="","",INDEX(الطلاب!$C$5:$C$44,$M61))</f>
        <v/>
      </c>
      <c r="E61" s="124" t="str">
        <f>IF($B61="","",SUMIFS(الإدخال!$N$5:$N$644,الإدخال!$D$5:$D$644,$B61))</f>
        <v/>
      </c>
      <c r="F61" s="124" t="str">
        <f>IF($B61="","",COUNTIFS(الإدخال!$D$5:$D$644,$B61,الإدخال!$F$5:$F$644,"غائب"))</f>
        <v/>
      </c>
      <c r="G61" s="124" t="str">
        <f>IF($B61="","",COUNTIFS(الإدخال!$D$5:$D$644,$B61,الإدخال!$F$5:$F$644,"معتذر"))</f>
        <v/>
      </c>
      <c r="H61" s="125" t="str">
        <f>IF($B61="","",IFERROR(E61/COUNTIFS(الإدخال!$D$5:$D$644,$B61,الإدخال!$F$5:$F$644,"&lt;&gt;"),""))</f>
        <v/>
      </c>
      <c r="I61" s="126" t="str">
        <f>IF($B61="","",IFERROR(SUMIFS(الإدخال!$O$5:$O$644,الإدخال!$D$5:$D$644,$B61)/SUMIFS(الإدخال!$P$5:$P$644,الإدخال!$D$5:$D$644,$B61)/100,""))</f>
        <v/>
      </c>
      <c r="J61" s="130" t="str">
        <f t="shared" si="0"/>
        <v/>
      </c>
      <c r="K61" s="124" t="str">
        <f>IF($B61="","",SUMIFS(الإدخال!$H$5:$H$644,الإدخال!$D$5:$D$644,$B61,الإدخال!$N$5:$N$644,1))</f>
        <v/>
      </c>
      <c r="L61" s="130" t="str">
        <f t="shared" si="1"/>
        <v/>
      </c>
      <c r="M61" s="132" t="str" cm="1">
        <f t="array" ref="M61">IFERROR(_xlfn.AGGREGATE(15,6,(ROW(الطلاب!$D$5:$D$44)-ROW(الطلاب!$D$5)+1)/(الطلاب!$D$5:$D$44=$C$3),ROWS(M$29:M61)),"")</f>
        <v/>
      </c>
    </row>
    <row r="62" spans="1:13">
      <c r="A62" s="24"/>
      <c r="B62" s="130" t="str" cm="1">
        <f t="array" ref="B62">IF($M62="","",INDEX(الطلاب!$A$5:$A$44,$M62))</f>
        <v/>
      </c>
      <c r="C62" s="131" t="str" cm="1">
        <f t="array" ref="C62">IF($M62="","",INDEX(الطلاب!$B$5:$B$44,$M62))</f>
        <v/>
      </c>
      <c r="D62" s="130" t="str" cm="1">
        <f t="array" ref="D62">IF($M62="","",INDEX(الطلاب!$C$5:$C$44,$M62))</f>
        <v/>
      </c>
      <c r="E62" s="124" t="str">
        <f>IF($B62="","",SUMIFS(الإدخال!$N$5:$N$644,الإدخال!$D$5:$D$644,$B62))</f>
        <v/>
      </c>
      <c r="F62" s="124" t="str">
        <f>IF($B62="","",COUNTIFS(الإدخال!$D$5:$D$644,$B62,الإدخال!$F$5:$F$644,"غائب"))</f>
        <v/>
      </c>
      <c r="G62" s="124" t="str">
        <f>IF($B62="","",COUNTIFS(الإدخال!$D$5:$D$644,$B62,الإدخال!$F$5:$F$644,"معتذر"))</f>
        <v/>
      </c>
      <c r="H62" s="125" t="str">
        <f>IF($B62="","",IFERROR(E62/COUNTIFS(الإدخال!$D$5:$D$644,$B62,الإدخال!$F$5:$F$644,"&lt;&gt;"),""))</f>
        <v/>
      </c>
      <c r="I62" s="126" t="str">
        <f>IF($B62="","",IFERROR(SUMIFS(الإدخال!$O$5:$O$644,الإدخال!$D$5:$D$644,$B62)/SUMIFS(الإدخال!$P$5:$P$644,الإدخال!$D$5:$D$644,$B62)/100,""))</f>
        <v/>
      </c>
      <c r="J62" s="130" t="str">
        <f t="shared" si="0"/>
        <v/>
      </c>
      <c r="K62" s="124" t="str">
        <f>IF($B62="","",SUMIFS(الإدخال!$H$5:$H$644,الإدخال!$D$5:$D$644,$B62,الإدخال!$N$5:$N$644,1))</f>
        <v/>
      </c>
      <c r="L62" s="130" t="str">
        <f t="shared" si="1"/>
        <v/>
      </c>
      <c r="M62" s="132" t="str" cm="1">
        <f t="array" ref="M62">IFERROR(_xlfn.AGGREGATE(15,6,(ROW(الطلاب!$D$5:$D$44)-ROW(الطلاب!$D$5)+1)/(الطلاب!$D$5:$D$44=$C$3),ROWS(M$29:M62)),"")</f>
        <v/>
      </c>
    </row>
    <row r="63" spans="1:13">
      <c r="A63" s="24"/>
      <c r="B63" s="130" t="str" cm="1">
        <f t="array" ref="B63">IF($M63="","",INDEX(الطلاب!$A$5:$A$44,$M63))</f>
        <v/>
      </c>
      <c r="C63" s="131" t="str" cm="1">
        <f t="array" ref="C63">IF($M63="","",INDEX(الطلاب!$B$5:$B$44,$M63))</f>
        <v/>
      </c>
      <c r="D63" s="130" t="str" cm="1">
        <f t="array" ref="D63">IF($M63="","",INDEX(الطلاب!$C$5:$C$44,$M63))</f>
        <v/>
      </c>
      <c r="E63" s="124" t="str">
        <f>IF($B63="","",SUMIFS(الإدخال!$N$5:$N$644,الإدخال!$D$5:$D$644,$B63))</f>
        <v/>
      </c>
      <c r="F63" s="124" t="str">
        <f>IF($B63="","",COUNTIFS(الإدخال!$D$5:$D$644,$B63,الإدخال!$F$5:$F$644,"غائب"))</f>
        <v/>
      </c>
      <c r="G63" s="124" t="str">
        <f>IF($B63="","",COUNTIFS(الإدخال!$D$5:$D$644,$B63,الإدخال!$F$5:$F$644,"معتذر"))</f>
        <v/>
      </c>
      <c r="H63" s="125" t="str">
        <f>IF($B63="","",IFERROR(E63/COUNTIFS(الإدخال!$D$5:$D$644,$B63,الإدخال!$F$5:$F$644,"&lt;&gt;"),""))</f>
        <v/>
      </c>
      <c r="I63" s="126" t="str">
        <f>IF($B63="","",IFERROR(SUMIFS(الإدخال!$O$5:$O$644,الإدخال!$D$5:$D$644,$B63)/SUMIFS(الإدخال!$P$5:$P$644,الإدخال!$D$5:$D$644,$B63)/100,""))</f>
        <v/>
      </c>
      <c r="J63" s="130" t="str">
        <f t="shared" si="0"/>
        <v/>
      </c>
      <c r="K63" s="124" t="str">
        <f>IF($B63="","",SUMIFS(الإدخال!$H$5:$H$644,الإدخال!$D$5:$D$644,$B63,الإدخال!$N$5:$N$644,1))</f>
        <v/>
      </c>
      <c r="L63" s="130" t="str">
        <f t="shared" si="1"/>
        <v/>
      </c>
      <c r="M63" s="132" t="str" cm="1">
        <f t="array" ref="M63">IFERROR(_xlfn.AGGREGATE(15,6,(ROW(الطلاب!$D$5:$D$44)-ROW(الطلاب!$D$5)+1)/(الطلاب!$D$5:$D$44=$C$3),ROWS(M$29:M63)),"")</f>
        <v/>
      </c>
    </row>
    <row r="64" spans="1:13">
      <c r="A64" s="24"/>
      <c r="B64" s="130" t="str" cm="1">
        <f t="array" ref="B64">IF($M64="","",INDEX(الطلاب!$A$5:$A$44,$M64))</f>
        <v/>
      </c>
      <c r="C64" s="131" t="str" cm="1">
        <f t="array" ref="C64">IF($M64="","",INDEX(الطلاب!$B$5:$B$44,$M64))</f>
        <v/>
      </c>
      <c r="D64" s="130" t="str" cm="1">
        <f t="array" ref="D64">IF($M64="","",INDEX(الطلاب!$C$5:$C$44,$M64))</f>
        <v/>
      </c>
      <c r="E64" s="124" t="str">
        <f>IF($B64="","",SUMIFS(الإدخال!$N$5:$N$644,الإدخال!$D$5:$D$644,$B64))</f>
        <v/>
      </c>
      <c r="F64" s="124" t="str">
        <f>IF($B64="","",COUNTIFS(الإدخال!$D$5:$D$644,$B64,الإدخال!$F$5:$F$644,"غائب"))</f>
        <v/>
      </c>
      <c r="G64" s="124" t="str">
        <f>IF($B64="","",COUNTIFS(الإدخال!$D$5:$D$644,$B64,الإدخال!$F$5:$F$644,"معتذر"))</f>
        <v/>
      </c>
      <c r="H64" s="125" t="str">
        <f>IF($B64="","",IFERROR(E64/COUNTIFS(الإدخال!$D$5:$D$644,$B64,الإدخال!$F$5:$F$644,"&lt;&gt;"),""))</f>
        <v/>
      </c>
      <c r="I64" s="126" t="str">
        <f>IF($B64="","",IFERROR(SUMIFS(الإدخال!$O$5:$O$644,الإدخال!$D$5:$D$644,$B64)/SUMIFS(الإدخال!$P$5:$P$644,الإدخال!$D$5:$D$644,$B64)/100,""))</f>
        <v/>
      </c>
      <c r="J64" s="130" t="str">
        <f t="shared" si="0"/>
        <v/>
      </c>
      <c r="K64" s="124" t="str">
        <f>IF($B64="","",SUMIFS(الإدخال!$H$5:$H$644,الإدخال!$D$5:$D$644,$B64,الإدخال!$N$5:$N$644,1))</f>
        <v/>
      </c>
      <c r="L64" s="130" t="str">
        <f t="shared" si="1"/>
        <v/>
      </c>
      <c r="M64" s="132" t="str" cm="1">
        <f t="array" ref="M64">IFERROR(_xlfn.AGGREGATE(15,6,(ROW(الطلاب!$D$5:$D$44)-ROW(الطلاب!$D$5)+1)/(الطلاب!$D$5:$D$44=$C$3),ROWS(M$29:M64)),"")</f>
        <v/>
      </c>
    </row>
    <row r="65" spans="1:13">
      <c r="A65" s="24"/>
      <c r="B65" s="130" t="str" cm="1">
        <f t="array" ref="B65">IF($M65="","",INDEX(الطلاب!$A$5:$A$44,$M65))</f>
        <v/>
      </c>
      <c r="C65" s="131" t="str" cm="1">
        <f t="array" ref="C65">IF($M65="","",INDEX(الطلاب!$B$5:$B$44,$M65))</f>
        <v/>
      </c>
      <c r="D65" s="130" t="str" cm="1">
        <f t="array" ref="D65">IF($M65="","",INDEX(الطلاب!$C$5:$C$44,$M65))</f>
        <v/>
      </c>
      <c r="E65" s="124" t="str">
        <f>IF($B65="","",SUMIFS(الإدخال!$N$5:$N$644,الإدخال!$D$5:$D$644,$B65))</f>
        <v/>
      </c>
      <c r="F65" s="124" t="str">
        <f>IF($B65="","",COUNTIFS(الإدخال!$D$5:$D$644,$B65,الإدخال!$F$5:$F$644,"غائب"))</f>
        <v/>
      </c>
      <c r="G65" s="124" t="str">
        <f>IF($B65="","",COUNTIFS(الإدخال!$D$5:$D$644,$B65,الإدخال!$F$5:$F$644,"معتذر"))</f>
        <v/>
      </c>
      <c r="H65" s="125" t="str">
        <f>IF($B65="","",IFERROR(E65/COUNTIFS(الإدخال!$D$5:$D$644,$B65,الإدخال!$F$5:$F$644,"&lt;&gt;"),""))</f>
        <v/>
      </c>
      <c r="I65" s="126" t="str">
        <f>IF($B65="","",IFERROR(SUMIFS(الإدخال!$O$5:$O$644,الإدخال!$D$5:$D$644,$B65)/SUMIFS(الإدخال!$P$5:$P$644,الإدخال!$D$5:$D$644,$B65)/100,""))</f>
        <v/>
      </c>
      <c r="J65" s="130" t="str">
        <f t="shared" si="0"/>
        <v/>
      </c>
      <c r="K65" s="124" t="str">
        <f>IF($B65="","",SUMIFS(الإدخال!$H$5:$H$644,الإدخال!$D$5:$D$644,$B65,الإدخال!$N$5:$N$644,1))</f>
        <v/>
      </c>
      <c r="L65" s="130" t="str">
        <f t="shared" si="1"/>
        <v/>
      </c>
      <c r="M65" s="132" t="str" cm="1">
        <f t="array" ref="M65">IFERROR(_xlfn.AGGREGATE(15,6,(ROW(الطلاب!$D$5:$D$44)-ROW(الطلاب!$D$5)+1)/(الطلاب!$D$5:$D$44=$C$3),ROWS(M$29:M65)),"")</f>
        <v/>
      </c>
    </row>
    <row r="66" spans="1:13">
      <c r="A66" s="24"/>
      <c r="B66" s="130" t="str" cm="1">
        <f t="array" ref="B66">IF($M66="","",INDEX(الطلاب!$A$5:$A$44,$M66))</f>
        <v/>
      </c>
      <c r="C66" s="131" t="str" cm="1">
        <f t="array" ref="C66">IF($M66="","",INDEX(الطلاب!$B$5:$B$44,$M66))</f>
        <v/>
      </c>
      <c r="D66" s="130" t="str" cm="1">
        <f t="array" ref="D66">IF($M66="","",INDEX(الطلاب!$C$5:$C$44,$M66))</f>
        <v/>
      </c>
      <c r="E66" s="124" t="str">
        <f>IF($B66="","",SUMIFS(الإدخال!$N$5:$N$644,الإدخال!$D$5:$D$644,$B66))</f>
        <v/>
      </c>
      <c r="F66" s="124" t="str">
        <f>IF($B66="","",COUNTIFS(الإدخال!$D$5:$D$644,$B66,الإدخال!$F$5:$F$644,"غائب"))</f>
        <v/>
      </c>
      <c r="G66" s="124" t="str">
        <f>IF($B66="","",COUNTIFS(الإدخال!$D$5:$D$644,$B66,الإدخال!$F$5:$F$644,"معتذر"))</f>
        <v/>
      </c>
      <c r="H66" s="125" t="str">
        <f>IF($B66="","",IFERROR(E66/COUNTIFS(الإدخال!$D$5:$D$644,$B66,الإدخال!$F$5:$F$644,"&lt;&gt;"),""))</f>
        <v/>
      </c>
      <c r="I66" s="126" t="str">
        <f>IF($B66="","",IFERROR(SUMIFS(الإدخال!$O$5:$O$644,الإدخال!$D$5:$D$644,$B66)/SUMIFS(الإدخال!$P$5:$P$644,الإدخال!$D$5:$D$644,$B66)/100,""))</f>
        <v/>
      </c>
      <c r="J66" s="130" t="str">
        <f t="shared" si="0"/>
        <v/>
      </c>
      <c r="K66" s="124" t="str">
        <f>IF($B66="","",SUMIFS(الإدخال!$H$5:$H$644,الإدخال!$D$5:$D$644,$B66,الإدخال!$N$5:$N$644,1))</f>
        <v/>
      </c>
      <c r="L66" s="130" t="str">
        <f t="shared" si="1"/>
        <v/>
      </c>
      <c r="M66" s="132" t="str" cm="1">
        <f t="array" ref="M66">IFERROR(_xlfn.AGGREGATE(15,6,(ROW(الطلاب!$D$5:$D$44)-ROW(الطلاب!$D$5)+1)/(الطلاب!$D$5:$D$44=$C$3),ROWS(M$29:M66)),"")</f>
        <v/>
      </c>
    </row>
    <row r="67" spans="1:13">
      <c r="A67" s="24"/>
      <c r="B67" s="130" t="str" cm="1">
        <f t="array" ref="B67">IF($M67="","",INDEX(الطلاب!$A$5:$A$44,$M67))</f>
        <v/>
      </c>
      <c r="C67" s="131" t="str" cm="1">
        <f t="array" ref="C67">IF($M67="","",INDEX(الطلاب!$B$5:$B$44,$M67))</f>
        <v/>
      </c>
      <c r="D67" s="130" t="str" cm="1">
        <f t="array" ref="D67">IF($M67="","",INDEX(الطلاب!$C$5:$C$44,$M67))</f>
        <v/>
      </c>
      <c r="E67" s="124" t="str">
        <f>IF($B67="","",SUMIFS(الإدخال!$N$5:$N$644,الإدخال!$D$5:$D$644,$B67))</f>
        <v/>
      </c>
      <c r="F67" s="124" t="str">
        <f>IF($B67="","",COUNTIFS(الإدخال!$D$5:$D$644,$B67,الإدخال!$F$5:$F$644,"غائب"))</f>
        <v/>
      </c>
      <c r="G67" s="124" t="str">
        <f>IF($B67="","",COUNTIFS(الإدخال!$D$5:$D$644,$B67,الإدخال!$F$5:$F$644,"معتذر"))</f>
        <v/>
      </c>
      <c r="H67" s="125" t="str">
        <f>IF($B67="","",IFERROR(E67/COUNTIFS(الإدخال!$D$5:$D$644,$B67,الإدخال!$F$5:$F$644,"&lt;&gt;"),""))</f>
        <v/>
      </c>
      <c r="I67" s="126" t="str">
        <f>IF($B67="","",IFERROR(SUMIFS(الإدخال!$O$5:$O$644,الإدخال!$D$5:$D$644,$B67)/SUMIFS(الإدخال!$P$5:$P$644,الإدخال!$D$5:$D$644,$B67)/100,""))</f>
        <v/>
      </c>
      <c r="J67" s="130" t="str">
        <f t="shared" si="0"/>
        <v/>
      </c>
      <c r="K67" s="124" t="str">
        <f>IF($B67="","",SUMIFS(الإدخال!$H$5:$H$644,الإدخال!$D$5:$D$644,$B67,الإدخال!$N$5:$N$644,1))</f>
        <v/>
      </c>
      <c r="L67" s="130" t="str">
        <f t="shared" si="1"/>
        <v/>
      </c>
      <c r="M67" s="132" t="str" cm="1">
        <f t="array" ref="M67">IFERROR(_xlfn.AGGREGATE(15,6,(ROW(الطلاب!$D$5:$D$44)-ROW(الطلاب!$D$5)+1)/(الطلاب!$D$5:$D$44=$C$3),ROWS(M$29:M67)),"")</f>
        <v/>
      </c>
    </row>
    <row r="68" spans="1:13">
      <c r="A68" s="24"/>
      <c r="B68" s="127" t="str" cm="1">
        <f t="array" ref="B68">IF($M68="","",INDEX(الطلاب!$A$5:$A$44,$M68))</f>
        <v/>
      </c>
      <c r="C68" s="128" t="str" cm="1">
        <f t="array" ref="C68">IF($M68="","",INDEX(الطلاب!$B$5:$B$44,$M68))</f>
        <v/>
      </c>
      <c r="D68" s="127" t="str" cm="1">
        <f t="array" ref="D68">IF($M68="","",INDEX(الطلاب!$C$5:$C$44,$M68))</f>
        <v/>
      </c>
      <c r="E68" s="119" t="str">
        <f>IF($B68="","",SUMIFS(الإدخال!$N$5:$N$644,الإدخال!$D$5:$D$644,$B68))</f>
        <v/>
      </c>
      <c r="F68" s="119" t="str">
        <f>IF($B68="","",COUNTIFS(الإدخال!$D$5:$D$644,$B68,الإدخال!$F$5:$F$644,"غائب"))</f>
        <v/>
      </c>
      <c r="G68" s="119" t="str">
        <f>IF($B68="","",COUNTIFS(الإدخال!$D$5:$D$644,$B68,الإدخال!$F$5:$F$644,"معتذر"))</f>
        <v/>
      </c>
      <c r="H68" s="120" t="str">
        <f>IF($B68="","",IFERROR(E68/COUNTIFS(الإدخال!$D$5:$D$644,$B68,الإدخال!$F$5:$F$644,"&lt;&gt;"),""))</f>
        <v/>
      </c>
      <c r="I68" s="121" t="str">
        <f>IF($B68="","",IFERROR(SUMIFS(الإدخال!$O$5:$O$644,الإدخال!$D$5:$D$644,$B68)/SUMIFS(الإدخال!$P$5:$P$644,الإدخال!$D$5:$D$644,$B68)/100,""))</f>
        <v/>
      </c>
      <c r="J68" s="127" t="str">
        <f t="shared" si="0"/>
        <v/>
      </c>
      <c r="K68" s="119" t="str">
        <f>IF($B68="","",SUMIFS(الإدخال!$H$5:$H$644,الإدخال!$D$5:$D$644,$B68,الإدخال!$N$5:$N$644,1))</f>
        <v/>
      </c>
      <c r="L68" s="127" t="str">
        <f t="shared" si="1"/>
        <v/>
      </c>
      <c r="M68" s="129" t="str" cm="1">
        <f t="array" ref="M68">IFERROR(_xlfn.AGGREGATE(15,6,(ROW(الطلاب!$D$5:$D$44)-ROW(الطلاب!$D$5)+1)/(الطلاب!$D$5:$D$44=$C$3),ROWS(M$29:M68)),"")</f>
        <v/>
      </c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</sheetData>
  <sheetProtection algorithmName="SHA-512" hashValue="H/WcSgywT6v36zzxOqn5NLFWBTyMn8ll697+3EaD79W9A7XIIMAXWHgSxYGbcdPd0YMJPyLA2YnFX6Ox5j+1Uw==" saltValue="+jQrzD62LaGxvs92A+uH4A==" spinCount="100000" sheet="1" objects="1" scenarios="1"/>
  <mergeCells count="1">
    <mergeCell ref="C3:E3"/>
  </mergeCells>
  <conditionalFormatting sqref="B29:L68">
    <cfRule type="expression" dxfId="8" priority="1">
      <formula>AND($B29&lt;&gt;"",MOD(ROW(),2)=0)</formula>
    </cfRule>
  </conditionalFormatting>
  <conditionalFormatting sqref="J29:J68">
    <cfRule type="expression" dxfId="7" priority="2">
      <formula>$J29="يحتاج متابعة"</formula>
    </cfRule>
    <cfRule type="expression" dxfId="6" priority="3">
      <formula>$J29="ممتاز"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A8D5-FCB9-5E4D-BAE8-0CB1AD2D2D84}">
  <sheetPr codeName="ورقة12">
    <tabColor rgb="FF0D5A54"/>
    <pageSetUpPr fitToPage="1"/>
  </sheetPr>
  <dimension ref="A1:M70"/>
  <sheetViews>
    <sheetView showGridLines="0" rightToLeft="1" zoomScaleNormal="100" workbookViewId="0">
      <selection activeCell="B24" sqref="B24"/>
    </sheetView>
  </sheetViews>
  <sheetFormatPr defaultColWidth="8.7109375" defaultRowHeight="15"/>
  <cols>
    <col min="1" max="1" width="3" customWidth="1"/>
    <col min="2" max="2" width="12" customWidth="1"/>
    <col min="3" max="3" width="21.7109375" customWidth="1"/>
    <col min="4" max="4" width="15.85546875" customWidth="1"/>
    <col min="5" max="7" width="11" customWidth="1"/>
    <col min="8" max="9" width="13" customWidth="1"/>
    <col min="10" max="10" width="14.140625" customWidth="1"/>
    <col min="11" max="11" width="11.7109375" customWidth="1"/>
    <col min="12" max="13" width="10" customWidth="1"/>
    <col min="14" max="14" width="12" customWidth="1"/>
    <col min="15" max="15" width="13" customWidth="1"/>
  </cols>
  <sheetData>
    <row r="1" spans="1:13" ht="30" customHeight="1">
      <c r="A1" s="117" t="str">
        <f>"لوحة معلومات حلقة "&amp;TRIM($C$3)</f>
        <v>لوحة معلومات حلقة حسان بن ثابت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>
      <c r="A2" s="61" t="s">
        <v>154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5.95">
      <c r="A3" s="24"/>
      <c r="B3" s="22" t="s">
        <v>155</v>
      </c>
      <c r="C3" s="167" t="str">
        <f>الإعدادات!$C$14</f>
        <v xml:space="preserve">حسان بن ثابت </v>
      </c>
      <c r="D3" s="167"/>
      <c r="E3" s="167"/>
      <c r="F3" s="24"/>
      <c r="G3" s="24"/>
      <c r="H3" s="24"/>
      <c r="I3" s="24"/>
      <c r="J3" s="24"/>
      <c r="K3" s="24"/>
      <c r="L3" s="24"/>
      <c r="M3" s="24"/>
    </row>
    <row r="4" spans="1:13" ht="36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30" customHeight="1">
      <c r="A5" s="24"/>
      <c r="B5" s="14" t="s">
        <v>140</v>
      </c>
      <c r="C5" s="14" t="s">
        <v>145</v>
      </c>
      <c r="D5" s="14" t="s">
        <v>121</v>
      </c>
      <c r="E5" s="14" t="s">
        <v>122</v>
      </c>
      <c r="F5" s="14" t="s">
        <v>40</v>
      </c>
      <c r="G5" s="14" t="s">
        <v>38</v>
      </c>
      <c r="H5" s="14" t="s">
        <v>44</v>
      </c>
      <c r="I5" s="14" t="s">
        <v>61</v>
      </c>
      <c r="J5" s="13" t="s">
        <v>62</v>
      </c>
      <c r="K5" s="24"/>
      <c r="L5" s="24"/>
      <c r="M5" s="24"/>
    </row>
    <row r="6" spans="1:13" ht="32.1" customHeight="1">
      <c r="A6" s="24"/>
      <c r="B6" s="149">
        <f>COUNTIFS(الطلاب!$D$5:$D$44,$C$3)</f>
        <v>11</v>
      </c>
      <c r="C6" s="149">
        <f>SUMIFS(الإدخال!$N$5:$N$644,الإدخال!$C$5:$C$644,$C$3)</f>
        <v>16</v>
      </c>
      <c r="D6" s="149">
        <f>COUNTIFS(الإدخال!$C$5:$C$644,$C$3,الإدخال!$F$5:$F$644,"غائب")</f>
        <v>0</v>
      </c>
      <c r="E6" s="149">
        <f>COUNTIFS(الإدخال!$C$5:$C$644,$C$3,الإدخال!$F$5:$F$644,"معتذر")</f>
        <v>5</v>
      </c>
      <c r="F6" s="150">
        <f>IFERROR(C6/COUNTIFS(الإدخال!$C$5:$C$644,$C$3,الإدخال!$F$5:$F$644,"&lt;&gt;"),"")</f>
        <v>0.76190476190476186</v>
      </c>
      <c r="G6" s="150">
        <f>IFERROR(SUMIFS(الإدخال!$O$5:$O$644,الإدخال!$C$5:$C$644,$C$3)/SUMIFS(الإدخال!$P$5:$P$644,الإدخال!$C$5:$C$644,$C$3)/100,"")</f>
        <v>0.72714285714285709</v>
      </c>
      <c r="H6" s="151" t="str">
        <f>IF(G6="","",IF(G6&gt;=0.9,"ممتاز",IF(G6&gt;=0.8,"جيد جدًا",IF(G6&gt;=0.7,"جيد",IF(G6&gt;=0.6,"مقبول","يحتاج متابعة")))))</f>
        <v>جيد</v>
      </c>
      <c r="I6" s="152">
        <f>SUMIFS(الإدخال!$H$5:$H$644,الإدخال!$C$5:$C$644,$C$3,الإدخال!$N$5:$N$644,1)</f>
        <v>55</v>
      </c>
      <c r="J6" s="152">
        <f>SUMIFS(الإدخال!$I$5:$I$644,الإدخال!$C$5:$C$644,$C$3,الإدخال!$N$5:$N$644,1)</f>
        <v>392</v>
      </c>
      <c r="K6" s="25"/>
      <c r="L6" s="24"/>
      <c r="M6" s="24"/>
    </row>
    <row r="7" spans="1:13">
      <c r="A7" s="24"/>
      <c r="B7" s="118"/>
      <c r="C7" s="118"/>
      <c r="D7" s="118"/>
      <c r="E7" s="118"/>
      <c r="F7" s="118"/>
      <c r="G7" s="118"/>
      <c r="H7" s="118"/>
      <c r="I7" s="118"/>
      <c r="J7" s="118"/>
      <c r="K7" s="24"/>
      <c r="L7" s="24"/>
      <c r="M7" s="24"/>
    </row>
    <row r="8" spans="1:13" ht="36" customHeight="1">
      <c r="A8" s="24"/>
      <c r="B8" s="21" t="s">
        <v>150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24" customHeight="1">
      <c r="A9" s="24"/>
      <c r="B9" s="14" t="s">
        <v>56</v>
      </c>
      <c r="C9" s="14" t="s">
        <v>151</v>
      </c>
      <c r="D9" s="14" t="s">
        <v>125</v>
      </c>
      <c r="E9" s="14" t="s">
        <v>121</v>
      </c>
      <c r="F9" s="14" t="s">
        <v>122</v>
      </c>
      <c r="G9" s="14" t="s">
        <v>40</v>
      </c>
      <c r="H9" s="13" t="s">
        <v>38</v>
      </c>
      <c r="I9" s="24"/>
      <c r="J9" s="24"/>
      <c r="K9" s="24"/>
      <c r="L9" s="24"/>
      <c r="M9" s="24"/>
    </row>
    <row r="10" spans="1:13">
      <c r="A10" s="24"/>
      <c r="B10" s="153">
        <f>IF(ROWS($B$10:B10)&gt;الإعدادات!$C$5,"",ROWS($B$10:B10))</f>
        <v>1</v>
      </c>
      <c r="C10" s="154" t="str">
        <f>IF(OR($B10="",الإعدادات!$C$4=""),"",الإعدادات!$C$4+($B10-1)*7)</f>
        <v/>
      </c>
      <c r="D10" s="155">
        <f>IF($B10="","",SUMIFS(الإدخال!$N$5:$N$644,الإدخال!$A$5:$A$644,$B10,الإدخال!$C$5:$C$644,$C$3))</f>
        <v>9</v>
      </c>
      <c r="E10" s="155">
        <f>IF($B10="","",COUNTIFS(الإدخال!$A$5:$A$644,$B10,الإدخال!$C$5:$C$644,$C$3,الإدخال!$F$5:$F$644,"غائب"))</f>
        <v>0</v>
      </c>
      <c r="F10" s="155">
        <f>IF($B10="","",COUNTIFS(الإدخال!$A$5:$A$644,$B10,الإدخال!$C$5:$C$644,$C$3,الإدخال!$F$5:$F$644,"معتذر"))</f>
        <v>1</v>
      </c>
      <c r="G10" s="156">
        <f>IF($B10="","",IFERROR(D10/COUNTIFS(الإدخال!$A$5:$A$644,$B10,الإدخال!$C$5:$C$644,$C$3,الإدخال!$F$5:$F$644,"&lt;&gt;"),""))</f>
        <v>0.9</v>
      </c>
      <c r="H10" s="157">
        <f>IF($B10="","",IFERROR(SUMIFS(الإدخال!$O$5:$O$644,الإدخال!$A$5:$A$644,$B10,الإدخال!$C$5:$C$644,$C$3)/SUMIFS(الإدخال!$P$5:$P$644,الإدخال!$A$5:$A$644,$B10,الإدخال!$C$5:$C$644,$C$3)/100,""))</f>
        <v>0.72499999999999998</v>
      </c>
      <c r="I10" s="25"/>
      <c r="J10" s="24"/>
      <c r="K10" s="24"/>
      <c r="L10" s="24"/>
      <c r="M10" s="24"/>
    </row>
    <row r="11" spans="1:13">
      <c r="A11" s="24"/>
      <c r="B11" s="122">
        <f>IF(ROWS($B$10:B11)&gt;الإعدادات!$C$5,"",ROWS($B$10:B11))</f>
        <v>2</v>
      </c>
      <c r="C11" s="123" t="str">
        <f>IF(OR($B11="",الإعدادات!$C$4=""),"",الإعدادات!$C$4+($B11-1)*7)</f>
        <v/>
      </c>
      <c r="D11" s="124">
        <f>IF($B11="","",SUMIFS(الإدخال!$N$5:$N$644,الإدخال!$A$5:$A$644,$B11,الإدخال!$C$5:$C$644,$C$3))</f>
        <v>7</v>
      </c>
      <c r="E11" s="124">
        <f>IF($B11="","",COUNTIFS(الإدخال!$A$5:$A$644,$B11,الإدخال!$C$5:$C$644,$C$3,الإدخال!$F$5:$F$644,"غائب"))</f>
        <v>0</v>
      </c>
      <c r="F11" s="124">
        <f>IF($B11="","",COUNTIFS(الإدخال!$A$5:$A$644,$B11,الإدخال!$C$5:$C$644,$C$3,الإدخال!$F$5:$F$644,"معتذر"))</f>
        <v>4</v>
      </c>
      <c r="G11" s="125">
        <f>IF($B11="","",IFERROR(D11/COUNTIFS(الإدخال!$A$5:$A$644,$B11,الإدخال!$C$5:$C$644,$C$3,الإدخال!$F$5:$F$644,"&lt;&gt;"),""))</f>
        <v>0.63636363636363635</v>
      </c>
      <c r="H11" s="126">
        <f>IF($B11="","",IFERROR(SUMIFS(الإدخال!$O$5:$O$644,الإدخال!$A$5:$A$644,$B11,الإدخال!$C$5:$C$644,$C$3)/SUMIFS(الإدخال!$P$5:$P$644,الإدخال!$A$5:$A$644,$B11,الإدخال!$C$5:$C$644,$C$3)/100,""))</f>
        <v>0.72909090909090901</v>
      </c>
      <c r="I11" s="25"/>
      <c r="J11" s="24"/>
      <c r="K11" s="24"/>
      <c r="L11" s="24"/>
      <c r="M11" s="24"/>
    </row>
    <row r="12" spans="1:13">
      <c r="A12" s="24"/>
      <c r="B12" s="122">
        <f>IF(ROWS($B$10:B12)&gt;الإعدادات!$C$5,"",ROWS($B$10:B12))</f>
        <v>3</v>
      </c>
      <c r="C12" s="123" t="str">
        <f>IF(OR($B12="",الإعدادات!$C$4=""),"",الإعدادات!$C$4+($B12-1)*7)</f>
        <v/>
      </c>
      <c r="D12" s="124">
        <f>IF($B12="","",SUMIFS(الإدخال!$N$5:$N$644,الإدخال!$A$5:$A$644,$B12,الإدخال!$C$5:$C$644,$C$3))</f>
        <v>0</v>
      </c>
      <c r="E12" s="124">
        <f>IF($B12="","",COUNTIFS(الإدخال!$A$5:$A$644,$B12,الإدخال!$C$5:$C$644,$C$3,الإدخال!$F$5:$F$644,"غائب"))</f>
        <v>0</v>
      </c>
      <c r="F12" s="124">
        <f>IF($B12="","",COUNTIFS(الإدخال!$A$5:$A$644,$B12,الإدخال!$C$5:$C$644,$C$3,الإدخال!$F$5:$F$644,"معتذر"))</f>
        <v>0</v>
      </c>
      <c r="G12" s="125" t="str">
        <f>IF($B12="","",IFERROR(D12/COUNTIFS(الإدخال!$A$5:$A$644,$B12,الإدخال!$C$5:$C$644,$C$3,الإدخال!$F$5:$F$644,"&lt;&gt;"),""))</f>
        <v/>
      </c>
      <c r="H12" s="126" t="str">
        <f>IF($B12="","",IFERROR(SUMIFS(الإدخال!$O$5:$O$644,الإدخال!$A$5:$A$644,$B12,الإدخال!$C$5:$C$644,$C$3)/SUMIFS(الإدخال!$P$5:$P$644,الإدخال!$A$5:$A$644,$B12,الإدخال!$C$5:$C$644,$C$3)/100,""))</f>
        <v/>
      </c>
      <c r="I12" s="25"/>
      <c r="J12" s="24"/>
      <c r="K12" s="24"/>
      <c r="L12" s="24"/>
      <c r="M12" s="24"/>
    </row>
    <row r="13" spans="1:13">
      <c r="A13" s="24"/>
      <c r="B13" s="122">
        <f>IF(ROWS($B$10:B13)&gt;الإعدادات!$C$5,"",ROWS($B$10:B13))</f>
        <v>4</v>
      </c>
      <c r="C13" s="123" t="str">
        <f>IF(OR($B13="",الإعدادات!$C$4=""),"",الإعدادات!$C$4+($B13-1)*7)</f>
        <v/>
      </c>
      <c r="D13" s="124">
        <f>IF($B13="","",SUMIFS(الإدخال!$N$5:$N$644,الإدخال!$A$5:$A$644,$B13,الإدخال!$C$5:$C$644,$C$3))</f>
        <v>0</v>
      </c>
      <c r="E13" s="124">
        <f>IF($B13="","",COUNTIFS(الإدخال!$A$5:$A$644,$B13,الإدخال!$C$5:$C$644,$C$3,الإدخال!$F$5:$F$644,"غائب"))</f>
        <v>0</v>
      </c>
      <c r="F13" s="124">
        <f>IF($B13="","",COUNTIFS(الإدخال!$A$5:$A$644,$B13,الإدخال!$C$5:$C$644,$C$3,الإدخال!$F$5:$F$644,"معتذر"))</f>
        <v>0</v>
      </c>
      <c r="G13" s="125" t="str">
        <f>IF($B13="","",IFERROR(D13/COUNTIFS(الإدخال!$A$5:$A$644,$B13,الإدخال!$C$5:$C$644,$C$3,الإدخال!$F$5:$F$644,"&lt;&gt;"),""))</f>
        <v/>
      </c>
      <c r="H13" s="126" t="str">
        <f>IF($B13="","",IFERROR(SUMIFS(الإدخال!$O$5:$O$644,الإدخال!$A$5:$A$644,$B13,الإدخال!$C$5:$C$644,$C$3)/SUMIFS(الإدخال!$P$5:$P$644,الإدخال!$A$5:$A$644,$B13,الإدخال!$C$5:$C$644,$C$3)/100,""))</f>
        <v/>
      </c>
      <c r="I13" s="25"/>
      <c r="J13" s="24"/>
      <c r="K13" s="24"/>
      <c r="L13" s="24"/>
      <c r="M13" s="24"/>
    </row>
    <row r="14" spans="1:13">
      <c r="A14" s="24"/>
      <c r="B14" s="122">
        <f>IF(ROWS($B$10:B14)&gt;الإعدادات!$C$5,"",ROWS($B$10:B14))</f>
        <v>5</v>
      </c>
      <c r="C14" s="123" t="str">
        <f>IF(OR($B14="",الإعدادات!$C$4=""),"",الإعدادات!$C$4+($B14-1)*7)</f>
        <v/>
      </c>
      <c r="D14" s="124">
        <f>IF($B14="","",SUMIFS(الإدخال!$N$5:$N$644,الإدخال!$A$5:$A$644,$B14,الإدخال!$C$5:$C$644,$C$3))</f>
        <v>0</v>
      </c>
      <c r="E14" s="124">
        <f>IF($B14="","",COUNTIFS(الإدخال!$A$5:$A$644,$B14,الإدخال!$C$5:$C$644,$C$3,الإدخال!$F$5:$F$644,"غائب"))</f>
        <v>0</v>
      </c>
      <c r="F14" s="124">
        <f>IF($B14="","",COUNTIFS(الإدخال!$A$5:$A$644,$B14,الإدخال!$C$5:$C$644,$C$3,الإدخال!$F$5:$F$644,"معتذر"))</f>
        <v>0</v>
      </c>
      <c r="G14" s="125" t="str">
        <f>IF($B14="","",IFERROR(D14/COUNTIFS(الإدخال!$A$5:$A$644,$B14,الإدخال!$C$5:$C$644,$C$3,الإدخال!$F$5:$F$644,"&lt;&gt;"),""))</f>
        <v/>
      </c>
      <c r="H14" s="126" t="str">
        <f>IF($B14="","",IFERROR(SUMIFS(الإدخال!$O$5:$O$644,الإدخال!$A$5:$A$644,$B14,الإدخال!$C$5:$C$644,$C$3)/SUMIFS(الإدخال!$P$5:$P$644,الإدخال!$A$5:$A$644,$B14,الإدخال!$C$5:$C$644,$C$3)/100,""))</f>
        <v/>
      </c>
      <c r="I14" s="25"/>
      <c r="J14" s="24"/>
      <c r="K14" s="24"/>
      <c r="L14" s="24"/>
      <c r="M14" s="24"/>
    </row>
    <row r="15" spans="1:13">
      <c r="A15" s="24"/>
      <c r="B15" s="122">
        <f>IF(ROWS($B$10:B15)&gt;الإعدادات!$C$5,"",ROWS($B$10:B15))</f>
        <v>6</v>
      </c>
      <c r="C15" s="123" t="str">
        <f>IF(OR($B15="",الإعدادات!$C$4=""),"",الإعدادات!$C$4+($B15-1)*7)</f>
        <v/>
      </c>
      <c r="D15" s="124">
        <f>IF($B15="","",SUMIFS(الإدخال!$N$5:$N$644,الإدخال!$A$5:$A$644,$B15,الإدخال!$C$5:$C$644,$C$3))</f>
        <v>0</v>
      </c>
      <c r="E15" s="124">
        <f>IF($B15="","",COUNTIFS(الإدخال!$A$5:$A$644,$B15,الإدخال!$C$5:$C$644,$C$3,الإدخال!$F$5:$F$644,"غائب"))</f>
        <v>0</v>
      </c>
      <c r="F15" s="124">
        <f>IF($B15="","",COUNTIFS(الإدخال!$A$5:$A$644,$B15,الإدخال!$C$5:$C$644,$C$3,الإدخال!$F$5:$F$644,"معتذر"))</f>
        <v>0</v>
      </c>
      <c r="G15" s="125" t="str">
        <f>IF($B15="","",IFERROR(D15/COUNTIFS(الإدخال!$A$5:$A$644,$B15,الإدخال!$C$5:$C$644,$C$3,الإدخال!$F$5:$F$644,"&lt;&gt;"),""))</f>
        <v/>
      </c>
      <c r="H15" s="126" t="str">
        <f>IF($B15="","",IFERROR(SUMIFS(الإدخال!$O$5:$O$644,الإدخال!$A$5:$A$644,$B15,الإدخال!$C$5:$C$644,$C$3)/SUMIFS(الإدخال!$P$5:$P$644,الإدخال!$A$5:$A$644,$B15,الإدخال!$C$5:$C$644,$C$3)/100,""))</f>
        <v/>
      </c>
      <c r="I15" s="25"/>
      <c r="J15" s="24"/>
      <c r="K15" s="24"/>
      <c r="L15" s="24"/>
      <c r="M15" s="24"/>
    </row>
    <row r="16" spans="1:13">
      <c r="A16" s="24"/>
      <c r="B16" s="122">
        <f>IF(ROWS($B$10:B16)&gt;الإعدادات!$C$5,"",ROWS($B$10:B16))</f>
        <v>7</v>
      </c>
      <c r="C16" s="123" t="str">
        <f>IF(OR($B16="",الإعدادات!$C$4=""),"",الإعدادات!$C$4+($B16-1)*7)</f>
        <v/>
      </c>
      <c r="D16" s="124">
        <f>IF($B16="","",SUMIFS(الإدخال!$N$5:$N$644,الإدخال!$A$5:$A$644,$B16,الإدخال!$C$5:$C$644,$C$3))</f>
        <v>0</v>
      </c>
      <c r="E16" s="124">
        <f>IF($B16="","",COUNTIFS(الإدخال!$A$5:$A$644,$B16,الإدخال!$C$5:$C$644,$C$3,الإدخال!$F$5:$F$644,"غائب"))</f>
        <v>0</v>
      </c>
      <c r="F16" s="124">
        <f>IF($B16="","",COUNTIFS(الإدخال!$A$5:$A$644,$B16,الإدخال!$C$5:$C$644,$C$3,الإدخال!$F$5:$F$644,"معتذر"))</f>
        <v>0</v>
      </c>
      <c r="G16" s="125" t="str">
        <f>IF($B16="","",IFERROR(D16/COUNTIFS(الإدخال!$A$5:$A$644,$B16,الإدخال!$C$5:$C$644,$C$3,الإدخال!$F$5:$F$644,"&lt;&gt;"),""))</f>
        <v/>
      </c>
      <c r="H16" s="126" t="str">
        <f>IF($B16="","",IFERROR(SUMIFS(الإدخال!$O$5:$O$644,الإدخال!$A$5:$A$644,$B16,الإدخال!$C$5:$C$644,$C$3)/SUMIFS(الإدخال!$P$5:$P$644,الإدخال!$A$5:$A$644,$B16,الإدخال!$C$5:$C$644,$C$3)/100,""))</f>
        <v/>
      </c>
      <c r="I16" s="25"/>
      <c r="J16" s="24"/>
      <c r="K16" s="24"/>
      <c r="L16" s="24"/>
      <c r="M16" s="24"/>
    </row>
    <row r="17" spans="1:13">
      <c r="A17" s="24"/>
      <c r="B17" s="122">
        <f>IF(ROWS($B$10:B17)&gt;الإعدادات!$C$5,"",ROWS($B$10:B17))</f>
        <v>8</v>
      </c>
      <c r="C17" s="123" t="str">
        <f>IF(OR($B17="",الإعدادات!$C$4=""),"",الإعدادات!$C$4+($B17-1)*7)</f>
        <v/>
      </c>
      <c r="D17" s="124">
        <f>IF($B17="","",SUMIFS(الإدخال!$N$5:$N$644,الإدخال!$A$5:$A$644,$B17,الإدخال!$C$5:$C$644,$C$3))</f>
        <v>0</v>
      </c>
      <c r="E17" s="124">
        <f>IF($B17="","",COUNTIFS(الإدخال!$A$5:$A$644,$B17,الإدخال!$C$5:$C$644,$C$3,الإدخال!$F$5:$F$644,"غائب"))</f>
        <v>0</v>
      </c>
      <c r="F17" s="124">
        <f>IF($B17="","",COUNTIFS(الإدخال!$A$5:$A$644,$B17,الإدخال!$C$5:$C$644,$C$3,الإدخال!$F$5:$F$644,"معتذر"))</f>
        <v>0</v>
      </c>
      <c r="G17" s="125" t="str">
        <f>IF($B17="","",IFERROR(D17/COUNTIFS(الإدخال!$A$5:$A$644,$B17,الإدخال!$C$5:$C$644,$C$3,الإدخال!$F$5:$F$644,"&lt;&gt;"),""))</f>
        <v/>
      </c>
      <c r="H17" s="126" t="str">
        <f>IF($B17="","",IFERROR(SUMIFS(الإدخال!$O$5:$O$644,الإدخال!$A$5:$A$644,$B17,الإدخال!$C$5:$C$644,$C$3)/SUMIFS(الإدخال!$P$5:$P$644,الإدخال!$A$5:$A$644,$B17,الإدخال!$C$5:$C$644,$C$3)/100,""))</f>
        <v/>
      </c>
      <c r="I17" s="25"/>
      <c r="J17" s="24"/>
      <c r="K17" s="24"/>
      <c r="L17" s="24"/>
      <c r="M17" s="24"/>
    </row>
    <row r="18" spans="1:13">
      <c r="A18" s="24"/>
      <c r="B18" s="122">
        <f>IF(ROWS($B$10:B18)&gt;الإعدادات!$C$5,"",ROWS($B$10:B18))</f>
        <v>9</v>
      </c>
      <c r="C18" s="123" t="str">
        <f>IF(OR($B18="",الإعدادات!$C$4=""),"",الإعدادات!$C$4+($B18-1)*7)</f>
        <v/>
      </c>
      <c r="D18" s="124">
        <f>IF($B18="","",SUMIFS(الإدخال!$N$5:$N$644,الإدخال!$A$5:$A$644,$B18,الإدخال!$C$5:$C$644,$C$3))</f>
        <v>0</v>
      </c>
      <c r="E18" s="124">
        <f>IF($B18="","",COUNTIFS(الإدخال!$A$5:$A$644,$B18,الإدخال!$C$5:$C$644,$C$3,الإدخال!$F$5:$F$644,"غائب"))</f>
        <v>0</v>
      </c>
      <c r="F18" s="124">
        <f>IF($B18="","",COUNTIFS(الإدخال!$A$5:$A$644,$B18,الإدخال!$C$5:$C$644,$C$3,الإدخال!$F$5:$F$644,"معتذر"))</f>
        <v>0</v>
      </c>
      <c r="G18" s="125" t="str">
        <f>IF($B18="","",IFERROR(D18/COUNTIFS(الإدخال!$A$5:$A$644,$B18,الإدخال!$C$5:$C$644,$C$3,الإدخال!$F$5:$F$644,"&lt;&gt;"),""))</f>
        <v/>
      </c>
      <c r="H18" s="126" t="str">
        <f>IF($B18="","",IFERROR(SUMIFS(الإدخال!$O$5:$O$644,الإدخال!$A$5:$A$644,$B18,الإدخال!$C$5:$C$644,$C$3)/SUMIFS(الإدخال!$P$5:$P$644,الإدخال!$A$5:$A$644,$B18,الإدخال!$C$5:$C$644,$C$3)/100,""))</f>
        <v/>
      </c>
      <c r="I18" s="25"/>
      <c r="J18" s="24"/>
      <c r="K18" s="24"/>
      <c r="L18" s="24"/>
      <c r="M18" s="24"/>
    </row>
    <row r="19" spans="1:13">
      <c r="A19" s="24"/>
      <c r="B19" s="122">
        <f>IF(ROWS($B$10:B19)&gt;الإعدادات!$C$5,"",ROWS($B$10:B19))</f>
        <v>10</v>
      </c>
      <c r="C19" s="123" t="str">
        <f>IF(OR($B19="",الإعدادات!$C$4=""),"",الإعدادات!$C$4+($B19-1)*7)</f>
        <v/>
      </c>
      <c r="D19" s="124">
        <f>IF($B19="","",SUMIFS(الإدخال!$N$5:$N$644,الإدخال!$A$5:$A$644,$B19,الإدخال!$C$5:$C$644,$C$3))</f>
        <v>0</v>
      </c>
      <c r="E19" s="124">
        <f>IF($B19="","",COUNTIFS(الإدخال!$A$5:$A$644,$B19,الإدخال!$C$5:$C$644,$C$3,الإدخال!$F$5:$F$644,"غائب"))</f>
        <v>0</v>
      </c>
      <c r="F19" s="124">
        <f>IF($B19="","",COUNTIFS(الإدخال!$A$5:$A$644,$B19,الإدخال!$C$5:$C$644,$C$3,الإدخال!$F$5:$F$644,"معتذر"))</f>
        <v>0</v>
      </c>
      <c r="G19" s="125" t="str">
        <f>IF($B19="","",IFERROR(D19/COUNTIFS(الإدخال!$A$5:$A$644,$B19,الإدخال!$C$5:$C$644,$C$3,الإدخال!$F$5:$F$644,"&lt;&gt;"),""))</f>
        <v/>
      </c>
      <c r="H19" s="126" t="str">
        <f>IF($B19="","",IFERROR(SUMIFS(الإدخال!$O$5:$O$644,الإدخال!$A$5:$A$644,$B19,الإدخال!$C$5:$C$644,$C$3)/SUMIFS(الإدخال!$P$5:$P$644,الإدخال!$A$5:$A$644,$B19,الإدخال!$C$5:$C$644,$C$3)/100,""))</f>
        <v/>
      </c>
      <c r="I19" s="25"/>
      <c r="J19" s="24"/>
      <c r="K19" s="24"/>
      <c r="L19" s="24"/>
      <c r="M19" s="24"/>
    </row>
    <row r="20" spans="1:13">
      <c r="A20" s="24"/>
      <c r="B20" s="122">
        <f>IF(ROWS($B$10:B20)&gt;الإعدادات!$C$5,"",ROWS($B$10:B20))</f>
        <v>11</v>
      </c>
      <c r="C20" s="123" t="str">
        <f>IF(OR($B20="",الإعدادات!$C$4=""),"",الإعدادات!$C$4+($B20-1)*7)</f>
        <v/>
      </c>
      <c r="D20" s="124">
        <f>IF($B20="","",SUMIFS(الإدخال!$N$5:$N$644,الإدخال!$A$5:$A$644,$B20,الإدخال!$C$5:$C$644,$C$3))</f>
        <v>0</v>
      </c>
      <c r="E20" s="124">
        <f>IF($B20="","",COUNTIFS(الإدخال!$A$5:$A$644,$B20,الإدخال!$C$5:$C$644,$C$3,الإدخال!$F$5:$F$644,"غائب"))</f>
        <v>0</v>
      </c>
      <c r="F20" s="124">
        <f>IF($B20="","",COUNTIFS(الإدخال!$A$5:$A$644,$B20,الإدخال!$C$5:$C$644,$C$3,الإدخال!$F$5:$F$644,"معتذر"))</f>
        <v>0</v>
      </c>
      <c r="G20" s="125" t="str">
        <f>IF($B20="","",IFERROR(D20/COUNTIFS(الإدخال!$A$5:$A$644,$B20,الإدخال!$C$5:$C$644,$C$3,الإدخال!$F$5:$F$644,"&lt;&gt;"),""))</f>
        <v/>
      </c>
      <c r="H20" s="126" t="str">
        <f>IF($B20="","",IFERROR(SUMIFS(الإدخال!$O$5:$O$644,الإدخال!$A$5:$A$644,$B20,الإدخال!$C$5:$C$644,$C$3)/SUMIFS(الإدخال!$P$5:$P$644,الإدخال!$A$5:$A$644,$B20,الإدخال!$C$5:$C$644,$C$3)/100,""))</f>
        <v/>
      </c>
      <c r="I20" s="25"/>
      <c r="J20" s="24"/>
      <c r="K20" s="24"/>
      <c r="L20" s="24"/>
      <c r="M20" s="24"/>
    </row>
    <row r="21" spans="1:13">
      <c r="A21" s="24"/>
      <c r="B21" s="122">
        <f>IF(ROWS($B$10:B21)&gt;الإعدادات!$C$5,"",ROWS($B$10:B21))</f>
        <v>12</v>
      </c>
      <c r="C21" s="123" t="str">
        <f>IF(OR($B21="",الإعدادات!$C$4=""),"",الإعدادات!$C$4+($B21-1)*7)</f>
        <v/>
      </c>
      <c r="D21" s="124">
        <f>IF($B21="","",SUMIFS(الإدخال!$N$5:$N$644,الإدخال!$A$5:$A$644,$B21,الإدخال!$C$5:$C$644,$C$3))</f>
        <v>0</v>
      </c>
      <c r="E21" s="124">
        <f>IF($B21="","",COUNTIFS(الإدخال!$A$5:$A$644,$B21,الإدخال!$C$5:$C$644,$C$3,الإدخال!$F$5:$F$644,"غائب"))</f>
        <v>0</v>
      </c>
      <c r="F21" s="124">
        <f>IF($B21="","",COUNTIFS(الإدخال!$A$5:$A$644,$B21,الإدخال!$C$5:$C$644,$C$3,الإدخال!$F$5:$F$644,"معتذر"))</f>
        <v>0</v>
      </c>
      <c r="G21" s="125" t="str">
        <f>IF($B21="","",IFERROR(D21/COUNTIFS(الإدخال!$A$5:$A$644,$B21,الإدخال!$C$5:$C$644,$C$3,الإدخال!$F$5:$F$644,"&lt;&gt;"),""))</f>
        <v/>
      </c>
      <c r="H21" s="126" t="str">
        <f>IF($B21="","",IFERROR(SUMIFS(الإدخال!$O$5:$O$644,الإدخال!$A$5:$A$644,$B21,الإدخال!$C$5:$C$644,$C$3)/SUMIFS(الإدخال!$P$5:$P$644,الإدخال!$A$5:$A$644,$B21,الإدخال!$C$5:$C$644,$C$3)/100,""))</f>
        <v/>
      </c>
      <c r="I21" s="25"/>
      <c r="J21" s="24"/>
      <c r="K21" s="24"/>
      <c r="L21" s="24"/>
      <c r="M21" s="24"/>
    </row>
    <row r="22" spans="1:13">
      <c r="A22" s="24"/>
      <c r="B22" s="122">
        <f>IF(ROWS($B$10:B22)&gt;الإعدادات!$C$5,"",ROWS($B$10:B22))</f>
        <v>13</v>
      </c>
      <c r="C22" s="123" t="str">
        <f>IF(OR($B22="",الإعدادات!$C$4=""),"",الإعدادات!$C$4+($B22-1)*7)</f>
        <v/>
      </c>
      <c r="D22" s="124">
        <f>IF($B22="","",SUMIFS(الإدخال!$N$5:$N$644,الإدخال!$A$5:$A$644,$B22,الإدخال!$C$5:$C$644,$C$3))</f>
        <v>0</v>
      </c>
      <c r="E22" s="124">
        <f>IF($B22="","",COUNTIFS(الإدخال!$A$5:$A$644,$B22,الإدخال!$C$5:$C$644,$C$3,الإدخال!$F$5:$F$644,"غائب"))</f>
        <v>0</v>
      </c>
      <c r="F22" s="124">
        <f>IF($B22="","",COUNTIFS(الإدخال!$A$5:$A$644,$B22,الإدخال!$C$5:$C$644,$C$3,الإدخال!$F$5:$F$644,"معتذر"))</f>
        <v>0</v>
      </c>
      <c r="G22" s="125" t="str">
        <f>IF($B22="","",IFERROR(D22/COUNTIFS(الإدخال!$A$5:$A$644,$B22,الإدخال!$C$5:$C$644,$C$3,الإدخال!$F$5:$F$644,"&lt;&gt;"),""))</f>
        <v/>
      </c>
      <c r="H22" s="126" t="str">
        <f>IF($B22="","",IFERROR(SUMIFS(الإدخال!$O$5:$O$644,الإدخال!$A$5:$A$644,$B22,الإدخال!$C$5:$C$644,$C$3)/SUMIFS(الإدخال!$P$5:$P$644,الإدخال!$A$5:$A$644,$B22,الإدخال!$C$5:$C$644,$C$3)/100,""))</f>
        <v/>
      </c>
      <c r="I22" s="25"/>
      <c r="J22" s="24"/>
      <c r="K22" s="24"/>
      <c r="L22" s="24"/>
      <c r="M22" s="24"/>
    </row>
    <row r="23" spans="1:13">
      <c r="A23" s="24"/>
      <c r="B23" s="122">
        <f>IF(ROWS($B$10:B23)&gt;الإعدادات!$C$5,"",ROWS($B$10:B23))</f>
        <v>14</v>
      </c>
      <c r="C23" s="123" t="str">
        <f>IF(OR($B23="",الإعدادات!$C$4=""),"",الإعدادات!$C$4+($B23-1)*7)</f>
        <v/>
      </c>
      <c r="D23" s="124">
        <f>IF($B23="","",SUMIFS(الإدخال!$N$5:$N$644,الإدخال!$A$5:$A$644,$B23,الإدخال!$C$5:$C$644,$C$3))</f>
        <v>0</v>
      </c>
      <c r="E23" s="124">
        <f>IF($B23="","",COUNTIFS(الإدخال!$A$5:$A$644,$B23,الإدخال!$C$5:$C$644,$C$3,الإدخال!$F$5:$F$644,"غائب"))</f>
        <v>0</v>
      </c>
      <c r="F23" s="124">
        <f>IF($B23="","",COUNTIFS(الإدخال!$A$5:$A$644,$B23,الإدخال!$C$5:$C$644,$C$3,الإدخال!$F$5:$F$644,"معتذر"))</f>
        <v>0</v>
      </c>
      <c r="G23" s="125" t="str">
        <f>IF($B23="","",IFERROR(D23/COUNTIFS(الإدخال!$A$5:$A$644,$B23,الإدخال!$C$5:$C$644,$C$3,الإدخال!$F$5:$F$644,"&lt;&gt;"),""))</f>
        <v/>
      </c>
      <c r="H23" s="126" t="str">
        <f>IF($B23="","",IFERROR(SUMIFS(الإدخال!$O$5:$O$644,الإدخال!$A$5:$A$644,$B23,الإدخال!$C$5:$C$644,$C$3)/SUMIFS(الإدخال!$P$5:$P$644,الإدخال!$A$5:$A$644,$B23,الإدخال!$C$5:$C$644,$C$3)/100,""))</f>
        <v/>
      </c>
      <c r="I23" s="25"/>
      <c r="J23" s="24"/>
      <c r="K23" s="24"/>
      <c r="L23" s="24"/>
      <c r="M23" s="24"/>
    </row>
    <row r="24" spans="1:13">
      <c r="A24" s="24"/>
      <c r="B24" s="122">
        <f>IF(ROWS($B$10:B24)&gt;الإعدادات!$C$5,"",ROWS($B$10:B24))</f>
        <v>15</v>
      </c>
      <c r="C24" s="123" t="str">
        <f>IF(OR($B24="",الإعدادات!$C$4=""),"",الإعدادات!$C$4+($B24-1)*7)</f>
        <v/>
      </c>
      <c r="D24" s="124">
        <f>IF($B24="","",SUMIFS(الإدخال!$N$5:$N$644,الإدخال!$A$5:$A$644,$B24,الإدخال!$C$5:$C$644,$C$3))</f>
        <v>0</v>
      </c>
      <c r="E24" s="124">
        <f>IF($B24="","",COUNTIFS(الإدخال!$A$5:$A$644,$B24,الإدخال!$C$5:$C$644,$C$3,الإدخال!$F$5:$F$644,"غائب"))</f>
        <v>0</v>
      </c>
      <c r="F24" s="124">
        <f>IF($B24="","",COUNTIFS(الإدخال!$A$5:$A$644,$B24,الإدخال!$C$5:$C$644,$C$3,الإدخال!$F$5:$F$644,"معتذر"))</f>
        <v>0</v>
      </c>
      <c r="G24" s="125" t="str">
        <f>IF($B24="","",IFERROR(D24/COUNTIFS(الإدخال!$A$5:$A$644,$B24,الإدخال!$C$5:$C$644,$C$3,الإدخال!$F$5:$F$644,"&lt;&gt;"),""))</f>
        <v/>
      </c>
      <c r="H24" s="126" t="str">
        <f>IF($B24="","",IFERROR(SUMIFS(الإدخال!$O$5:$O$644,الإدخال!$A$5:$A$644,$B24,الإدخال!$C$5:$C$644,$C$3)/SUMIFS(الإدخال!$P$5:$P$644,الإدخال!$A$5:$A$644,$B24,الإدخال!$C$5:$C$644,$C$3)/100,""))</f>
        <v/>
      </c>
      <c r="I24" s="25"/>
      <c r="J24" s="24"/>
      <c r="K24" s="24"/>
      <c r="L24" s="24"/>
      <c r="M24" s="24"/>
    </row>
    <row r="25" spans="1:13">
      <c r="A25" s="24"/>
      <c r="B25" s="122">
        <f>IF(ROWS($B$10:B25)&gt;الإعدادات!$C$5,"",ROWS($B$10:B25))</f>
        <v>16</v>
      </c>
      <c r="C25" s="123" t="str">
        <f>IF(OR($B25="",الإعدادات!$C$4=""),"",الإعدادات!$C$4+($B25-1)*7)</f>
        <v/>
      </c>
      <c r="D25" s="124">
        <f>IF($B25="","",SUMIFS(الإدخال!$N$5:$N$644,الإدخال!$A$5:$A$644,$B25,الإدخال!$C$5:$C$644,$C$3))</f>
        <v>0</v>
      </c>
      <c r="E25" s="124">
        <f>IF($B25="","",COUNTIFS(الإدخال!$A$5:$A$644,$B25,الإدخال!$C$5:$C$644,$C$3,الإدخال!$F$5:$F$644,"غائب"))</f>
        <v>0</v>
      </c>
      <c r="F25" s="124">
        <f>IF($B25="","",COUNTIFS(الإدخال!$A$5:$A$644,$B25,الإدخال!$C$5:$C$644,$C$3,الإدخال!$F$5:$F$644,"معتذر"))</f>
        <v>0</v>
      </c>
      <c r="G25" s="125" t="str">
        <f>IF($B25="","",IFERROR(D25/COUNTIFS(الإدخال!$A$5:$A$644,$B25,الإدخال!$C$5:$C$644,$C$3,الإدخال!$F$5:$F$644,"&lt;&gt;"),""))</f>
        <v/>
      </c>
      <c r="H25" s="126" t="str">
        <f>IF($B25="","",IFERROR(SUMIFS(الإدخال!$O$5:$O$644,الإدخال!$A$5:$A$644,$B25,الإدخال!$C$5:$C$644,$C$3)/SUMIFS(الإدخال!$P$5:$P$644,الإدخال!$A$5:$A$644,$B25,الإدخال!$C$5:$C$644,$C$3)/100,""))</f>
        <v/>
      </c>
      <c r="I25" s="25"/>
      <c r="J25" s="24"/>
      <c r="K25" s="24"/>
      <c r="L25" s="24"/>
      <c r="M25" s="24"/>
    </row>
    <row r="26" spans="1:13">
      <c r="A26" s="24"/>
      <c r="B26" s="118"/>
      <c r="C26" s="118"/>
      <c r="D26" s="118"/>
      <c r="E26" s="118"/>
      <c r="F26" s="118"/>
      <c r="G26" s="118"/>
      <c r="H26" s="118"/>
      <c r="I26" s="24"/>
      <c r="J26" s="24"/>
      <c r="K26" s="24"/>
      <c r="L26" s="24"/>
      <c r="M26" s="24"/>
    </row>
    <row r="27" spans="1:13" ht="15.95">
      <c r="A27" s="24"/>
      <c r="B27" s="21" t="s">
        <v>156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ht="30" customHeight="1">
      <c r="A28" s="24"/>
      <c r="B28" s="14" t="s">
        <v>57</v>
      </c>
      <c r="C28" s="14" t="s">
        <v>58</v>
      </c>
      <c r="D28" s="14" t="s">
        <v>6</v>
      </c>
      <c r="E28" s="14" t="s">
        <v>119</v>
      </c>
      <c r="F28" s="14" t="s">
        <v>121</v>
      </c>
      <c r="G28" s="14" t="s">
        <v>122</v>
      </c>
      <c r="H28" s="14" t="s">
        <v>40</v>
      </c>
      <c r="I28" s="14" t="s">
        <v>38</v>
      </c>
      <c r="J28" s="14" t="s">
        <v>44</v>
      </c>
      <c r="K28" s="14" t="s">
        <v>61</v>
      </c>
      <c r="L28" s="14" t="s">
        <v>133</v>
      </c>
      <c r="M28" s="161" t="s">
        <v>157</v>
      </c>
    </row>
    <row r="29" spans="1:13">
      <c r="A29" s="24"/>
      <c r="B29" s="158" cm="1">
        <f t="array" ref="B29">IF($M29="","",INDEX(الطلاب!$A$5:$A$44,$M29))</f>
        <v>10</v>
      </c>
      <c r="C29" s="159" t="str" cm="1">
        <f t="array" ref="C29">IF($M29="","",INDEX(الطلاب!$B$5:$B$44,$M29))</f>
        <v xml:space="preserve">محمد الثنيان </v>
      </c>
      <c r="D29" s="158" t="str" cm="1">
        <f t="array" ref="D29">IF($M29="","",INDEX(الطلاب!$C$5:$C$44,$M29))</f>
        <v>المقرأة الأولى</v>
      </c>
      <c r="E29" s="155">
        <f>IF($B29="","",SUMIFS(الإدخال!$N$5:$N$644,الإدخال!$D$5:$D$644,$B29))</f>
        <v>2</v>
      </c>
      <c r="F29" s="155">
        <f>IF($B29="","",COUNTIFS(الإدخال!$D$5:$D$644,$B29,الإدخال!$F$5:$F$644,"غائب"))</f>
        <v>0</v>
      </c>
      <c r="G29" s="155">
        <f>IF($B29="","",COUNTIFS(الإدخال!$D$5:$D$644,$B29,الإدخال!$F$5:$F$644,"معتذر"))</f>
        <v>0</v>
      </c>
      <c r="H29" s="156">
        <f>IF($B29="","",IFERROR(E29/COUNTIFS(الإدخال!$D$5:$D$644,$B29,الإدخال!$F$5:$F$644,"&lt;&gt;"),""))</f>
        <v>1</v>
      </c>
      <c r="I29" s="157">
        <f>IF($B29="","",IFERROR(SUMIFS(الإدخال!$O$5:$O$644,الإدخال!$D$5:$D$644,$B29)/SUMIFS(الإدخال!$P$5:$P$644,الإدخال!$D$5:$D$644,$B29)/100,""))</f>
        <v>0.96499999999999997</v>
      </c>
      <c r="J29" s="158" t="str">
        <f>IF(I29="","",IF(I29&gt;=0.9,"ممتاز",IF(I29&gt;=0.8,"جيد جدًا",IF(I29&gt;=0.7,"جيد",IF(I29&gt;=0.6,"مقبول","يحتاج متابعة")))))</f>
        <v>ممتاز</v>
      </c>
      <c r="K29" s="155">
        <f>IF($B29="","",SUMIFS(الإدخال!$H$5:$H$644,الإدخال!$D$5:$D$644,$B29,الإدخال!$N$5:$N$644,1))</f>
        <v>8</v>
      </c>
      <c r="L29" s="158">
        <f>IF(ISNUMBER(I29),COUNTIFS($I$29:$I$68,"&gt;"&amp;I29)+1,"")</f>
        <v>1</v>
      </c>
      <c r="M29" s="160" cm="1">
        <f t="array" ref="M29">IFERROR(_xlfn.AGGREGATE(15,6,(ROW(الطلاب!$D$5:$D$44)-ROW(الطلاب!$D$5)+1)/(الطلاب!$D$5:$D$44=$C$3),ROWS(M$29:M29)),"")</f>
        <v>10</v>
      </c>
    </row>
    <row r="30" spans="1:13">
      <c r="A30" s="24"/>
      <c r="B30" s="130" cm="1">
        <f t="array" ref="B30">IF($M30="","",INDEX(الطلاب!$A$5:$A$44,$M30))</f>
        <v>11</v>
      </c>
      <c r="C30" s="131" t="str" cm="1">
        <f t="array" ref="C30">IF($M30="","",INDEX(الطلاب!$B$5:$B$44,$M30))</f>
        <v xml:space="preserve">كنان الجريفاني </v>
      </c>
      <c r="D30" s="130" t="str" cm="1">
        <f t="array" ref="D30">IF($M30="","",INDEX(الطلاب!$C$5:$C$44,$M30))</f>
        <v>المقرأة الأولى</v>
      </c>
      <c r="E30" s="124">
        <f>IF($B30="","",SUMIFS(الإدخال!$N$5:$N$644,الإدخال!$D$5:$D$644,$B30))</f>
        <v>2</v>
      </c>
      <c r="F30" s="124">
        <f>IF($B30="","",COUNTIFS(الإدخال!$D$5:$D$644,$B30,الإدخال!$F$5:$F$644,"غائب"))</f>
        <v>0</v>
      </c>
      <c r="G30" s="124">
        <f>IF($B30="","",COUNTIFS(الإدخال!$D$5:$D$644,$B30,الإدخال!$F$5:$F$644,"معتذر"))</f>
        <v>0</v>
      </c>
      <c r="H30" s="125">
        <f>IF($B30="","",IFERROR(E30/COUNTIFS(الإدخال!$D$5:$D$644,$B30,الإدخال!$F$5:$F$644,"&lt;&gt;"),""))</f>
        <v>1</v>
      </c>
      <c r="I30" s="126">
        <f>IF($B30="","",IFERROR(SUMIFS(الإدخال!$O$5:$O$644,الإدخال!$D$5:$D$644,$B30)/SUMIFS(الإدخال!$P$5:$P$644,الإدخال!$D$5:$D$644,$B30)/100,""))</f>
        <v>0.92</v>
      </c>
      <c r="J30" s="130" t="str">
        <f t="shared" ref="J30:J68" si="0">IF(I30="","",IF(I30&gt;=0.9,"ممتاز",IF(I30&gt;=0.8,"جيد جدًا",IF(I30&gt;=0.7,"جيد",IF(I30&gt;=0.6,"مقبول","يحتاج متابعة")))))</f>
        <v>ممتاز</v>
      </c>
      <c r="K30" s="124">
        <f>IF($B30="","",SUMIFS(الإدخال!$H$5:$H$644,الإدخال!$D$5:$D$644,$B30,الإدخال!$N$5:$N$644,1))</f>
        <v>3</v>
      </c>
      <c r="L30" s="130">
        <f t="shared" ref="L30:L68" si="1">IF(ISNUMBER(I30),COUNTIFS($I$29:$I$68,"&gt;"&amp;I30)+1,"")</f>
        <v>2</v>
      </c>
      <c r="M30" s="132" cm="1">
        <f t="array" ref="M30">IFERROR(_xlfn.AGGREGATE(15,6,(ROW(الطلاب!$D$5:$D$44)-ROW(الطلاب!$D$5)+1)/(الطلاب!$D$5:$D$44=$C$3),ROWS(M$29:M30)),"")</f>
        <v>11</v>
      </c>
    </row>
    <row r="31" spans="1:13">
      <c r="A31" s="24"/>
      <c r="B31" s="130" cm="1">
        <f t="array" ref="B31">IF($M31="","",INDEX(الطلاب!$A$5:$A$44,$M31))</f>
        <v>12</v>
      </c>
      <c r="C31" s="131" t="str" cm="1">
        <f t="array" ref="C31">IF($M31="","",INDEX(الطلاب!$B$5:$B$44,$M31))</f>
        <v xml:space="preserve">عبدالمجيد الربعي </v>
      </c>
      <c r="D31" s="130" t="str" cm="1">
        <f t="array" ref="D31">IF($M31="","",INDEX(الطلاب!$C$5:$C$44,$M31))</f>
        <v>المقرأة الأولى</v>
      </c>
      <c r="E31" s="124">
        <f>IF($B31="","",SUMIFS(الإدخال!$N$5:$N$644,الإدخال!$D$5:$D$644,$B31))</f>
        <v>2</v>
      </c>
      <c r="F31" s="124">
        <f>IF($B31="","",COUNTIFS(الإدخال!$D$5:$D$644,$B31,الإدخال!$F$5:$F$644,"غائب"))</f>
        <v>0</v>
      </c>
      <c r="G31" s="124">
        <f>IF($B31="","",COUNTIFS(الإدخال!$D$5:$D$644,$B31,الإدخال!$F$5:$F$644,"معتذر"))</f>
        <v>0</v>
      </c>
      <c r="H31" s="125">
        <f>IF($B31="","",IFERROR(E31/COUNTIFS(الإدخال!$D$5:$D$644,$B31,الإدخال!$F$5:$F$644,"&lt;&gt;"),""))</f>
        <v>1</v>
      </c>
      <c r="I31" s="126">
        <f>IF($B31="","",IFERROR(SUMIFS(الإدخال!$O$5:$O$644,الإدخال!$D$5:$D$644,$B31)/SUMIFS(الإدخال!$P$5:$P$644,الإدخال!$D$5:$D$644,$B31)/100,""))</f>
        <v>0.62</v>
      </c>
      <c r="J31" s="130" t="str">
        <f t="shared" si="0"/>
        <v>مقبول</v>
      </c>
      <c r="K31" s="124">
        <f>IF($B31="","",SUMIFS(الإدخال!$H$5:$H$644,الإدخال!$D$5:$D$644,$B31,الإدخال!$N$5:$N$644,1))</f>
        <v>5</v>
      </c>
      <c r="L31" s="130">
        <f t="shared" si="1"/>
        <v>9</v>
      </c>
      <c r="M31" s="132" cm="1">
        <f t="array" ref="M31">IFERROR(_xlfn.AGGREGATE(15,6,(ROW(الطلاب!$D$5:$D$44)-ROW(الطلاب!$D$5)+1)/(الطلاب!$D$5:$D$44=$C$3),ROWS(M$29:M31)),"")</f>
        <v>12</v>
      </c>
    </row>
    <row r="32" spans="1:13">
      <c r="A32" s="24"/>
      <c r="B32" s="130" cm="1">
        <f t="array" ref="B32">IF($M32="","",INDEX(الطلاب!$A$5:$A$44,$M32))</f>
        <v>13</v>
      </c>
      <c r="C32" s="131" t="str" cm="1">
        <f t="array" ref="C32">IF($M32="","",INDEX(الطلاب!$B$5:$B$44,$M32))</f>
        <v xml:space="preserve">عبدالله التويجري </v>
      </c>
      <c r="D32" s="130" t="str" cm="1">
        <f t="array" ref="D32">IF($M32="","",INDEX(الطلاب!$C$5:$C$44,$M32))</f>
        <v>المقرأة الأولى</v>
      </c>
      <c r="E32" s="124">
        <f>IF($B32="","",SUMIFS(الإدخال!$N$5:$N$644,الإدخال!$D$5:$D$644,$B32))</f>
        <v>1</v>
      </c>
      <c r="F32" s="124">
        <f>IF($B32="","",COUNTIFS(الإدخال!$D$5:$D$644,$B32,الإدخال!$F$5:$F$644,"غائب"))</f>
        <v>0</v>
      </c>
      <c r="G32" s="124">
        <f>IF($B32="","",COUNTIFS(الإدخال!$D$5:$D$644,$B32,الإدخال!$F$5:$F$644,"معتذر"))</f>
        <v>1</v>
      </c>
      <c r="H32" s="125">
        <f>IF($B32="","",IFERROR(E32/COUNTIFS(الإدخال!$D$5:$D$644,$B32,الإدخال!$F$5:$F$644,"&lt;&gt;"),""))</f>
        <v>0.5</v>
      </c>
      <c r="I32" s="126">
        <f>IF($B32="","",IFERROR(SUMIFS(الإدخال!$O$5:$O$644,الإدخال!$D$5:$D$644,$B32)/SUMIFS(الإدخال!$P$5:$P$644,الإدخال!$D$5:$D$644,$B32)/100,""))</f>
        <v>0.43</v>
      </c>
      <c r="J32" s="130" t="str">
        <f t="shared" si="0"/>
        <v>يحتاج متابعة</v>
      </c>
      <c r="K32" s="124">
        <f>IF($B32="","",SUMIFS(الإدخال!$H$5:$H$644,الإدخال!$D$5:$D$644,$B32,الإدخال!$N$5:$N$644,1))</f>
        <v>0</v>
      </c>
      <c r="L32" s="130">
        <f t="shared" si="1"/>
        <v>10</v>
      </c>
      <c r="M32" s="132" cm="1">
        <f t="array" ref="M32">IFERROR(_xlfn.AGGREGATE(15,6,(ROW(الطلاب!$D$5:$D$44)-ROW(الطلاب!$D$5)+1)/(الطلاب!$D$5:$D$44=$C$3),ROWS(M$29:M32)),"")</f>
        <v>13</v>
      </c>
    </row>
    <row r="33" spans="1:13">
      <c r="A33" s="24"/>
      <c r="B33" s="130" cm="1">
        <f t="array" ref="B33">IF($M33="","",INDEX(الطلاب!$A$5:$A$44,$M33))</f>
        <v>14</v>
      </c>
      <c r="C33" s="131" t="str" cm="1">
        <f t="array" ref="C33">IF($M33="","",INDEX(الطلاب!$B$5:$B$44,$M33))</f>
        <v xml:space="preserve">حسام التويجري </v>
      </c>
      <c r="D33" s="130" t="str" cm="1">
        <f t="array" ref="D33">IF($M33="","",INDEX(الطلاب!$C$5:$C$44,$M33))</f>
        <v>المقرأة الأولى</v>
      </c>
      <c r="E33" s="124">
        <f>IF($B33="","",SUMIFS(الإدخال!$N$5:$N$644,الإدخال!$D$5:$D$644,$B33))</f>
        <v>0</v>
      </c>
      <c r="F33" s="124">
        <f>IF($B33="","",COUNTIFS(الإدخال!$D$5:$D$644,$B33,الإدخال!$F$5:$F$644,"غائب"))</f>
        <v>0</v>
      </c>
      <c r="G33" s="124">
        <f>IF($B33="","",COUNTIFS(الإدخال!$D$5:$D$644,$B33,الإدخال!$F$5:$F$644,"معتذر"))</f>
        <v>2</v>
      </c>
      <c r="H33" s="125">
        <f>IF($B33="","",IFERROR(E33/COUNTIFS(الإدخال!$D$5:$D$644,$B33,الإدخال!$F$5:$F$644,"&lt;&gt;"),""))</f>
        <v>0</v>
      </c>
      <c r="I33" s="126">
        <f>IF($B33="","",IFERROR(SUMIFS(الإدخال!$O$5:$O$644,الإدخال!$D$5:$D$644,$B33)/SUMIFS(الإدخال!$P$5:$P$644,الإدخال!$D$5:$D$644,$B33)/100,""))</f>
        <v>0.24</v>
      </c>
      <c r="J33" s="130" t="str">
        <f t="shared" si="0"/>
        <v>يحتاج متابعة</v>
      </c>
      <c r="K33" s="124">
        <f>IF($B33="","",SUMIFS(الإدخال!$H$5:$H$644,الإدخال!$D$5:$D$644,$B33,الإدخال!$N$5:$N$644,1))</f>
        <v>0</v>
      </c>
      <c r="L33" s="130">
        <f t="shared" si="1"/>
        <v>11</v>
      </c>
      <c r="M33" s="132" cm="1">
        <f t="array" ref="M33">IFERROR(_xlfn.AGGREGATE(15,6,(ROW(الطلاب!$D$5:$D$44)-ROW(الطلاب!$D$5)+1)/(الطلاب!$D$5:$D$44=$C$3),ROWS(M$29:M33)),"")</f>
        <v>14</v>
      </c>
    </row>
    <row r="34" spans="1:13">
      <c r="A34" s="24"/>
      <c r="B34" s="130" cm="1">
        <f t="array" ref="B34">IF($M34="","",INDEX(الطلاب!$A$5:$A$44,$M34))</f>
        <v>15</v>
      </c>
      <c r="C34" s="131" t="str" cm="1">
        <f t="array" ref="C34">IF($M34="","",INDEX(الطلاب!$B$5:$B$44,$M34))</f>
        <v xml:space="preserve">عبدالرحمن البريدي </v>
      </c>
      <c r="D34" s="130" t="str" cm="1">
        <f t="array" ref="D34">IF($M34="","",INDEX(الطلاب!$C$5:$C$44,$M34))</f>
        <v>المقرأة الأولى</v>
      </c>
      <c r="E34" s="124">
        <f>IF($B34="","",SUMIFS(الإدخال!$N$5:$N$644,الإدخال!$D$5:$D$644,$B34))</f>
        <v>1</v>
      </c>
      <c r="F34" s="124">
        <f>IF($B34="","",COUNTIFS(الإدخال!$D$5:$D$644,$B34,الإدخال!$F$5:$F$644,"غائب"))</f>
        <v>0</v>
      </c>
      <c r="G34" s="124">
        <f>IF($B34="","",COUNTIFS(الإدخال!$D$5:$D$644,$B34,الإدخال!$F$5:$F$644,"معتذر"))</f>
        <v>1</v>
      </c>
      <c r="H34" s="125">
        <f>IF($B34="","",IFERROR(E34/COUNTIFS(الإدخال!$D$5:$D$644,$B34,الإدخال!$F$5:$F$644,"&lt;&gt;"),""))</f>
        <v>0.5</v>
      </c>
      <c r="I34" s="126">
        <f>IF($B34="","",IFERROR(SUMIFS(الإدخال!$O$5:$O$644,الإدخال!$D$5:$D$644,$B34)/SUMIFS(الإدخال!$P$5:$P$644,الإدخال!$D$5:$D$644,$B34)/100,""))</f>
        <v>0.745</v>
      </c>
      <c r="J34" s="130" t="str">
        <f t="shared" si="0"/>
        <v>جيد</v>
      </c>
      <c r="K34" s="124">
        <f>IF($B34="","",SUMIFS(الإدخال!$H$5:$H$644,الإدخال!$D$5:$D$644,$B34,الإدخال!$N$5:$N$644,1))</f>
        <v>2</v>
      </c>
      <c r="L34" s="130">
        <f t="shared" si="1"/>
        <v>8</v>
      </c>
      <c r="M34" s="132" cm="1">
        <f t="array" ref="M34">IFERROR(_xlfn.AGGREGATE(15,6,(ROW(الطلاب!$D$5:$D$44)-ROW(الطلاب!$D$5)+1)/(الطلاب!$D$5:$D$44=$C$3),ROWS(M$29:M34)),"")</f>
        <v>15</v>
      </c>
    </row>
    <row r="35" spans="1:13">
      <c r="A35" s="24"/>
      <c r="B35" s="130" cm="1">
        <f t="array" ref="B35">IF($M35="","",INDEX(الطلاب!$A$5:$A$44,$M35))</f>
        <v>16</v>
      </c>
      <c r="C35" s="131" t="str" cm="1">
        <f t="array" ref="C35">IF($M35="","",INDEX(الطلاب!$B$5:$B$44,$M35))</f>
        <v>عبدالرحمن بازرعة</v>
      </c>
      <c r="D35" s="130" t="str" cm="1">
        <f t="array" ref="D35">IF($M35="","",INDEX(الطلاب!$C$5:$C$44,$M35))</f>
        <v>المقرأة الأولى</v>
      </c>
      <c r="E35" s="124">
        <f>IF($B35="","",SUMIFS(الإدخال!$N$5:$N$644,الإدخال!$D$5:$D$644,$B35))</f>
        <v>2</v>
      </c>
      <c r="F35" s="124">
        <f>IF($B35="","",COUNTIFS(الإدخال!$D$5:$D$644,$B35,الإدخال!$F$5:$F$644,"غائب"))</f>
        <v>0</v>
      </c>
      <c r="G35" s="124">
        <f>IF($B35="","",COUNTIFS(الإدخال!$D$5:$D$644,$B35,الإدخال!$F$5:$F$644,"معتذر"))</f>
        <v>0</v>
      </c>
      <c r="H35" s="125">
        <f>IF($B35="","",IFERROR(E35/COUNTIFS(الإدخال!$D$5:$D$644,$B35,الإدخال!$F$5:$F$644,"&lt;&gt;"),""))</f>
        <v>1</v>
      </c>
      <c r="I35" s="126">
        <f>IF($B35="","",IFERROR(SUMIFS(الإدخال!$O$5:$O$644,الإدخال!$D$5:$D$644,$B35)/SUMIFS(الإدخال!$P$5:$P$644,الإدخال!$D$5:$D$644,$B35)/100,""))</f>
        <v>0.83</v>
      </c>
      <c r="J35" s="130" t="str">
        <f t="shared" si="0"/>
        <v>جيد جدًا</v>
      </c>
      <c r="K35" s="124">
        <f>IF($B35="","",SUMIFS(الإدخال!$H$5:$H$644,الإدخال!$D$5:$D$644,$B35,الإدخال!$N$5:$N$644,1))</f>
        <v>7</v>
      </c>
      <c r="L35" s="130">
        <f t="shared" si="1"/>
        <v>4</v>
      </c>
      <c r="M35" s="132" cm="1">
        <f t="array" ref="M35">IFERROR(_xlfn.AGGREGATE(15,6,(ROW(الطلاب!$D$5:$D$44)-ROW(الطلاب!$D$5)+1)/(الطلاب!$D$5:$D$44=$C$3),ROWS(M$29:M35)),"")</f>
        <v>16</v>
      </c>
    </row>
    <row r="36" spans="1:13">
      <c r="A36" s="24"/>
      <c r="B36" s="130" cm="1">
        <f t="array" ref="B36">IF($M36="","",INDEX(الطلاب!$A$5:$A$44,$M36))</f>
        <v>17</v>
      </c>
      <c r="C36" s="131" t="str" cm="1">
        <f t="array" ref="C36">IF($M36="","",INDEX(الطلاب!$B$5:$B$44,$M36))</f>
        <v xml:space="preserve">عبدالله الضحيان </v>
      </c>
      <c r="D36" s="130" t="str" cm="1">
        <f t="array" ref="D36">IF($M36="","",INDEX(الطلاب!$C$5:$C$44,$M36))</f>
        <v>المقرأة الأولى</v>
      </c>
      <c r="E36" s="124">
        <f>IF($B36="","",SUMIFS(الإدخال!$N$5:$N$644,الإدخال!$D$5:$D$644,$B36))</f>
        <v>2</v>
      </c>
      <c r="F36" s="124">
        <f>IF($B36="","",COUNTIFS(الإدخال!$D$5:$D$644,$B36,الإدخال!$F$5:$F$644,"غائب"))</f>
        <v>0</v>
      </c>
      <c r="G36" s="124">
        <f>IF($B36="","",COUNTIFS(الإدخال!$D$5:$D$644,$B36,الإدخال!$F$5:$F$644,"معتذر"))</f>
        <v>0</v>
      </c>
      <c r="H36" s="125">
        <f>IF($B36="","",IFERROR(E36/COUNTIFS(الإدخال!$D$5:$D$644,$B36,الإدخال!$F$5:$F$644,"&lt;&gt;"),""))</f>
        <v>1</v>
      </c>
      <c r="I36" s="126">
        <f>IF($B36="","",IFERROR(SUMIFS(الإدخال!$O$5:$O$644,الإدخال!$D$5:$D$644,$B36)/SUMIFS(الإدخال!$P$5:$P$644,الإدخال!$D$5:$D$644,$B36)/100,""))</f>
        <v>0.90500000000000003</v>
      </c>
      <c r="J36" s="130" t="str">
        <f t="shared" si="0"/>
        <v>ممتاز</v>
      </c>
      <c r="K36" s="124">
        <f>IF($B36="","",SUMIFS(الإدخال!$H$5:$H$644,الإدخال!$D$5:$D$644,$B36,الإدخال!$N$5:$N$644,1))</f>
        <v>6</v>
      </c>
      <c r="L36" s="130">
        <f t="shared" si="1"/>
        <v>3</v>
      </c>
      <c r="M36" s="132" cm="1">
        <f t="array" ref="M36">IFERROR(_xlfn.AGGREGATE(15,6,(ROW(الطلاب!$D$5:$D$44)-ROW(الطلاب!$D$5)+1)/(الطلاب!$D$5:$D$44=$C$3),ROWS(M$29:M36)),"")</f>
        <v>17</v>
      </c>
    </row>
    <row r="37" spans="1:13">
      <c r="A37" s="24"/>
      <c r="B37" s="130" cm="1">
        <f t="array" ref="B37">IF($M37="","",INDEX(الطلاب!$A$5:$A$44,$M37))</f>
        <v>18</v>
      </c>
      <c r="C37" s="131" t="str" cm="1">
        <f t="array" ref="C37">IF($M37="","",INDEX(الطلاب!$B$5:$B$44,$M37))</f>
        <v xml:space="preserve">فيصل الدخيل </v>
      </c>
      <c r="D37" s="130" t="str" cm="1">
        <f t="array" ref="D37">IF($M37="","",INDEX(الطلاب!$C$5:$C$44,$M37))</f>
        <v>المقرأة الأولى</v>
      </c>
      <c r="E37" s="124">
        <f>IF($B37="","",SUMIFS(الإدخال!$N$5:$N$644,الإدخال!$D$5:$D$644,$B37))</f>
        <v>2</v>
      </c>
      <c r="F37" s="124">
        <f>IF($B37="","",COUNTIFS(الإدخال!$D$5:$D$644,$B37,الإدخال!$F$5:$F$644,"غائب"))</f>
        <v>0</v>
      </c>
      <c r="G37" s="124">
        <f>IF($B37="","",COUNTIFS(الإدخال!$D$5:$D$644,$B37,الإدخال!$F$5:$F$644,"معتذر"))</f>
        <v>0</v>
      </c>
      <c r="H37" s="125">
        <f>IF($B37="","",IFERROR(E37/COUNTIFS(الإدخال!$D$5:$D$644,$B37,الإدخال!$F$5:$F$644,"&lt;&gt;"),""))</f>
        <v>1</v>
      </c>
      <c r="I37" s="126">
        <f>IF($B37="","",IFERROR(SUMIFS(الإدخال!$O$5:$O$644,الإدخال!$D$5:$D$644,$B37)/SUMIFS(الإدخال!$P$5:$P$644,الإدخال!$D$5:$D$644,$B37)/100,""))</f>
        <v>0.79500000000000004</v>
      </c>
      <c r="J37" s="130" t="str">
        <f t="shared" si="0"/>
        <v>جيد</v>
      </c>
      <c r="K37" s="124">
        <f>IF($B37="","",SUMIFS(الإدخال!$H$5:$H$644,الإدخال!$D$5:$D$644,$B37,الإدخال!$N$5:$N$644,1))</f>
        <v>9</v>
      </c>
      <c r="L37" s="130">
        <f t="shared" si="1"/>
        <v>6</v>
      </c>
      <c r="M37" s="132" cm="1">
        <f t="array" ref="M37">IFERROR(_xlfn.AGGREGATE(15,6,(ROW(الطلاب!$D$5:$D$44)-ROW(الطلاب!$D$5)+1)/(الطلاب!$D$5:$D$44=$C$3),ROWS(M$29:M37)),"")</f>
        <v>18</v>
      </c>
    </row>
    <row r="38" spans="1:13">
      <c r="A38" s="24"/>
      <c r="B38" s="130" cm="1">
        <f t="array" ref="B38">IF($M38="","",INDEX(الطلاب!$A$5:$A$44,$M38))</f>
        <v>19</v>
      </c>
      <c r="C38" s="131" t="str" cm="1">
        <f t="array" ref="C38">IF($M38="","",INDEX(الطلاب!$B$5:$B$44,$M38))</f>
        <v xml:space="preserve">سليمان المحيميد </v>
      </c>
      <c r="D38" s="130" t="str" cm="1">
        <f t="array" ref="D38">IF($M38="","",INDEX(الطلاب!$C$5:$C$44,$M38))</f>
        <v>المقرأة الأولى</v>
      </c>
      <c r="E38" s="124">
        <f>IF($B38="","",SUMIFS(الإدخال!$N$5:$N$644,الإدخال!$D$5:$D$644,$B38))</f>
        <v>1</v>
      </c>
      <c r="F38" s="124">
        <f>IF($B38="","",COUNTIFS(الإدخال!$D$5:$D$644,$B38,الإدخال!$F$5:$F$644,"غائب"))</f>
        <v>0</v>
      </c>
      <c r="G38" s="124">
        <f>IF($B38="","",COUNTIFS(الإدخال!$D$5:$D$644,$B38,الإدخال!$F$5:$F$644,"معتذر"))</f>
        <v>1</v>
      </c>
      <c r="H38" s="125">
        <f>IF($B38="","",IFERROR(E38/COUNTIFS(الإدخال!$D$5:$D$644,$B38,الإدخال!$F$5:$F$644,"&lt;&gt;"),""))</f>
        <v>0.5</v>
      </c>
      <c r="I38" s="126">
        <f>IF($B38="","",IFERROR(SUMIFS(الإدخال!$O$5:$O$644,الإدخال!$D$5:$D$644,$B38)/SUMIFS(الإدخال!$P$5:$P$644,الإدخال!$D$5:$D$644,$B38)/100,""))</f>
        <v>0.77500000000000002</v>
      </c>
      <c r="J38" s="130" t="str">
        <f t="shared" si="0"/>
        <v>جيد</v>
      </c>
      <c r="K38" s="124">
        <f>IF($B38="","",SUMIFS(الإدخال!$H$5:$H$644,الإدخال!$D$5:$D$644,$B38,الإدخال!$N$5:$N$644,1))</f>
        <v>6</v>
      </c>
      <c r="L38" s="130">
        <f t="shared" si="1"/>
        <v>7</v>
      </c>
      <c r="M38" s="132" cm="1">
        <f t="array" ref="M38">IFERROR(_xlfn.AGGREGATE(15,6,(ROW(الطلاب!$D$5:$D$44)-ROW(الطلاب!$D$5)+1)/(الطلاب!$D$5:$D$44=$C$3),ROWS(M$29:M38)),"")</f>
        <v>19</v>
      </c>
    </row>
    <row r="39" spans="1:13">
      <c r="A39" s="24"/>
      <c r="B39" s="130" cm="1">
        <f t="array" ref="B39">IF($M39="","",INDEX(الطلاب!$A$5:$A$44,$M39))</f>
        <v>38</v>
      </c>
      <c r="C39" s="131" t="str" cm="1">
        <f t="array" ref="C39">IF($M39="","",INDEX(الطلاب!$B$5:$B$44,$M39))</f>
        <v xml:space="preserve">عاصم الضالع </v>
      </c>
      <c r="D39" s="130" t="str" cm="1">
        <f t="array" ref="D39">IF($M39="","",INDEX(الطلاب!$C$5:$C$44,$M39))</f>
        <v>المقرأة الأولى</v>
      </c>
      <c r="E39" s="124">
        <f>IF($B39="","",SUMIFS(الإدخال!$N$5:$N$644,الإدخال!$D$5:$D$644,$B39))</f>
        <v>1</v>
      </c>
      <c r="F39" s="124">
        <f>IF($B39="","",COUNTIFS(الإدخال!$D$5:$D$644,$B39,الإدخال!$F$5:$F$644,"غائب"))</f>
        <v>0</v>
      </c>
      <c r="G39" s="124">
        <f>IF($B39="","",COUNTIFS(الإدخال!$D$5:$D$644,$B39,الإدخال!$F$5:$F$644,"معتذر"))</f>
        <v>0</v>
      </c>
      <c r="H39" s="125">
        <f>IF($B39="","",IFERROR(E39/COUNTIFS(الإدخال!$D$5:$D$644,$B39,الإدخال!$F$5:$F$644,"&lt;&gt;"),""))</f>
        <v>1</v>
      </c>
      <c r="I39" s="126">
        <f>IF($B39="","",IFERROR(SUMIFS(الإدخال!$O$5:$O$644,الإدخال!$D$5:$D$644,$B39)/SUMIFS(الإدخال!$P$5:$P$644,الإدخال!$D$5:$D$644,$B39)/100,""))</f>
        <v>0.82</v>
      </c>
      <c r="J39" s="130" t="str">
        <f t="shared" si="0"/>
        <v>جيد جدًا</v>
      </c>
      <c r="K39" s="124">
        <f>IF($B39="","",SUMIFS(الإدخال!$H$5:$H$644,الإدخال!$D$5:$D$644,$B39,الإدخال!$N$5:$N$644,1))</f>
        <v>9</v>
      </c>
      <c r="L39" s="130">
        <f t="shared" si="1"/>
        <v>5</v>
      </c>
      <c r="M39" s="132" cm="1">
        <f t="array" ref="M39">IFERROR(_xlfn.AGGREGATE(15,6,(ROW(الطلاب!$D$5:$D$44)-ROW(الطلاب!$D$5)+1)/(الطلاب!$D$5:$D$44=$C$3),ROWS(M$29:M39)),"")</f>
        <v>38</v>
      </c>
    </row>
    <row r="40" spans="1:13">
      <c r="A40" s="24"/>
      <c r="B40" s="130" t="str" cm="1">
        <f t="array" ref="B40">IF($M40="","",INDEX(الطلاب!$A$5:$A$44,$M40))</f>
        <v/>
      </c>
      <c r="C40" s="131" t="str" cm="1">
        <f t="array" ref="C40">IF($M40="","",INDEX(الطلاب!$B$5:$B$44,$M40))</f>
        <v/>
      </c>
      <c r="D40" s="130" t="str" cm="1">
        <f t="array" ref="D40">IF($M40="","",INDEX(الطلاب!$C$5:$C$44,$M40))</f>
        <v/>
      </c>
      <c r="E40" s="124" t="str">
        <f>IF($B40="","",SUMIFS(الإدخال!$N$5:$N$644,الإدخال!$D$5:$D$644,$B40))</f>
        <v/>
      </c>
      <c r="F40" s="124" t="str">
        <f>IF($B40="","",COUNTIFS(الإدخال!$D$5:$D$644,$B40,الإدخال!$F$5:$F$644,"غائب"))</f>
        <v/>
      </c>
      <c r="G40" s="124" t="str">
        <f>IF($B40="","",COUNTIFS(الإدخال!$D$5:$D$644,$B40,الإدخال!$F$5:$F$644,"معتذر"))</f>
        <v/>
      </c>
      <c r="H40" s="125" t="str">
        <f>IF($B40="","",IFERROR(E40/COUNTIFS(الإدخال!$D$5:$D$644,$B40,الإدخال!$F$5:$F$644,"&lt;&gt;"),""))</f>
        <v/>
      </c>
      <c r="I40" s="126" t="str">
        <f>IF($B40="","",IFERROR(SUMIFS(الإدخال!$O$5:$O$644,الإدخال!$D$5:$D$644,$B40)/SUMIFS(الإدخال!$P$5:$P$644,الإدخال!$D$5:$D$644,$B40)/100,""))</f>
        <v/>
      </c>
      <c r="J40" s="130" t="str">
        <f t="shared" si="0"/>
        <v/>
      </c>
      <c r="K40" s="124" t="str">
        <f>IF($B40="","",SUMIFS(الإدخال!$H$5:$H$644,الإدخال!$D$5:$D$644,$B40,الإدخال!$N$5:$N$644,1))</f>
        <v/>
      </c>
      <c r="L40" s="130" t="str">
        <f t="shared" si="1"/>
        <v/>
      </c>
      <c r="M40" s="132" t="str" cm="1">
        <f t="array" ref="M40">IFERROR(_xlfn.AGGREGATE(15,6,(ROW(الطلاب!$D$5:$D$44)-ROW(الطلاب!$D$5)+1)/(الطلاب!$D$5:$D$44=$C$3),ROWS(M$29:M40)),"")</f>
        <v/>
      </c>
    </row>
    <row r="41" spans="1:13">
      <c r="A41" s="24"/>
      <c r="B41" s="130" t="str" cm="1">
        <f t="array" ref="B41">IF($M41="","",INDEX(الطلاب!$A$5:$A$44,$M41))</f>
        <v/>
      </c>
      <c r="C41" s="131" t="str" cm="1">
        <f t="array" ref="C41">IF($M41="","",INDEX(الطلاب!$B$5:$B$44,$M41))</f>
        <v/>
      </c>
      <c r="D41" s="130" t="str" cm="1">
        <f t="array" ref="D41">IF($M41="","",INDEX(الطلاب!$C$5:$C$44,$M41))</f>
        <v/>
      </c>
      <c r="E41" s="124" t="str">
        <f>IF($B41="","",SUMIFS(الإدخال!$N$5:$N$644,الإدخال!$D$5:$D$644,$B41))</f>
        <v/>
      </c>
      <c r="F41" s="124" t="str">
        <f>IF($B41="","",COUNTIFS(الإدخال!$D$5:$D$644,$B41,الإدخال!$F$5:$F$644,"غائب"))</f>
        <v/>
      </c>
      <c r="G41" s="124" t="str">
        <f>IF($B41="","",COUNTIFS(الإدخال!$D$5:$D$644,$B41,الإدخال!$F$5:$F$644,"معتذر"))</f>
        <v/>
      </c>
      <c r="H41" s="125" t="str">
        <f>IF($B41="","",IFERROR(E41/COUNTIFS(الإدخال!$D$5:$D$644,$B41,الإدخال!$F$5:$F$644,"&lt;&gt;"),""))</f>
        <v/>
      </c>
      <c r="I41" s="126" t="str">
        <f>IF($B41="","",IFERROR(SUMIFS(الإدخال!$O$5:$O$644,الإدخال!$D$5:$D$644,$B41)/SUMIFS(الإدخال!$P$5:$P$644,الإدخال!$D$5:$D$644,$B41)/100,""))</f>
        <v/>
      </c>
      <c r="J41" s="130" t="str">
        <f t="shared" si="0"/>
        <v/>
      </c>
      <c r="K41" s="124" t="str">
        <f>IF($B41="","",SUMIFS(الإدخال!$H$5:$H$644,الإدخال!$D$5:$D$644,$B41,الإدخال!$N$5:$N$644,1))</f>
        <v/>
      </c>
      <c r="L41" s="130" t="str">
        <f t="shared" si="1"/>
        <v/>
      </c>
      <c r="M41" s="132" t="str" cm="1">
        <f t="array" ref="M41">IFERROR(_xlfn.AGGREGATE(15,6,(ROW(الطلاب!$D$5:$D$44)-ROW(الطلاب!$D$5)+1)/(الطلاب!$D$5:$D$44=$C$3),ROWS(M$29:M41)),"")</f>
        <v/>
      </c>
    </row>
    <row r="42" spans="1:13">
      <c r="A42" s="24"/>
      <c r="B42" s="130" t="str" cm="1">
        <f t="array" ref="B42">IF($M42="","",INDEX(الطلاب!$A$5:$A$44,$M42))</f>
        <v/>
      </c>
      <c r="C42" s="131" t="str" cm="1">
        <f t="array" ref="C42">IF($M42="","",INDEX(الطلاب!$B$5:$B$44,$M42))</f>
        <v/>
      </c>
      <c r="D42" s="130" t="str" cm="1">
        <f t="array" ref="D42">IF($M42="","",INDEX(الطلاب!$C$5:$C$44,$M42))</f>
        <v/>
      </c>
      <c r="E42" s="124" t="str">
        <f>IF($B42="","",SUMIFS(الإدخال!$N$5:$N$644,الإدخال!$D$5:$D$644,$B42))</f>
        <v/>
      </c>
      <c r="F42" s="124" t="str">
        <f>IF($B42="","",COUNTIFS(الإدخال!$D$5:$D$644,$B42,الإدخال!$F$5:$F$644,"غائب"))</f>
        <v/>
      </c>
      <c r="G42" s="124" t="str">
        <f>IF($B42="","",COUNTIFS(الإدخال!$D$5:$D$644,$B42,الإدخال!$F$5:$F$644,"معتذر"))</f>
        <v/>
      </c>
      <c r="H42" s="125" t="str">
        <f>IF($B42="","",IFERROR(E42/COUNTIFS(الإدخال!$D$5:$D$644,$B42,الإدخال!$F$5:$F$644,"&lt;&gt;"),""))</f>
        <v/>
      </c>
      <c r="I42" s="126" t="str">
        <f>IF($B42="","",IFERROR(SUMIFS(الإدخال!$O$5:$O$644,الإدخال!$D$5:$D$644,$B42)/SUMIFS(الإدخال!$P$5:$P$644,الإدخال!$D$5:$D$644,$B42)/100,""))</f>
        <v/>
      </c>
      <c r="J42" s="130" t="str">
        <f t="shared" si="0"/>
        <v/>
      </c>
      <c r="K42" s="124" t="str">
        <f>IF($B42="","",SUMIFS(الإدخال!$H$5:$H$644,الإدخال!$D$5:$D$644,$B42,الإدخال!$N$5:$N$644,1))</f>
        <v/>
      </c>
      <c r="L42" s="130" t="str">
        <f t="shared" si="1"/>
        <v/>
      </c>
      <c r="M42" s="132" t="str" cm="1">
        <f t="array" ref="M42">IFERROR(_xlfn.AGGREGATE(15,6,(ROW(الطلاب!$D$5:$D$44)-ROW(الطلاب!$D$5)+1)/(الطلاب!$D$5:$D$44=$C$3),ROWS(M$29:M42)),"")</f>
        <v/>
      </c>
    </row>
    <row r="43" spans="1:13">
      <c r="A43" s="24"/>
      <c r="B43" s="130" t="str" cm="1">
        <f t="array" ref="B43">IF($M43="","",INDEX(الطلاب!$A$5:$A$44,$M43))</f>
        <v/>
      </c>
      <c r="C43" s="131" t="str" cm="1">
        <f t="array" ref="C43">IF($M43="","",INDEX(الطلاب!$B$5:$B$44,$M43))</f>
        <v/>
      </c>
      <c r="D43" s="130" t="str" cm="1">
        <f t="array" ref="D43">IF($M43="","",INDEX(الطلاب!$C$5:$C$44,$M43))</f>
        <v/>
      </c>
      <c r="E43" s="124" t="str">
        <f>IF($B43="","",SUMIFS(الإدخال!$N$5:$N$644,الإدخال!$D$5:$D$644,$B43))</f>
        <v/>
      </c>
      <c r="F43" s="124" t="str">
        <f>IF($B43="","",COUNTIFS(الإدخال!$D$5:$D$644,$B43,الإدخال!$F$5:$F$644,"غائب"))</f>
        <v/>
      </c>
      <c r="G43" s="124" t="str">
        <f>IF($B43="","",COUNTIFS(الإدخال!$D$5:$D$644,$B43,الإدخال!$F$5:$F$644,"معتذر"))</f>
        <v/>
      </c>
      <c r="H43" s="125" t="str">
        <f>IF($B43="","",IFERROR(E43/COUNTIFS(الإدخال!$D$5:$D$644,$B43,الإدخال!$F$5:$F$644,"&lt;&gt;"),""))</f>
        <v/>
      </c>
      <c r="I43" s="126" t="str">
        <f>IF($B43="","",IFERROR(SUMIFS(الإدخال!$O$5:$O$644,الإدخال!$D$5:$D$644,$B43)/SUMIFS(الإدخال!$P$5:$P$644,الإدخال!$D$5:$D$644,$B43)/100,""))</f>
        <v/>
      </c>
      <c r="J43" s="130" t="str">
        <f t="shared" si="0"/>
        <v/>
      </c>
      <c r="K43" s="124" t="str">
        <f>IF($B43="","",SUMIFS(الإدخال!$H$5:$H$644,الإدخال!$D$5:$D$644,$B43,الإدخال!$N$5:$N$644,1))</f>
        <v/>
      </c>
      <c r="L43" s="130" t="str">
        <f t="shared" si="1"/>
        <v/>
      </c>
      <c r="M43" s="132" t="str" cm="1">
        <f t="array" ref="M43">IFERROR(_xlfn.AGGREGATE(15,6,(ROW(الطلاب!$D$5:$D$44)-ROW(الطلاب!$D$5)+1)/(الطلاب!$D$5:$D$44=$C$3),ROWS(M$29:M43)),"")</f>
        <v/>
      </c>
    </row>
    <row r="44" spans="1:13">
      <c r="A44" s="24"/>
      <c r="B44" s="130" t="str" cm="1">
        <f t="array" ref="B44">IF($M44="","",INDEX(الطلاب!$A$5:$A$44,$M44))</f>
        <v/>
      </c>
      <c r="C44" s="131" t="str" cm="1">
        <f t="array" ref="C44">IF($M44="","",INDEX(الطلاب!$B$5:$B$44,$M44))</f>
        <v/>
      </c>
      <c r="D44" s="130" t="str" cm="1">
        <f t="array" ref="D44">IF($M44="","",INDEX(الطلاب!$C$5:$C$44,$M44))</f>
        <v/>
      </c>
      <c r="E44" s="124" t="str">
        <f>IF($B44="","",SUMIFS(الإدخال!$N$5:$N$644,الإدخال!$D$5:$D$644,$B44))</f>
        <v/>
      </c>
      <c r="F44" s="124" t="str">
        <f>IF($B44="","",COUNTIFS(الإدخال!$D$5:$D$644,$B44,الإدخال!$F$5:$F$644,"غائب"))</f>
        <v/>
      </c>
      <c r="G44" s="124" t="str">
        <f>IF($B44="","",COUNTIFS(الإدخال!$D$5:$D$644,$B44,الإدخال!$F$5:$F$644,"معتذر"))</f>
        <v/>
      </c>
      <c r="H44" s="125" t="str">
        <f>IF($B44="","",IFERROR(E44/COUNTIFS(الإدخال!$D$5:$D$644,$B44,الإدخال!$F$5:$F$644,"&lt;&gt;"),""))</f>
        <v/>
      </c>
      <c r="I44" s="126" t="str">
        <f>IF($B44="","",IFERROR(SUMIFS(الإدخال!$O$5:$O$644,الإدخال!$D$5:$D$644,$B44)/SUMIFS(الإدخال!$P$5:$P$644,الإدخال!$D$5:$D$644,$B44)/100,""))</f>
        <v/>
      </c>
      <c r="J44" s="130" t="str">
        <f t="shared" si="0"/>
        <v/>
      </c>
      <c r="K44" s="124" t="str">
        <f>IF($B44="","",SUMIFS(الإدخال!$H$5:$H$644,الإدخال!$D$5:$D$644,$B44,الإدخال!$N$5:$N$644,1))</f>
        <v/>
      </c>
      <c r="L44" s="130" t="str">
        <f t="shared" si="1"/>
        <v/>
      </c>
      <c r="M44" s="132" t="str" cm="1">
        <f t="array" ref="M44">IFERROR(_xlfn.AGGREGATE(15,6,(ROW(الطلاب!$D$5:$D$44)-ROW(الطلاب!$D$5)+1)/(الطلاب!$D$5:$D$44=$C$3),ROWS(M$29:M44)),"")</f>
        <v/>
      </c>
    </row>
    <row r="45" spans="1:13">
      <c r="A45" s="24"/>
      <c r="B45" s="130" t="str" cm="1">
        <f t="array" ref="B45">IF($M45="","",INDEX(الطلاب!$A$5:$A$44,$M45))</f>
        <v/>
      </c>
      <c r="C45" s="131" t="str" cm="1">
        <f t="array" ref="C45">IF($M45="","",INDEX(الطلاب!$B$5:$B$44,$M45))</f>
        <v/>
      </c>
      <c r="D45" s="130" t="str" cm="1">
        <f t="array" ref="D45">IF($M45="","",INDEX(الطلاب!$C$5:$C$44,$M45))</f>
        <v/>
      </c>
      <c r="E45" s="124" t="str">
        <f>IF($B45="","",SUMIFS(الإدخال!$N$5:$N$644,الإدخال!$D$5:$D$644,$B45))</f>
        <v/>
      </c>
      <c r="F45" s="124" t="str">
        <f>IF($B45="","",COUNTIFS(الإدخال!$D$5:$D$644,$B45,الإدخال!$F$5:$F$644,"غائب"))</f>
        <v/>
      </c>
      <c r="G45" s="124" t="str">
        <f>IF($B45="","",COUNTIFS(الإدخال!$D$5:$D$644,$B45,الإدخال!$F$5:$F$644,"معتذر"))</f>
        <v/>
      </c>
      <c r="H45" s="125" t="str">
        <f>IF($B45="","",IFERROR(E45/COUNTIFS(الإدخال!$D$5:$D$644,$B45,الإدخال!$F$5:$F$644,"&lt;&gt;"),""))</f>
        <v/>
      </c>
      <c r="I45" s="126" t="str">
        <f>IF($B45="","",IFERROR(SUMIFS(الإدخال!$O$5:$O$644,الإدخال!$D$5:$D$644,$B45)/SUMIFS(الإدخال!$P$5:$P$644,الإدخال!$D$5:$D$644,$B45)/100,""))</f>
        <v/>
      </c>
      <c r="J45" s="130" t="str">
        <f t="shared" si="0"/>
        <v/>
      </c>
      <c r="K45" s="124" t="str">
        <f>IF($B45="","",SUMIFS(الإدخال!$H$5:$H$644,الإدخال!$D$5:$D$644,$B45,الإدخال!$N$5:$N$644,1))</f>
        <v/>
      </c>
      <c r="L45" s="130" t="str">
        <f t="shared" si="1"/>
        <v/>
      </c>
      <c r="M45" s="132" t="str" cm="1">
        <f t="array" ref="M45">IFERROR(_xlfn.AGGREGATE(15,6,(ROW(الطلاب!$D$5:$D$44)-ROW(الطلاب!$D$5)+1)/(الطلاب!$D$5:$D$44=$C$3),ROWS(M$29:M45)),"")</f>
        <v/>
      </c>
    </row>
    <row r="46" spans="1:13">
      <c r="A46" s="24"/>
      <c r="B46" s="130" t="str" cm="1">
        <f t="array" ref="B46">IF($M46="","",INDEX(الطلاب!$A$5:$A$44,$M46))</f>
        <v/>
      </c>
      <c r="C46" s="131" t="str" cm="1">
        <f t="array" ref="C46">IF($M46="","",INDEX(الطلاب!$B$5:$B$44,$M46))</f>
        <v/>
      </c>
      <c r="D46" s="130" t="str" cm="1">
        <f t="array" ref="D46">IF($M46="","",INDEX(الطلاب!$C$5:$C$44,$M46))</f>
        <v/>
      </c>
      <c r="E46" s="124" t="str">
        <f>IF($B46="","",SUMIFS(الإدخال!$N$5:$N$644,الإدخال!$D$5:$D$644,$B46))</f>
        <v/>
      </c>
      <c r="F46" s="124" t="str">
        <f>IF($B46="","",COUNTIFS(الإدخال!$D$5:$D$644,$B46,الإدخال!$F$5:$F$644,"غائب"))</f>
        <v/>
      </c>
      <c r="G46" s="124" t="str">
        <f>IF($B46="","",COUNTIFS(الإدخال!$D$5:$D$644,$B46,الإدخال!$F$5:$F$644,"معتذر"))</f>
        <v/>
      </c>
      <c r="H46" s="125" t="str">
        <f>IF($B46="","",IFERROR(E46/COUNTIFS(الإدخال!$D$5:$D$644,$B46,الإدخال!$F$5:$F$644,"&lt;&gt;"),""))</f>
        <v/>
      </c>
      <c r="I46" s="126" t="str">
        <f>IF($B46="","",IFERROR(SUMIFS(الإدخال!$O$5:$O$644,الإدخال!$D$5:$D$644,$B46)/SUMIFS(الإدخال!$P$5:$P$644,الإدخال!$D$5:$D$644,$B46)/100,""))</f>
        <v/>
      </c>
      <c r="J46" s="130" t="str">
        <f t="shared" si="0"/>
        <v/>
      </c>
      <c r="K46" s="124" t="str">
        <f>IF($B46="","",SUMIFS(الإدخال!$H$5:$H$644,الإدخال!$D$5:$D$644,$B46,الإدخال!$N$5:$N$644,1))</f>
        <v/>
      </c>
      <c r="L46" s="130" t="str">
        <f t="shared" si="1"/>
        <v/>
      </c>
      <c r="M46" s="132" t="str" cm="1">
        <f t="array" ref="M46">IFERROR(_xlfn.AGGREGATE(15,6,(ROW(الطلاب!$D$5:$D$44)-ROW(الطلاب!$D$5)+1)/(الطلاب!$D$5:$D$44=$C$3),ROWS(M$29:M46)),"")</f>
        <v/>
      </c>
    </row>
    <row r="47" spans="1:13">
      <c r="A47" s="24"/>
      <c r="B47" s="130" t="str" cm="1">
        <f t="array" ref="B47">IF($M47="","",INDEX(الطلاب!$A$5:$A$44,$M47))</f>
        <v/>
      </c>
      <c r="C47" s="131" t="str" cm="1">
        <f t="array" ref="C47">IF($M47="","",INDEX(الطلاب!$B$5:$B$44,$M47))</f>
        <v/>
      </c>
      <c r="D47" s="130" t="str" cm="1">
        <f t="array" ref="D47">IF($M47="","",INDEX(الطلاب!$C$5:$C$44,$M47))</f>
        <v/>
      </c>
      <c r="E47" s="124" t="str">
        <f>IF($B47="","",SUMIFS(الإدخال!$N$5:$N$644,الإدخال!$D$5:$D$644,$B47))</f>
        <v/>
      </c>
      <c r="F47" s="124" t="str">
        <f>IF($B47="","",COUNTIFS(الإدخال!$D$5:$D$644,$B47,الإدخال!$F$5:$F$644,"غائب"))</f>
        <v/>
      </c>
      <c r="G47" s="124" t="str">
        <f>IF($B47="","",COUNTIFS(الإدخال!$D$5:$D$644,$B47,الإدخال!$F$5:$F$644,"معتذر"))</f>
        <v/>
      </c>
      <c r="H47" s="125" t="str">
        <f>IF($B47="","",IFERROR(E47/COUNTIFS(الإدخال!$D$5:$D$644,$B47,الإدخال!$F$5:$F$644,"&lt;&gt;"),""))</f>
        <v/>
      </c>
      <c r="I47" s="126" t="str">
        <f>IF($B47="","",IFERROR(SUMIFS(الإدخال!$O$5:$O$644,الإدخال!$D$5:$D$644,$B47)/SUMIFS(الإدخال!$P$5:$P$644,الإدخال!$D$5:$D$644,$B47)/100,""))</f>
        <v/>
      </c>
      <c r="J47" s="130" t="str">
        <f t="shared" si="0"/>
        <v/>
      </c>
      <c r="K47" s="124" t="str">
        <f>IF($B47="","",SUMIFS(الإدخال!$H$5:$H$644,الإدخال!$D$5:$D$644,$B47,الإدخال!$N$5:$N$644,1))</f>
        <v/>
      </c>
      <c r="L47" s="130" t="str">
        <f t="shared" si="1"/>
        <v/>
      </c>
      <c r="M47" s="132" t="str" cm="1">
        <f t="array" ref="M47">IFERROR(_xlfn.AGGREGATE(15,6,(ROW(الطلاب!$D$5:$D$44)-ROW(الطلاب!$D$5)+1)/(الطلاب!$D$5:$D$44=$C$3),ROWS(M$29:M47)),"")</f>
        <v/>
      </c>
    </row>
    <row r="48" spans="1:13">
      <c r="A48" s="24"/>
      <c r="B48" s="130" t="str" cm="1">
        <f t="array" ref="B48">IF($M48="","",INDEX(الطلاب!$A$5:$A$44,$M48))</f>
        <v/>
      </c>
      <c r="C48" s="131" t="str" cm="1">
        <f t="array" ref="C48">IF($M48="","",INDEX(الطلاب!$B$5:$B$44,$M48))</f>
        <v/>
      </c>
      <c r="D48" s="130" t="str" cm="1">
        <f t="array" ref="D48">IF($M48="","",INDEX(الطلاب!$C$5:$C$44,$M48))</f>
        <v/>
      </c>
      <c r="E48" s="124" t="str">
        <f>IF($B48="","",SUMIFS(الإدخال!$N$5:$N$644,الإدخال!$D$5:$D$644,$B48))</f>
        <v/>
      </c>
      <c r="F48" s="124" t="str">
        <f>IF($B48="","",COUNTIFS(الإدخال!$D$5:$D$644,$B48,الإدخال!$F$5:$F$644,"غائب"))</f>
        <v/>
      </c>
      <c r="G48" s="124" t="str">
        <f>IF($B48="","",COUNTIFS(الإدخال!$D$5:$D$644,$B48,الإدخال!$F$5:$F$644,"معتذر"))</f>
        <v/>
      </c>
      <c r="H48" s="125" t="str">
        <f>IF($B48="","",IFERROR(E48/COUNTIFS(الإدخال!$D$5:$D$644,$B48,الإدخال!$F$5:$F$644,"&lt;&gt;"),""))</f>
        <v/>
      </c>
      <c r="I48" s="126" t="str">
        <f>IF($B48="","",IFERROR(SUMIFS(الإدخال!$O$5:$O$644,الإدخال!$D$5:$D$644,$B48)/SUMIFS(الإدخال!$P$5:$P$644,الإدخال!$D$5:$D$644,$B48)/100,""))</f>
        <v/>
      </c>
      <c r="J48" s="130" t="str">
        <f t="shared" si="0"/>
        <v/>
      </c>
      <c r="K48" s="124" t="str">
        <f>IF($B48="","",SUMIFS(الإدخال!$H$5:$H$644,الإدخال!$D$5:$D$644,$B48,الإدخال!$N$5:$N$644,1))</f>
        <v/>
      </c>
      <c r="L48" s="130" t="str">
        <f t="shared" si="1"/>
        <v/>
      </c>
      <c r="M48" s="132" t="str" cm="1">
        <f t="array" ref="M48">IFERROR(_xlfn.AGGREGATE(15,6,(ROW(الطلاب!$D$5:$D$44)-ROW(الطلاب!$D$5)+1)/(الطلاب!$D$5:$D$44=$C$3),ROWS(M$29:M48)),"")</f>
        <v/>
      </c>
    </row>
    <row r="49" spans="1:13">
      <c r="A49" s="24"/>
      <c r="B49" s="130" t="str" cm="1">
        <f t="array" ref="B49">IF($M49="","",INDEX(الطلاب!$A$5:$A$44,$M49))</f>
        <v/>
      </c>
      <c r="C49" s="131" t="str" cm="1">
        <f t="array" ref="C49">IF($M49="","",INDEX(الطلاب!$B$5:$B$44,$M49))</f>
        <v/>
      </c>
      <c r="D49" s="130" t="str" cm="1">
        <f t="array" ref="D49">IF($M49="","",INDEX(الطلاب!$C$5:$C$44,$M49))</f>
        <v/>
      </c>
      <c r="E49" s="124" t="str">
        <f>IF($B49="","",SUMIFS(الإدخال!$N$5:$N$644,الإدخال!$D$5:$D$644,$B49))</f>
        <v/>
      </c>
      <c r="F49" s="124" t="str">
        <f>IF($B49="","",COUNTIFS(الإدخال!$D$5:$D$644,$B49,الإدخال!$F$5:$F$644,"غائب"))</f>
        <v/>
      </c>
      <c r="G49" s="124" t="str">
        <f>IF($B49="","",COUNTIFS(الإدخال!$D$5:$D$644,$B49,الإدخال!$F$5:$F$644,"معتذر"))</f>
        <v/>
      </c>
      <c r="H49" s="125" t="str">
        <f>IF($B49="","",IFERROR(E49/COUNTIFS(الإدخال!$D$5:$D$644,$B49,الإدخال!$F$5:$F$644,"&lt;&gt;"),""))</f>
        <v/>
      </c>
      <c r="I49" s="126" t="str">
        <f>IF($B49="","",IFERROR(SUMIFS(الإدخال!$O$5:$O$644,الإدخال!$D$5:$D$644,$B49)/SUMIFS(الإدخال!$P$5:$P$644,الإدخال!$D$5:$D$644,$B49)/100,""))</f>
        <v/>
      </c>
      <c r="J49" s="130" t="str">
        <f t="shared" si="0"/>
        <v/>
      </c>
      <c r="K49" s="124" t="str">
        <f>IF($B49="","",SUMIFS(الإدخال!$H$5:$H$644,الإدخال!$D$5:$D$644,$B49,الإدخال!$N$5:$N$644,1))</f>
        <v/>
      </c>
      <c r="L49" s="130" t="str">
        <f t="shared" si="1"/>
        <v/>
      </c>
      <c r="M49" s="132" t="str" cm="1">
        <f t="array" ref="M49">IFERROR(_xlfn.AGGREGATE(15,6,(ROW(الطلاب!$D$5:$D$44)-ROW(الطلاب!$D$5)+1)/(الطلاب!$D$5:$D$44=$C$3),ROWS(M$29:M49)),"")</f>
        <v/>
      </c>
    </row>
    <row r="50" spans="1:13">
      <c r="A50" s="24"/>
      <c r="B50" s="130" t="str" cm="1">
        <f t="array" ref="B50">IF($M50="","",INDEX(الطلاب!$A$5:$A$44,$M50))</f>
        <v/>
      </c>
      <c r="C50" s="131" t="str" cm="1">
        <f t="array" ref="C50">IF($M50="","",INDEX(الطلاب!$B$5:$B$44,$M50))</f>
        <v/>
      </c>
      <c r="D50" s="130" t="str" cm="1">
        <f t="array" ref="D50">IF($M50="","",INDEX(الطلاب!$C$5:$C$44,$M50))</f>
        <v/>
      </c>
      <c r="E50" s="124" t="str">
        <f>IF($B50="","",SUMIFS(الإدخال!$N$5:$N$644,الإدخال!$D$5:$D$644,$B50))</f>
        <v/>
      </c>
      <c r="F50" s="124" t="str">
        <f>IF($B50="","",COUNTIFS(الإدخال!$D$5:$D$644,$B50,الإدخال!$F$5:$F$644,"غائب"))</f>
        <v/>
      </c>
      <c r="G50" s="124" t="str">
        <f>IF($B50="","",COUNTIFS(الإدخال!$D$5:$D$644,$B50,الإدخال!$F$5:$F$644,"معتذر"))</f>
        <v/>
      </c>
      <c r="H50" s="125" t="str">
        <f>IF($B50="","",IFERROR(E50/COUNTIFS(الإدخال!$D$5:$D$644,$B50,الإدخال!$F$5:$F$644,"&lt;&gt;"),""))</f>
        <v/>
      </c>
      <c r="I50" s="126" t="str">
        <f>IF($B50="","",IFERROR(SUMIFS(الإدخال!$O$5:$O$644,الإدخال!$D$5:$D$644,$B50)/SUMIFS(الإدخال!$P$5:$P$644,الإدخال!$D$5:$D$644,$B50)/100,""))</f>
        <v/>
      </c>
      <c r="J50" s="130" t="str">
        <f t="shared" si="0"/>
        <v/>
      </c>
      <c r="K50" s="124" t="str">
        <f>IF($B50="","",SUMIFS(الإدخال!$H$5:$H$644,الإدخال!$D$5:$D$644,$B50,الإدخال!$N$5:$N$644,1))</f>
        <v/>
      </c>
      <c r="L50" s="130" t="str">
        <f t="shared" si="1"/>
        <v/>
      </c>
      <c r="M50" s="132" t="str" cm="1">
        <f t="array" ref="M50">IFERROR(_xlfn.AGGREGATE(15,6,(ROW(الطلاب!$D$5:$D$44)-ROW(الطلاب!$D$5)+1)/(الطلاب!$D$5:$D$44=$C$3),ROWS(M$29:M50)),"")</f>
        <v/>
      </c>
    </row>
    <row r="51" spans="1:13">
      <c r="A51" s="24"/>
      <c r="B51" s="130" t="str" cm="1">
        <f t="array" ref="B51">IF($M51="","",INDEX(الطلاب!$A$5:$A$44,$M51))</f>
        <v/>
      </c>
      <c r="C51" s="131" t="str" cm="1">
        <f t="array" ref="C51">IF($M51="","",INDEX(الطلاب!$B$5:$B$44,$M51))</f>
        <v/>
      </c>
      <c r="D51" s="130" t="str" cm="1">
        <f t="array" ref="D51">IF($M51="","",INDEX(الطلاب!$C$5:$C$44,$M51))</f>
        <v/>
      </c>
      <c r="E51" s="124" t="str">
        <f>IF($B51="","",SUMIFS(الإدخال!$N$5:$N$644,الإدخال!$D$5:$D$644,$B51))</f>
        <v/>
      </c>
      <c r="F51" s="124" t="str">
        <f>IF($B51="","",COUNTIFS(الإدخال!$D$5:$D$644,$B51,الإدخال!$F$5:$F$644,"غائب"))</f>
        <v/>
      </c>
      <c r="G51" s="124" t="str">
        <f>IF($B51="","",COUNTIFS(الإدخال!$D$5:$D$644,$B51,الإدخال!$F$5:$F$644,"معتذر"))</f>
        <v/>
      </c>
      <c r="H51" s="125" t="str">
        <f>IF($B51="","",IFERROR(E51/COUNTIFS(الإدخال!$D$5:$D$644,$B51,الإدخال!$F$5:$F$644,"&lt;&gt;"),""))</f>
        <v/>
      </c>
      <c r="I51" s="126" t="str">
        <f>IF($B51="","",IFERROR(SUMIFS(الإدخال!$O$5:$O$644,الإدخال!$D$5:$D$644,$B51)/SUMIFS(الإدخال!$P$5:$P$644,الإدخال!$D$5:$D$644,$B51)/100,""))</f>
        <v/>
      </c>
      <c r="J51" s="130" t="str">
        <f t="shared" si="0"/>
        <v/>
      </c>
      <c r="K51" s="124" t="str">
        <f>IF($B51="","",SUMIFS(الإدخال!$H$5:$H$644,الإدخال!$D$5:$D$644,$B51,الإدخال!$N$5:$N$644,1))</f>
        <v/>
      </c>
      <c r="L51" s="130" t="str">
        <f t="shared" si="1"/>
        <v/>
      </c>
      <c r="M51" s="132" t="str" cm="1">
        <f t="array" ref="M51">IFERROR(_xlfn.AGGREGATE(15,6,(ROW(الطلاب!$D$5:$D$44)-ROW(الطلاب!$D$5)+1)/(الطلاب!$D$5:$D$44=$C$3),ROWS(M$29:M51)),"")</f>
        <v/>
      </c>
    </row>
    <row r="52" spans="1:13">
      <c r="A52" s="24"/>
      <c r="B52" s="130" t="str" cm="1">
        <f t="array" ref="B52">IF($M52="","",INDEX(الطلاب!$A$5:$A$44,$M52))</f>
        <v/>
      </c>
      <c r="C52" s="131" t="str" cm="1">
        <f t="array" ref="C52">IF($M52="","",INDEX(الطلاب!$B$5:$B$44,$M52))</f>
        <v/>
      </c>
      <c r="D52" s="130" t="str" cm="1">
        <f t="array" ref="D52">IF($M52="","",INDEX(الطلاب!$C$5:$C$44,$M52))</f>
        <v/>
      </c>
      <c r="E52" s="124" t="str">
        <f>IF($B52="","",SUMIFS(الإدخال!$N$5:$N$644,الإدخال!$D$5:$D$644,$B52))</f>
        <v/>
      </c>
      <c r="F52" s="124" t="str">
        <f>IF($B52="","",COUNTIFS(الإدخال!$D$5:$D$644,$B52,الإدخال!$F$5:$F$644,"غائب"))</f>
        <v/>
      </c>
      <c r="G52" s="124" t="str">
        <f>IF($B52="","",COUNTIFS(الإدخال!$D$5:$D$644,$B52,الإدخال!$F$5:$F$644,"معتذر"))</f>
        <v/>
      </c>
      <c r="H52" s="125" t="str">
        <f>IF($B52="","",IFERROR(E52/COUNTIFS(الإدخال!$D$5:$D$644,$B52,الإدخال!$F$5:$F$644,"&lt;&gt;"),""))</f>
        <v/>
      </c>
      <c r="I52" s="126" t="str">
        <f>IF($B52="","",IFERROR(SUMIFS(الإدخال!$O$5:$O$644,الإدخال!$D$5:$D$644,$B52)/SUMIFS(الإدخال!$P$5:$P$644,الإدخال!$D$5:$D$644,$B52)/100,""))</f>
        <v/>
      </c>
      <c r="J52" s="130" t="str">
        <f t="shared" si="0"/>
        <v/>
      </c>
      <c r="K52" s="124" t="str">
        <f>IF($B52="","",SUMIFS(الإدخال!$H$5:$H$644,الإدخال!$D$5:$D$644,$B52,الإدخال!$N$5:$N$644,1))</f>
        <v/>
      </c>
      <c r="L52" s="130" t="str">
        <f t="shared" si="1"/>
        <v/>
      </c>
      <c r="M52" s="132" t="str" cm="1">
        <f t="array" ref="M52">IFERROR(_xlfn.AGGREGATE(15,6,(ROW(الطلاب!$D$5:$D$44)-ROW(الطلاب!$D$5)+1)/(الطلاب!$D$5:$D$44=$C$3),ROWS(M$29:M52)),"")</f>
        <v/>
      </c>
    </row>
    <row r="53" spans="1:13">
      <c r="A53" s="24"/>
      <c r="B53" s="130" t="str" cm="1">
        <f t="array" ref="B53">IF($M53="","",INDEX(الطلاب!$A$5:$A$44,$M53))</f>
        <v/>
      </c>
      <c r="C53" s="131" t="str" cm="1">
        <f t="array" ref="C53">IF($M53="","",INDEX(الطلاب!$B$5:$B$44,$M53))</f>
        <v/>
      </c>
      <c r="D53" s="130" t="str" cm="1">
        <f t="array" ref="D53">IF($M53="","",INDEX(الطلاب!$C$5:$C$44,$M53))</f>
        <v/>
      </c>
      <c r="E53" s="124" t="str">
        <f>IF($B53="","",SUMIFS(الإدخال!$N$5:$N$644,الإدخال!$D$5:$D$644,$B53))</f>
        <v/>
      </c>
      <c r="F53" s="124" t="str">
        <f>IF($B53="","",COUNTIFS(الإدخال!$D$5:$D$644,$B53,الإدخال!$F$5:$F$644,"غائب"))</f>
        <v/>
      </c>
      <c r="G53" s="124" t="str">
        <f>IF($B53="","",COUNTIFS(الإدخال!$D$5:$D$644,$B53,الإدخال!$F$5:$F$644,"معتذر"))</f>
        <v/>
      </c>
      <c r="H53" s="125" t="str">
        <f>IF($B53="","",IFERROR(E53/COUNTIFS(الإدخال!$D$5:$D$644,$B53,الإدخال!$F$5:$F$644,"&lt;&gt;"),""))</f>
        <v/>
      </c>
      <c r="I53" s="126" t="str">
        <f>IF($B53="","",IFERROR(SUMIFS(الإدخال!$O$5:$O$644,الإدخال!$D$5:$D$644,$B53)/SUMIFS(الإدخال!$P$5:$P$644,الإدخال!$D$5:$D$644,$B53)/100,""))</f>
        <v/>
      </c>
      <c r="J53" s="130" t="str">
        <f t="shared" si="0"/>
        <v/>
      </c>
      <c r="K53" s="124" t="str">
        <f>IF($B53="","",SUMIFS(الإدخال!$H$5:$H$644,الإدخال!$D$5:$D$644,$B53,الإدخال!$N$5:$N$644,1))</f>
        <v/>
      </c>
      <c r="L53" s="130" t="str">
        <f t="shared" si="1"/>
        <v/>
      </c>
      <c r="M53" s="132" t="str" cm="1">
        <f t="array" ref="M53">IFERROR(_xlfn.AGGREGATE(15,6,(ROW(الطلاب!$D$5:$D$44)-ROW(الطلاب!$D$5)+1)/(الطلاب!$D$5:$D$44=$C$3),ROWS(M$29:M53)),"")</f>
        <v/>
      </c>
    </row>
    <row r="54" spans="1:13">
      <c r="A54" s="24"/>
      <c r="B54" s="130" t="str" cm="1">
        <f t="array" ref="B54">IF($M54="","",INDEX(الطلاب!$A$5:$A$44,$M54))</f>
        <v/>
      </c>
      <c r="C54" s="131" t="str" cm="1">
        <f t="array" ref="C54">IF($M54="","",INDEX(الطلاب!$B$5:$B$44,$M54))</f>
        <v/>
      </c>
      <c r="D54" s="130" t="str" cm="1">
        <f t="array" ref="D54">IF($M54="","",INDEX(الطلاب!$C$5:$C$44,$M54))</f>
        <v/>
      </c>
      <c r="E54" s="124" t="str">
        <f>IF($B54="","",SUMIFS(الإدخال!$N$5:$N$644,الإدخال!$D$5:$D$644,$B54))</f>
        <v/>
      </c>
      <c r="F54" s="124" t="str">
        <f>IF($B54="","",COUNTIFS(الإدخال!$D$5:$D$644,$B54,الإدخال!$F$5:$F$644,"غائب"))</f>
        <v/>
      </c>
      <c r="G54" s="124" t="str">
        <f>IF($B54="","",COUNTIFS(الإدخال!$D$5:$D$644,$B54,الإدخال!$F$5:$F$644,"معتذر"))</f>
        <v/>
      </c>
      <c r="H54" s="125" t="str">
        <f>IF($B54="","",IFERROR(E54/COUNTIFS(الإدخال!$D$5:$D$644,$B54,الإدخال!$F$5:$F$644,"&lt;&gt;"),""))</f>
        <v/>
      </c>
      <c r="I54" s="126" t="str">
        <f>IF($B54="","",IFERROR(SUMIFS(الإدخال!$O$5:$O$644,الإدخال!$D$5:$D$644,$B54)/SUMIFS(الإدخال!$P$5:$P$644,الإدخال!$D$5:$D$644,$B54)/100,""))</f>
        <v/>
      </c>
      <c r="J54" s="130" t="str">
        <f t="shared" si="0"/>
        <v/>
      </c>
      <c r="K54" s="124" t="str">
        <f>IF($B54="","",SUMIFS(الإدخال!$H$5:$H$644,الإدخال!$D$5:$D$644,$B54,الإدخال!$N$5:$N$644,1))</f>
        <v/>
      </c>
      <c r="L54" s="130" t="str">
        <f t="shared" si="1"/>
        <v/>
      </c>
      <c r="M54" s="132" t="str" cm="1">
        <f t="array" ref="M54">IFERROR(_xlfn.AGGREGATE(15,6,(ROW(الطلاب!$D$5:$D$44)-ROW(الطلاب!$D$5)+1)/(الطلاب!$D$5:$D$44=$C$3),ROWS(M$29:M54)),"")</f>
        <v/>
      </c>
    </row>
    <row r="55" spans="1:13">
      <c r="A55" s="24"/>
      <c r="B55" s="130" t="str" cm="1">
        <f t="array" ref="B55">IF($M55="","",INDEX(الطلاب!$A$5:$A$44,$M55))</f>
        <v/>
      </c>
      <c r="C55" s="131" t="str" cm="1">
        <f t="array" ref="C55">IF($M55="","",INDEX(الطلاب!$B$5:$B$44,$M55))</f>
        <v/>
      </c>
      <c r="D55" s="130" t="str" cm="1">
        <f t="array" ref="D55">IF($M55="","",INDEX(الطلاب!$C$5:$C$44,$M55))</f>
        <v/>
      </c>
      <c r="E55" s="124" t="str">
        <f>IF($B55="","",SUMIFS(الإدخال!$N$5:$N$644,الإدخال!$D$5:$D$644,$B55))</f>
        <v/>
      </c>
      <c r="F55" s="124" t="str">
        <f>IF($B55="","",COUNTIFS(الإدخال!$D$5:$D$644,$B55,الإدخال!$F$5:$F$644,"غائب"))</f>
        <v/>
      </c>
      <c r="G55" s="124" t="str">
        <f>IF($B55="","",COUNTIFS(الإدخال!$D$5:$D$644,$B55,الإدخال!$F$5:$F$644,"معتذر"))</f>
        <v/>
      </c>
      <c r="H55" s="125" t="str">
        <f>IF($B55="","",IFERROR(E55/COUNTIFS(الإدخال!$D$5:$D$644,$B55,الإدخال!$F$5:$F$644,"&lt;&gt;"),""))</f>
        <v/>
      </c>
      <c r="I55" s="126" t="str">
        <f>IF($B55="","",IFERROR(SUMIFS(الإدخال!$O$5:$O$644,الإدخال!$D$5:$D$644,$B55)/SUMIFS(الإدخال!$P$5:$P$644,الإدخال!$D$5:$D$644,$B55)/100,""))</f>
        <v/>
      </c>
      <c r="J55" s="130" t="str">
        <f t="shared" si="0"/>
        <v/>
      </c>
      <c r="K55" s="124" t="str">
        <f>IF($B55="","",SUMIFS(الإدخال!$H$5:$H$644,الإدخال!$D$5:$D$644,$B55,الإدخال!$N$5:$N$644,1))</f>
        <v/>
      </c>
      <c r="L55" s="130" t="str">
        <f t="shared" si="1"/>
        <v/>
      </c>
      <c r="M55" s="132" t="str" cm="1">
        <f t="array" ref="M55">IFERROR(_xlfn.AGGREGATE(15,6,(ROW(الطلاب!$D$5:$D$44)-ROW(الطلاب!$D$5)+1)/(الطلاب!$D$5:$D$44=$C$3),ROWS(M$29:M55)),"")</f>
        <v/>
      </c>
    </row>
    <row r="56" spans="1:13">
      <c r="A56" s="24"/>
      <c r="B56" s="130" t="str" cm="1">
        <f t="array" ref="B56">IF($M56="","",INDEX(الطلاب!$A$5:$A$44,$M56))</f>
        <v/>
      </c>
      <c r="C56" s="131" t="str" cm="1">
        <f t="array" ref="C56">IF($M56="","",INDEX(الطلاب!$B$5:$B$44,$M56))</f>
        <v/>
      </c>
      <c r="D56" s="130" t="str" cm="1">
        <f t="array" ref="D56">IF($M56="","",INDEX(الطلاب!$C$5:$C$44,$M56))</f>
        <v/>
      </c>
      <c r="E56" s="124" t="str">
        <f>IF($B56="","",SUMIFS(الإدخال!$N$5:$N$644,الإدخال!$D$5:$D$644,$B56))</f>
        <v/>
      </c>
      <c r="F56" s="124" t="str">
        <f>IF($B56="","",COUNTIFS(الإدخال!$D$5:$D$644,$B56,الإدخال!$F$5:$F$644,"غائب"))</f>
        <v/>
      </c>
      <c r="G56" s="124" t="str">
        <f>IF($B56="","",COUNTIFS(الإدخال!$D$5:$D$644,$B56,الإدخال!$F$5:$F$644,"معتذر"))</f>
        <v/>
      </c>
      <c r="H56" s="125" t="str">
        <f>IF($B56="","",IFERROR(E56/COUNTIFS(الإدخال!$D$5:$D$644,$B56,الإدخال!$F$5:$F$644,"&lt;&gt;"),""))</f>
        <v/>
      </c>
      <c r="I56" s="126" t="str">
        <f>IF($B56="","",IFERROR(SUMIFS(الإدخال!$O$5:$O$644,الإدخال!$D$5:$D$644,$B56)/SUMIFS(الإدخال!$P$5:$P$644,الإدخال!$D$5:$D$644,$B56)/100,""))</f>
        <v/>
      </c>
      <c r="J56" s="130" t="str">
        <f t="shared" si="0"/>
        <v/>
      </c>
      <c r="K56" s="124" t="str">
        <f>IF($B56="","",SUMIFS(الإدخال!$H$5:$H$644,الإدخال!$D$5:$D$644,$B56,الإدخال!$N$5:$N$644,1))</f>
        <v/>
      </c>
      <c r="L56" s="130" t="str">
        <f t="shared" si="1"/>
        <v/>
      </c>
      <c r="M56" s="132" t="str" cm="1">
        <f t="array" ref="M56">IFERROR(_xlfn.AGGREGATE(15,6,(ROW(الطلاب!$D$5:$D$44)-ROW(الطلاب!$D$5)+1)/(الطلاب!$D$5:$D$44=$C$3),ROWS(M$29:M56)),"")</f>
        <v/>
      </c>
    </row>
    <row r="57" spans="1:13">
      <c r="A57" s="24"/>
      <c r="B57" s="130" t="str" cm="1">
        <f t="array" ref="B57">IF($M57="","",INDEX(الطلاب!$A$5:$A$44,$M57))</f>
        <v/>
      </c>
      <c r="C57" s="131" t="str" cm="1">
        <f t="array" ref="C57">IF($M57="","",INDEX(الطلاب!$B$5:$B$44,$M57))</f>
        <v/>
      </c>
      <c r="D57" s="130" t="str" cm="1">
        <f t="array" ref="D57">IF($M57="","",INDEX(الطلاب!$C$5:$C$44,$M57))</f>
        <v/>
      </c>
      <c r="E57" s="124" t="str">
        <f>IF($B57="","",SUMIFS(الإدخال!$N$5:$N$644,الإدخال!$D$5:$D$644,$B57))</f>
        <v/>
      </c>
      <c r="F57" s="124" t="str">
        <f>IF($B57="","",COUNTIFS(الإدخال!$D$5:$D$644,$B57,الإدخال!$F$5:$F$644,"غائب"))</f>
        <v/>
      </c>
      <c r="G57" s="124" t="str">
        <f>IF($B57="","",COUNTIFS(الإدخال!$D$5:$D$644,$B57,الإدخال!$F$5:$F$644,"معتذر"))</f>
        <v/>
      </c>
      <c r="H57" s="125" t="str">
        <f>IF($B57="","",IFERROR(E57/COUNTIFS(الإدخال!$D$5:$D$644,$B57,الإدخال!$F$5:$F$644,"&lt;&gt;"),""))</f>
        <v/>
      </c>
      <c r="I57" s="126" t="str">
        <f>IF($B57="","",IFERROR(SUMIFS(الإدخال!$O$5:$O$644,الإدخال!$D$5:$D$644,$B57)/SUMIFS(الإدخال!$P$5:$P$644,الإدخال!$D$5:$D$644,$B57)/100,""))</f>
        <v/>
      </c>
      <c r="J57" s="130" t="str">
        <f t="shared" si="0"/>
        <v/>
      </c>
      <c r="K57" s="124" t="str">
        <f>IF($B57="","",SUMIFS(الإدخال!$H$5:$H$644,الإدخال!$D$5:$D$644,$B57,الإدخال!$N$5:$N$644,1))</f>
        <v/>
      </c>
      <c r="L57" s="130" t="str">
        <f t="shared" si="1"/>
        <v/>
      </c>
      <c r="M57" s="132" t="str" cm="1">
        <f t="array" ref="M57">IFERROR(_xlfn.AGGREGATE(15,6,(ROW(الطلاب!$D$5:$D$44)-ROW(الطلاب!$D$5)+1)/(الطلاب!$D$5:$D$44=$C$3),ROWS(M$29:M57)),"")</f>
        <v/>
      </c>
    </row>
    <row r="58" spans="1:13">
      <c r="A58" s="24"/>
      <c r="B58" s="130" t="str" cm="1">
        <f t="array" ref="B58">IF($M58="","",INDEX(الطلاب!$A$5:$A$44,$M58))</f>
        <v/>
      </c>
      <c r="C58" s="131" t="str" cm="1">
        <f t="array" ref="C58">IF($M58="","",INDEX(الطلاب!$B$5:$B$44,$M58))</f>
        <v/>
      </c>
      <c r="D58" s="130" t="str" cm="1">
        <f t="array" ref="D58">IF($M58="","",INDEX(الطلاب!$C$5:$C$44,$M58))</f>
        <v/>
      </c>
      <c r="E58" s="124" t="str">
        <f>IF($B58="","",SUMIFS(الإدخال!$N$5:$N$644,الإدخال!$D$5:$D$644,$B58))</f>
        <v/>
      </c>
      <c r="F58" s="124" t="str">
        <f>IF($B58="","",COUNTIFS(الإدخال!$D$5:$D$644,$B58,الإدخال!$F$5:$F$644,"غائب"))</f>
        <v/>
      </c>
      <c r="G58" s="124" t="str">
        <f>IF($B58="","",COUNTIFS(الإدخال!$D$5:$D$644,$B58,الإدخال!$F$5:$F$644,"معتذر"))</f>
        <v/>
      </c>
      <c r="H58" s="125" t="str">
        <f>IF($B58="","",IFERROR(E58/COUNTIFS(الإدخال!$D$5:$D$644,$B58,الإدخال!$F$5:$F$644,"&lt;&gt;"),""))</f>
        <v/>
      </c>
      <c r="I58" s="126" t="str">
        <f>IF($B58="","",IFERROR(SUMIFS(الإدخال!$O$5:$O$644,الإدخال!$D$5:$D$644,$B58)/SUMIFS(الإدخال!$P$5:$P$644,الإدخال!$D$5:$D$644,$B58)/100,""))</f>
        <v/>
      </c>
      <c r="J58" s="130" t="str">
        <f t="shared" si="0"/>
        <v/>
      </c>
      <c r="K58" s="124" t="str">
        <f>IF($B58="","",SUMIFS(الإدخال!$H$5:$H$644,الإدخال!$D$5:$D$644,$B58,الإدخال!$N$5:$N$644,1))</f>
        <v/>
      </c>
      <c r="L58" s="130" t="str">
        <f t="shared" si="1"/>
        <v/>
      </c>
      <c r="M58" s="132" t="str" cm="1">
        <f t="array" ref="M58">IFERROR(_xlfn.AGGREGATE(15,6,(ROW(الطلاب!$D$5:$D$44)-ROW(الطلاب!$D$5)+1)/(الطلاب!$D$5:$D$44=$C$3),ROWS(M$29:M58)),"")</f>
        <v/>
      </c>
    </row>
    <row r="59" spans="1:13">
      <c r="A59" s="24"/>
      <c r="B59" s="130" t="str" cm="1">
        <f t="array" ref="B59">IF($M59="","",INDEX(الطلاب!$A$5:$A$44,$M59))</f>
        <v/>
      </c>
      <c r="C59" s="131" t="str" cm="1">
        <f t="array" ref="C59">IF($M59="","",INDEX(الطلاب!$B$5:$B$44,$M59))</f>
        <v/>
      </c>
      <c r="D59" s="130" t="str" cm="1">
        <f t="array" ref="D59">IF($M59="","",INDEX(الطلاب!$C$5:$C$44,$M59))</f>
        <v/>
      </c>
      <c r="E59" s="124" t="str">
        <f>IF($B59="","",SUMIFS(الإدخال!$N$5:$N$644,الإدخال!$D$5:$D$644,$B59))</f>
        <v/>
      </c>
      <c r="F59" s="124" t="str">
        <f>IF($B59="","",COUNTIFS(الإدخال!$D$5:$D$644,$B59,الإدخال!$F$5:$F$644,"غائب"))</f>
        <v/>
      </c>
      <c r="G59" s="124" t="str">
        <f>IF($B59="","",COUNTIFS(الإدخال!$D$5:$D$644,$B59,الإدخال!$F$5:$F$644,"معتذر"))</f>
        <v/>
      </c>
      <c r="H59" s="125" t="str">
        <f>IF($B59="","",IFERROR(E59/COUNTIFS(الإدخال!$D$5:$D$644,$B59,الإدخال!$F$5:$F$644,"&lt;&gt;"),""))</f>
        <v/>
      </c>
      <c r="I59" s="126" t="str">
        <f>IF($B59="","",IFERROR(SUMIFS(الإدخال!$O$5:$O$644,الإدخال!$D$5:$D$644,$B59)/SUMIFS(الإدخال!$P$5:$P$644,الإدخال!$D$5:$D$644,$B59)/100,""))</f>
        <v/>
      </c>
      <c r="J59" s="130" t="str">
        <f t="shared" si="0"/>
        <v/>
      </c>
      <c r="K59" s="124" t="str">
        <f>IF($B59="","",SUMIFS(الإدخال!$H$5:$H$644,الإدخال!$D$5:$D$644,$B59,الإدخال!$N$5:$N$644,1))</f>
        <v/>
      </c>
      <c r="L59" s="130" t="str">
        <f t="shared" si="1"/>
        <v/>
      </c>
      <c r="M59" s="132" t="str" cm="1">
        <f t="array" ref="M59">IFERROR(_xlfn.AGGREGATE(15,6,(ROW(الطلاب!$D$5:$D$44)-ROW(الطلاب!$D$5)+1)/(الطلاب!$D$5:$D$44=$C$3),ROWS(M$29:M59)),"")</f>
        <v/>
      </c>
    </row>
    <row r="60" spans="1:13">
      <c r="A60" s="24"/>
      <c r="B60" s="130" t="str" cm="1">
        <f t="array" ref="B60">IF($M60="","",INDEX(الطلاب!$A$5:$A$44,$M60))</f>
        <v/>
      </c>
      <c r="C60" s="131" t="str" cm="1">
        <f t="array" ref="C60">IF($M60="","",INDEX(الطلاب!$B$5:$B$44,$M60))</f>
        <v/>
      </c>
      <c r="D60" s="130" t="str" cm="1">
        <f t="array" ref="D60">IF($M60="","",INDEX(الطلاب!$C$5:$C$44,$M60))</f>
        <v/>
      </c>
      <c r="E60" s="124" t="str">
        <f>IF($B60="","",SUMIFS(الإدخال!$N$5:$N$644,الإدخال!$D$5:$D$644,$B60))</f>
        <v/>
      </c>
      <c r="F60" s="124" t="str">
        <f>IF($B60="","",COUNTIFS(الإدخال!$D$5:$D$644,$B60,الإدخال!$F$5:$F$644,"غائب"))</f>
        <v/>
      </c>
      <c r="G60" s="124" t="str">
        <f>IF($B60="","",COUNTIFS(الإدخال!$D$5:$D$644,$B60,الإدخال!$F$5:$F$644,"معتذر"))</f>
        <v/>
      </c>
      <c r="H60" s="125" t="str">
        <f>IF($B60="","",IFERROR(E60/COUNTIFS(الإدخال!$D$5:$D$644,$B60,الإدخال!$F$5:$F$644,"&lt;&gt;"),""))</f>
        <v/>
      </c>
      <c r="I60" s="126" t="str">
        <f>IF($B60="","",IFERROR(SUMIFS(الإدخال!$O$5:$O$644,الإدخال!$D$5:$D$644,$B60)/SUMIFS(الإدخال!$P$5:$P$644,الإدخال!$D$5:$D$644,$B60)/100,""))</f>
        <v/>
      </c>
      <c r="J60" s="130" t="str">
        <f t="shared" si="0"/>
        <v/>
      </c>
      <c r="K60" s="124" t="str">
        <f>IF($B60="","",SUMIFS(الإدخال!$H$5:$H$644,الإدخال!$D$5:$D$644,$B60,الإدخال!$N$5:$N$644,1))</f>
        <v/>
      </c>
      <c r="L60" s="130" t="str">
        <f t="shared" si="1"/>
        <v/>
      </c>
      <c r="M60" s="132" t="str" cm="1">
        <f t="array" ref="M60">IFERROR(_xlfn.AGGREGATE(15,6,(ROW(الطلاب!$D$5:$D$44)-ROW(الطلاب!$D$5)+1)/(الطلاب!$D$5:$D$44=$C$3),ROWS(M$29:M60)),"")</f>
        <v/>
      </c>
    </row>
    <row r="61" spans="1:13">
      <c r="A61" s="24"/>
      <c r="B61" s="130" t="str" cm="1">
        <f t="array" ref="B61">IF($M61="","",INDEX(الطلاب!$A$5:$A$44,$M61))</f>
        <v/>
      </c>
      <c r="C61" s="131" t="str" cm="1">
        <f t="array" ref="C61">IF($M61="","",INDEX(الطلاب!$B$5:$B$44,$M61))</f>
        <v/>
      </c>
      <c r="D61" s="130" t="str" cm="1">
        <f t="array" ref="D61">IF($M61="","",INDEX(الطلاب!$C$5:$C$44,$M61))</f>
        <v/>
      </c>
      <c r="E61" s="124" t="str">
        <f>IF($B61="","",SUMIFS(الإدخال!$N$5:$N$644,الإدخال!$D$5:$D$644,$B61))</f>
        <v/>
      </c>
      <c r="F61" s="124" t="str">
        <f>IF($B61="","",COUNTIFS(الإدخال!$D$5:$D$644,$B61,الإدخال!$F$5:$F$644,"غائب"))</f>
        <v/>
      </c>
      <c r="G61" s="124" t="str">
        <f>IF($B61="","",COUNTIFS(الإدخال!$D$5:$D$644,$B61,الإدخال!$F$5:$F$644,"معتذر"))</f>
        <v/>
      </c>
      <c r="H61" s="125" t="str">
        <f>IF($B61="","",IFERROR(E61/COUNTIFS(الإدخال!$D$5:$D$644,$B61,الإدخال!$F$5:$F$644,"&lt;&gt;"),""))</f>
        <v/>
      </c>
      <c r="I61" s="126" t="str">
        <f>IF($B61="","",IFERROR(SUMIFS(الإدخال!$O$5:$O$644,الإدخال!$D$5:$D$644,$B61)/SUMIFS(الإدخال!$P$5:$P$644,الإدخال!$D$5:$D$644,$B61)/100,""))</f>
        <v/>
      </c>
      <c r="J61" s="130" t="str">
        <f t="shared" si="0"/>
        <v/>
      </c>
      <c r="K61" s="124" t="str">
        <f>IF($B61="","",SUMIFS(الإدخال!$H$5:$H$644,الإدخال!$D$5:$D$644,$B61,الإدخال!$N$5:$N$644,1))</f>
        <v/>
      </c>
      <c r="L61" s="130" t="str">
        <f t="shared" si="1"/>
        <v/>
      </c>
      <c r="M61" s="132" t="str" cm="1">
        <f t="array" ref="M61">IFERROR(_xlfn.AGGREGATE(15,6,(ROW(الطلاب!$D$5:$D$44)-ROW(الطلاب!$D$5)+1)/(الطلاب!$D$5:$D$44=$C$3),ROWS(M$29:M61)),"")</f>
        <v/>
      </c>
    </row>
    <row r="62" spans="1:13">
      <c r="A62" s="24"/>
      <c r="B62" s="130" t="str" cm="1">
        <f t="array" ref="B62">IF($M62="","",INDEX(الطلاب!$A$5:$A$44,$M62))</f>
        <v/>
      </c>
      <c r="C62" s="131" t="str" cm="1">
        <f t="array" ref="C62">IF($M62="","",INDEX(الطلاب!$B$5:$B$44,$M62))</f>
        <v/>
      </c>
      <c r="D62" s="130" t="str" cm="1">
        <f t="array" ref="D62">IF($M62="","",INDEX(الطلاب!$C$5:$C$44,$M62))</f>
        <v/>
      </c>
      <c r="E62" s="124" t="str">
        <f>IF($B62="","",SUMIFS(الإدخال!$N$5:$N$644,الإدخال!$D$5:$D$644,$B62))</f>
        <v/>
      </c>
      <c r="F62" s="124" t="str">
        <f>IF($B62="","",COUNTIFS(الإدخال!$D$5:$D$644,$B62,الإدخال!$F$5:$F$644,"غائب"))</f>
        <v/>
      </c>
      <c r="G62" s="124" t="str">
        <f>IF($B62="","",COUNTIFS(الإدخال!$D$5:$D$644,$B62,الإدخال!$F$5:$F$644,"معتذر"))</f>
        <v/>
      </c>
      <c r="H62" s="125" t="str">
        <f>IF($B62="","",IFERROR(E62/COUNTIFS(الإدخال!$D$5:$D$644,$B62,الإدخال!$F$5:$F$644,"&lt;&gt;"),""))</f>
        <v/>
      </c>
      <c r="I62" s="126" t="str">
        <f>IF($B62="","",IFERROR(SUMIFS(الإدخال!$O$5:$O$644,الإدخال!$D$5:$D$644,$B62)/SUMIFS(الإدخال!$P$5:$P$644,الإدخال!$D$5:$D$644,$B62)/100,""))</f>
        <v/>
      </c>
      <c r="J62" s="130" t="str">
        <f t="shared" si="0"/>
        <v/>
      </c>
      <c r="K62" s="124" t="str">
        <f>IF($B62="","",SUMIFS(الإدخال!$H$5:$H$644,الإدخال!$D$5:$D$644,$B62,الإدخال!$N$5:$N$644,1))</f>
        <v/>
      </c>
      <c r="L62" s="130" t="str">
        <f t="shared" si="1"/>
        <v/>
      </c>
      <c r="M62" s="132" t="str" cm="1">
        <f t="array" ref="M62">IFERROR(_xlfn.AGGREGATE(15,6,(ROW(الطلاب!$D$5:$D$44)-ROW(الطلاب!$D$5)+1)/(الطلاب!$D$5:$D$44=$C$3),ROWS(M$29:M62)),"")</f>
        <v/>
      </c>
    </row>
    <row r="63" spans="1:13">
      <c r="A63" s="24"/>
      <c r="B63" s="130" t="str" cm="1">
        <f t="array" ref="B63">IF($M63="","",INDEX(الطلاب!$A$5:$A$44,$M63))</f>
        <v/>
      </c>
      <c r="C63" s="131" t="str" cm="1">
        <f t="array" ref="C63">IF($M63="","",INDEX(الطلاب!$B$5:$B$44,$M63))</f>
        <v/>
      </c>
      <c r="D63" s="130" t="str" cm="1">
        <f t="array" ref="D63">IF($M63="","",INDEX(الطلاب!$C$5:$C$44,$M63))</f>
        <v/>
      </c>
      <c r="E63" s="124" t="str">
        <f>IF($B63="","",SUMIFS(الإدخال!$N$5:$N$644,الإدخال!$D$5:$D$644,$B63))</f>
        <v/>
      </c>
      <c r="F63" s="124" t="str">
        <f>IF($B63="","",COUNTIFS(الإدخال!$D$5:$D$644,$B63,الإدخال!$F$5:$F$644,"غائب"))</f>
        <v/>
      </c>
      <c r="G63" s="124" t="str">
        <f>IF($B63="","",COUNTIFS(الإدخال!$D$5:$D$644,$B63,الإدخال!$F$5:$F$644,"معتذر"))</f>
        <v/>
      </c>
      <c r="H63" s="125" t="str">
        <f>IF($B63="","",IFERROR(E63/COUNTIFS(الإدخال!$D$5:$D$644,$B63,الإدخال!$F$5:$F$644,"&lt;&gt;"),""))</f>
        <v/>
      </c>
      <c r="I63" s="126" t="str">
        <f>IF($B63="","",IFERROR(SUMIFS(الإدخال!$O$5:$O$644,الإدخال!$D$5:$D$644,$B63)/SUMIFS(الإدخال!$P$5:$P$644,الإدخال!$D$5:$D$644,$B63)/100,""))</f>
        <v/>
      </c>
      <c r="J63" s="130" t="str">
        <f t="shared" si="0"/>
        <v/>
      </c>
      <c r="K63" s="124" t="str">
        <f>IF($B63="","",SUMIFS(الإدخال!$H$5:$H$644,الإدخال!$D$5:$D$644,$B63,الإدخال!$N$5:$N$644,1))</f>
        <v/>
      </c>
      <c r="L63" s="130" t="str">
        <f t="shared" si="1"/>
        <v/>
      </c>
      <c r="M63" s="132" t="str" cm="1">
        <f t="array" ref="M63">IFERROR(_xlfn.AGGREGATE(15,6,(ROW(الطلاب!$D$5:$D$44)-ROW(الطلاب!$D$5)+1)/(الطلاب!$D$5:$D$44=$C$3),ROWS(M$29:M63)),"")</f>
        <v/>
      </c>
    </row>
    <row r="64" spans="1:13">
      <c r="A64" s="24"/>
      <c r="B64" s="130" t="str" cm="1">
        <f t="array" ref="B64">IF($M64="","",INDEX(الطلاب!$A$5:$A$44,$M64))</f>
        <v/>
      </c>
      <c r="C64" s="131" t="str" cm="1">
        <f t="array" ref="C64">IF($M64="","",INDEX(الطلاب!$B$5:$B$44,$M64))</f>
        <v/>
      </c>
      <c r="D64" s="130" t="str" cm="1">
        <f t="array" ref="D64">IF($M64="","",INDEX(الطلاب!$C$5:$C$44,$M64))</f>
        <v/>
      </c>
      <c r="E64" s="124" t="str">
        <f>IF($B64="","",SUMIFS(الإدخال!$N$5:$N$644,الإدخال!$D$5:$D$644,$B64))</f>
        <v/>
      </c>
      <c r="F64" s="124" t="str">
        <f>IF($B64="","",COUNTIFS(الإدخال!$D$5:$D$644,$B64,الإدخال!$F$5:$F$644,"غائب"))</f>
        <v/>
      </c>
      <c r="G64" s="124" t="str">
        <f>IF($B64="","",COUNTIFS(الإدخال!$D$5:$D$644,$B64,الإدخال!$F$5:$F$644,"معتذر"))</f>
        <v/>
      </c>
      <c r="H64" s="125" t="str">
        <f>IF($B64="","",IFERROR(E64/COUNTIFS(الإدخال!$D$5:$D$644,$B64,الإدخال!$F$5:$F$644,"&lt;&gt;"),""))</f>
        <v/>
      </c>
      <c r="I64" s="126" t="str">
        <f>IF($B64="","",IFERROR(SUMIFS(الإدخال!$O$5:$O$644,الإدخال!$D$5:$D$644,$B64)/SUMIFS(الإدخال!$P$5:$P$644,الإدخال!$D$5:$D$644,$B64)/100,""))</f>
        <v/>
      </c>
      <c r="J64" s="130" t="str">
        <f t="shared" si="0"/>
        <v/>
      </c>
      <c r="K64" s="124" t="str">
        <f>IF($B64="","",SUMIFS(الإدخال!$H$5:$H$644,الإدخال!$D$5:$D$644,$B64,الإدخال!$N$5:$N$644,1))</f>
        <v/>
      </c>
      <c r="L64" s="130" t="str">
        <f t="shared" si="1"/>
        <v/>
      </c>
      <c r="M64" s="132" t="str" cm="1">
        <f t="array" ref="M64">IFERROR(_xlfn.AGGREGATE(15,6,(ROW(الطلاب!$D$5:$D$44)-ROW(الطلاب!$D$5)+1)/(الطلاب!$D$5:$D$44=$C$3),ROWS(M$29:M64)),"")</f>
        <v/>
      </c>
    </row>
    <row r="65" spans="1:13">
      <c r="A65" s="24"/>
      <c r="B65" s="130" t="str" cm="1">
        <f t="array" ref="B65">IF($M65="","",INDEX(الطلاب!$A$5:$A$44,$M65))</f>
        <v/>
      </c>
      <c r="C65" s="131" t="str" cm="1">
        <f t="array" ref="C65">IF($M65="","",INDEX(الطلاب!$B$5:$B$44,$M65))</f>
        <v/>
      </c>
      <c r="D65" s="130" t="str" cm="1">
        <f t="array" ref="D65">IF($M65="","",INDEX(الطلاب!$C$5:$C$44,$M65))</f>
        <v/>
      </c>
      <c r="E65" s="124" t="str">
        <f>IF($B65="","",SUMIFS(الإدخال!$N$5:$N$644,الإدخال!$D$5:$D$644,$B65))</f>
        <v/>
      </c>
      <c r="F65" s="124" t="str">
        <f>IF($B65="","",COUNTIFS(الإدخال!$D$5:$D$644,$B65,الإدخال!$F$5:$F$644,"غائب"))</f>
        <v/>
      </c>
      <c r="G65" s="124" t="str">
        <f>IF($B65="","",COUNTIFS(الإدخال!$D$5:$D$644,$B65,الإدخال!$F$5:$F$644,"معتذر"))</f>
        <v/>
      </c>
      <c r="H65" s="125" t="str">
        <f>IF($B65="","",IFERROR(E65/COUNTIFS(الإدخال!$D$5:$D$644,$B65,الإدخال!$F$5:$F$644,"&lt;&gt;"),""))</f>
        <v/>
      </c>
      <c r="I65" s="126" t="str">
        <f>IF($B65="","",IFERROR(SUMIFS(الإدخال!$O$5:$O$644,الإدخال!$D$5:$D$644,$B65)/SUMIFS(الإدخال!$P$5:$P$644,الإدخال!$D$5:$D$644,$B65)/100,""))</f>
        <v/>
      </c>
      <c r="J65" s="130" t="str">
        <f t="shared" si="0"/>
        <v/>
      </c>
      <c r="K65" s="124" t="str">
        <f>IF($B65="","",SUMIFS(الإدخال!$H$5:$H$644,الإدخال!$D$5:$D$644,$B65,الإدخال!$N$5:$N$644,1))</f>
        <v/>
      </c>
      <c r="L65" s="130" t="str">
        <f t="shared" si="1"/>
        <v/>
      </c>
      <c r="M65" s="132" t="str" cm="1">
        <f t="array" ref="M65">IFERROR(_xlfn.AGGREGATE(15,6,(ROW(الطلاب!$D$5:$D$44)-ROW(الطلاب!$D$5)+1)/(الطلاب!$D$5:$D$44=$C$3),ROWS(M$29:M65)),"")</f>
        <v/>
      </c>
    </row>
    <row r="66" spans="1:13">
      <c r="A66" s="24"/>
      <c r="B66" s="130" t="str" cm="1">
        <f t="array" ref="B66">IF($M66="","",INDEX(الطلاب!$A$5:$A$44,$M66))</f>
        <v/>
      </c>
      <c r="C66" s="131" t="str" cm="1">
        <f t="array" ref="C66">IF($M66="","",INDEX(الطلاب!$B$5:$B$44,$M66))</f>
        <v/>
      </c>
      <c r="D66" s="130" t="str" cm="1">
        <f t="array" ref="D66">IF($M66="","",INDEX(الطلاب!$C$5:$C$44,$M66))</f>
        <v/>
      </c>
      <c r="E66" s="124" t="str">
        <f>IF($B66="","",SUMIFS(الإدخال!$N$5:$N$644,الإدخال!$D$5:$D$644,$B66))</f>
        <v/>
      </c>
      <c r="F66" s="124" t="str">
        <f>IF($B66="","",COUNTIFS(الإدخال!$D$5:$D$644,$B66,الإدخال!$F$5:$F$644,"غائب"))</f>
        <v/>
      </c>
      <c r="G66" s="124" t="str">
        <f>IF($B66="","",COUNTIFS(الإدخال!$D$5:$D$644,$B66,الإدخال!$F$5:$F$644,"معتذر"))</f>
        <v/>
      </c>
      <c r="H66" s="125" t="str">
        <f>IF($B66="","",IFERROR(E66/COUNTIFS(الإدخال!$D$5:$D$644,$B66,الإدخال!$F$5:$F$644,"&lt;&gt;"),""))</f>
        <v/>
      </c>
      <c r="I66" s="126" t="str">
        <f>IF($B66="","",IFERROR(SUMIFS(الإدخال!$O$5:$O$644,الإدخال!$D$5:$D$644,$B66)/SUMIFS(الإدخال!$P$5:$P$644,الإدخال!$D$5:$D$644,$B66)/100,""))</f>
        <v/>
      </c>
      <c r="J66" s="130" t="str">
        <f t="shared" si="0"/>
        <v/>
      </c>
      <c r="K66" s="124" t="str">
        <f>IF($B66="","",SUMIFS(الإدخال!$H$5:$H$644,الإدخال!$D$5:$D$644,$B66,الإدخال!$N$5:$N$644,1))</f>
        <v/>
      </c>
      <c r="L66" s="130" t="str">
        <f t="shared" si="1"/>
        <v/>
      </c>
      <c r="M66" s="132" t="str" cm="1">
        <f t="array" ref="M66">IFERROR(_xlfn.AGGREGATE(15,6,(ROW(الطلاب!$D$5:$D$44)-ROW(الطلاب!$D$5)+1)/(الطلاب!$D$5:$D$44=$C$3),ROWS(M$29:M66)),"")</f>
        <v/>
      </c>
    </row>
    <row r="67" spans="1:13">
      <c r="A67" s="24"/>
      <c r="B67" s="130" t="str" cm="1">
        <f t="array" ref="B67">IF($M67="","",INDEX(الطلاب!$A$5:$A$44,$M67))</f>
        <v/>
      </c>
      <c r="C67" s="131" t="str" cm="1">
        <f t="array" ref="C67">IF($M67="","",INDEX(الطلاب!$B$5:$B$44,$M67))</f>
        <v/>
      </c>
      <c r="D67" s="130" t="str" cm="1">
        <f t="array" ref="D67">IF($M67="","",INDEX(الطلاب!$C$5:$C$44,$M67))</f>
        <v/>
      </c>
      <c r="E67" s="124" t="str">
        <f>IF($B67="","",SUMIFS(الإدخال!$N$5:$N$644,الإدخال!$D$5:$D$644,$B67))</f>
        <v/>
      </c>
      <c r="F67" s="124" t="str">
        <f>IF($B67="","",COUNTIFS(الإدخال!$D$5:$D$644,$B67,الإدخال!$F$5:$F$644,"غائب"))</f>
        <v/>
      </c>
      <c r="G67" s="124" t="str">
        <f>IF($B67="","",COUNTIFS(الإدخال!$D$5:$D$644,$B67,الإدخال!$F$5:$F$644,"معتذر"))</f>
        <v/>
      </c>
      <c r="H67" s="125" t="str">
        <f>IF($B67="","",IFERROR(E67/COUNTIFS(الإدخال!$D$5:$D$644,$B67,الإدخال!$F$5:$F$644,"&lt;&gt;"),""))</f>
        <v/>
      </c>
      <c r="I67" s="126" t="str">
        <f>IF($B67="","",IFERROR(SUMIFS(الإدخال!$O$5:$O$644,الإدخال!$D$5:$D$644,$B67)/SUMIFS(الإدخال!$P$5:$P$644,الإدخال!$D$5:$D$644,$B67)/100,""))</f>
        <v/>
      </c>
      <c r="J67" s="130" t="str">
        <f t="shared" si="0"/>
        <v/>
      </c>
      <c r="K67" s="124" t="str">
        <f>IF($B67="","",SUMIFS(الإدخال!$H$5:$H$644,الإدخال!$D$5:$D$644,$B67,الإدخال!$N$5:$N$644,1))</f>
        <v/>
      </c>
      <c r="L67" s="130" t="str">
        <f t="shared" si="1"/>
        <v/>
      </c>
      <c r="M67" s="132" t="str" cm="1">
        <f t="array" ref="M67">IFERROR(_xlfn.AGGREGATE(15,6,(ROW(الطلاب!$D$5:$D$44)-ROW(الطلاب!$D$5)+1)/(الطلاب!$D$5:$D$44=$C$3),ROWS(M$29:M67)),"")</f>
        <v/>
      </c>
    </row>
    <row r="68" spans="1:13">
      <c r="A68" s="24"/>
      <c r="B68" s="127" t="str" cm="1">
        <f t="array" ref="B68">IF($M68="","",INDEX(الطلاب!$A$5:$A$44,$M68))</f>
        <v/>
      </c>
      <c r="C68" s="128" t="str" cm="1">
        <f t="array" ref="C68">IF($M68="","",INDEX(الطلاب!$B$5:$B$44,$M68))</f>
        <v/>
      </c>
      <c r="D68" s="127" t="str" cm="1">
        <f t="array" ref="D68">IF($M68="","",INDEX(الطلاب!$C$5:$C$44,$M68))</f>
        <v/>
      </c>
      <c r="E68" s="119" t="str">
        <f>IF($B68="","",SUMIFS(الإدخال!$N$5:$N$644,الإدخال!$D$5:$D$644,$B68))</f>
        <v/>
      </c>
      <c r="F68" s="119" t="str">
        <f>IF($B68="","",COUNTIFS(الإدخال!$D$5:$D$644,$B68,الإدخال!$F$5:$F$644,"غائب"))</f>
        <v/>
      </c>
      <c r="G68" s="119" t="str">
        <f>IF($B68="","",COUNTIFS(الإدخال!$D$5:$D$644,$B68,الإدخال!$F$5:$F$644,"معتذر"))</f>
        <v/>
      </c>
      <c r="H68" s="120" t="str">
        <f>IF($B68="","",IFERROR(E68/COUNTIFS(الإدخال!$D$5:$D$644,$B68,الإدخال!$F$5:$F$644,"&lt;&gt;"),""))</f>
        <v/>
      </c>
      <c r="I68" s="121" t="str">
        <f>IF($B68="","",IFERROR(SUMIFS(الإدخال!$O$5:$O$644,الإدخال!$D$5:$D$644,$B68)/SUMIFS(الإدخال!$P$5:$P$644,الإدخال!$D$5:$D$644,$B68)/100,""))</f>
        <v/>
      </c>
      <c r="J68" s="127" t="str">
        <f t="shared" si="0"/>
        <v/>
      </c>
      <c r="K68" s="119" t="str">
        <f>IF($B68="","",SUMIFS(الإدخال!$H$5:$H$644,الإدخال!$D$5:$D$644,$B68,الإدخال!$N$5:$N$644,1))</f>
        <v/>
      </c>
      <c r="L68" s="127" t="str">
        <f t="shared" si="1"/>
        <v/>
      </c>
      <c r="M68" s="129" t="str" cm="1">
        <f t="array" ref="M68">IFERROR(_xlfn.AGGREGATE(15,6,(ROW(الطلاب!$D$5:$D$44)-ROW(الطلاب!$D$5)+1)/(الطلاب!$D$5:$D$44=$C$3),ROWS(M$29:M68)),"")</f>
        <v/>
      </c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</sheetData>
  <sheetProtection algorithmName="SHA-512" hashValue="sCy8Gf5naQolW2j8uZJG52gKglLk0vjAu+6GF7SWtAtTycicACOxmpKPNm9ebqKU4FJGrIb1g9vb2bXfgr++MQ==" saltValue="AF+BfeWfuSHeiOhFAdWkew==" spinCount="100000" sheet="1" objects="1" scenarios="1"/>
  <mergeCells count="1">
    <mergeCell ref="C3:E3"/>
  </mergeCells>
  <conditionalFormatting sqref="B29:L68">
    <cfRule type="expression" dxfId="5" priority="1">
      <formula>AND($B29&lt;&gt;"",MOD(ROW(),2)=0)</formula>
    </cfRule>
  </conditionalFormatting>
  <conditionalFormatting sqref="J29:J68">
    <cfRule type="expression" dxfId="4" priority="2">
      <formula>$J29="يحتاج متابعة"</formula>
    </cfRule>
    <cfRule type="expression" dxfId="3" priority="3">
      <formula>$J29="ممتاز"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F5BC-8BDE-7C48-A403-210D4B8C2849}">
  <sheetPr codeName="ورقة13">
    <tabColor rgb="FF0D5A54"/>
    <pageSetUpPr fitToPage="1"/>
  </sheetPr>
  <dimension ref="A1:M70"/>
  <sheetViews>
    <sheetView showGridLines="0" rightToLeft="1" zoomScaleNormal="100" workbookViewId="0">
      <selection activeCell="H21" sqref="H21"/>
    </sheetView>
  </sheetViews>
  <sheetFormatPr defaultColWidth="8.7109375" defaultRowHeight="15"/>
  <cols>
    <col min="1" max="1" width="3" customWidth="1"/>
    <col min="2" max="2" width="12" customWidth="1"/>
    <col min="3" max="3" width="21.7109375" customWidth="1"/>
    <col min="4" max="4" width="15.85546875" customWidth="1"/>
    <col min="5" max="7" width="11" customWidth="1"/>
    <col min="8" max="9" width="13" customWidth="1"/>
    <col min="10" max="10" width="14.140625" customWidth="1"/>
    <col min="11" max="11" width="11.7109375" customWidth="1"/>
    <col min="12" max="13" width="10" customWidth="1"/>
    <col min="14" max="14" width="12" customWidth="1"/>
    <col min="15" max="15" width="13" customWidth="1"/>
  </cols>
  <sheetData>
    <row r="1" spans="1:13" ht="30" customHeight="1">
      <c r="A1" s="117" t="str">
        <f>"لوحة معلومات حلقة "&amp;TRIM($C$3)</f>
        <v>لوحة معلومات حلقة عبدالرحمن بن النعمان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>
      <c r="A2" s="61" t="s">
        <v>154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5.95">
      <c r="A3" s="24"/>
      <c r="B3" s="22" t="s">
        <v>155</v>
      </c>
      <c r="C3" s="167" t="str">
        <f>الإعدادات!$C$15</f>
        <v xml:space="preserve">عبدالرحمن بن النعمان </v>
      </c>
      <c r="D3" s="167"/>
      <c r="E3" s="167"/>
      <c r="F3" s="24"/>
      <c r="G3" s="24"/>
      <c r="H3" s="24"/>
      <c r="I3" s="24"/>
      <c r="J3" s="24"/>
      <c r="K3" s="24"/>
      <c r="L3" s="24"/>
      <c r="M3" s="24"/>
    </row>
    <row r="4" spans="1:13" ht="36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30" customHeight="1">
      <c r="A5" s="24"/>
      <c r="B5" s="14" t="s">
        <v>140</v>
      </c>
      <c r="C5" s="14" t="s">
        <v>145</v>
      </c>
      <c r="D5" s="14" t="s">
        <v>121</v>
      </c>
      <c r="E5" s="14" t="s">
        <v>122</v>
      </c>
      <c r="F5" s="14" t="s">
        <v>40</v>
      </c>
      <c r="G5" s="14" t="s">
        <v>38</v>
      </c>
      <c r="H5" s="14" t="s">
        <v>44</v>
      </c>
      <c r="I5" s="14" t="s">
        <v>61</v>
      </c>
      <c r="J5" s="13" t="s">
        <v>62</v>
      </c>
      <c r="K5" s="24"/>
      <c r="L5" s="24"/>
      <c r="M5" s="24"/>
    </row>
    <row r="6" spans="1:13" ht="32.1" customHeight="1">
      <c r="A6" s="24"/>
      <c r="B6" s="149">
        <f>COUNTIFS(الطلاب!$D$5:$D$44,$C$3)</f>
        <v>6</v>
      </c>
      <c r="C6" s="149">
        <f>SUMIFS(الإدخال!$N$5:$N$644,الإدخال!$C$5:$C$644,$C$3)</f>
        <v>11</v>
      </c>
      <c r="D6" s="149">
        <f>COUNTIFS(الإدخال!$C$5:$C$644,$C$3,الإدخال!$F$5:$F$644,"غائب")</f>
        <v>0</v>
      </c>
      <c r="E6" s="149">
        <f>COUNTIFS(الإدخال!$C$5:$C$644,$C$3,الإدخال!$F$5:$F$644,"معتذر")</f>
        <v>0</v>
      </c>
      <c r="F6" s="150">
        <f>IFERROR(C6/COUNTIFS(الإدخال!$C$5:$C$644,$C$3,الإدخال!$F$5:$F$644,"&lt;&gt;"),"")</f>
        <v>1</v>
      </c>
      <c r="G6" s="150">
        <f>IFERROR(SUMIFS(الإدخال!$O$5:$O$644,الإدخال!$C$5:$C$644,$C$3)/SUMIFS(الإدخال!$P$5:$P$644,الإدخال!$C$5:$C$644,$C$3)/100,"")</f>
        <v>0.7981818181818181</v>
      </c>
      <c r="H6" s="151" t="str">
        <f>IF(G6="","",IF(G6&gt;=0.9,"ممتاز",IF(G6&gt;=0.8,"جيد جدًا",IF(G6&gt;=0.7,"جيد",IF(G6&gt;=0.6,"مقبول","يحتاج متابعة")))))</f>
        <v>جيد</v>
      </c>
      <c r="I6" s="152">
        <f>SUMIFS(الإدخال!$H$5:$H$644,الإدخال!$C$5:$C$644,$C$3,الإدخال!$N$5:$N$644,1)</f>
        <v>22</v>
      </c>
      <c r="J6" s="152">
        <f>SUMIFS(الإدخال!$I$5:$I$644,الإدخال!$C$5:$C$644,$C$3,الإدخال!$N$5:$N$644,1)</f>
        <v>210</v>
      </c>
      <c r="K6" s="25"/>
      <c r="L6" s="24"/>
      <c r="M6" s="24"/>
    </row>
    <row r="7" spans="1:13">
      <c r="A7" s="24"/>
      <c r="B7" s="118"/>
      <c r="C7" s="118"/>
      <c r="D7" s="118"/>
      <c r="E7" s="118"/>
      <c r="F7" s="118"/>
      <c r="G7" s="118"/>
      <c r="H7" s="118"/>
      <c r="I7" s="118"/>
      <c r="J7" s="118"/>
      <c r="K7" s="24"/>
      <c r="L7" s="24"/>
      <c r="M7" s="24"/>
    </row>
    <row r="8" spans="1:13" ht="36" customHeight="1">
      <c r="A8" s="24"/>
      <c r="B8" s="21" t="s">
        <v>150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24" customHeight="1">
      <c r="A9" s="24"/>
      <c r="B9" s="14" t="s">
        <v>56</v>
      </c>
      <c r="C9" s="14" t="s">
        <v>151</v>
      </c>
      <c r="D9" s="14" t="s">
        <v>125</v>
      </c>
      <c r="E9" s="14" t="s">
        <v>121</v>
      </c>
      <c r="F9" s="14" t="s">
        <v>122</v>
      </c>
      <c r="G9" s="14" t="s">
        <v>40</v>
      </c>
      <c r="H9" s="13" t="s">
        <v>38</v>
      </c>
      <c r="I9" s="24"/>
      <c r="J9" s="24"/>
      <c r="K9" s="24"/>
      <c r="L9" s="24"/>
      <c r="M9" s="24"/>
    </row>
    <row r="10" spans="1:13">
      <c r="A10" s="24"/>
      <c r="B10" s="153">
        <f>IF(ROWS($B$10:B10)&gt;الإعدادات!$C$5,"",ROWS($B$10:B10))</f>
        <v>1</v>
      </c>
      <c r="C10" s="154" t="str">
        <f>IF(OR($B10="",الإعدادات!$C$4=""),"",الإعدادات!$C$4+($B10-1)*7)</f>
        <v/>
      </c>
      <c r="D10" s="155">
        <f>IF($B10="","",SUMIFS(الإدخال!$N$5:$N$644,الإدخال!$A$5:$A$644,$B10,الإدخال!$C$5:$C$644,$C$3))</f>
        <v>5</v>
      </c>
      <c r="E10" s="155">
        <f>IF($B10="","",COUNTIFS(الإدخال!$A$5:$A$644,$B10,الإدخال!$C$5:$C$644,$C$3,الإدخال!$F$5:$F$644,"غائب"))</f>
        <v>0</v>
      </c>
      <c r="F10" s="155">
        <f>IF($B10="","",COUNTIFS(الإدخال!$A$5:$A$644,$B10,الإدخال!$C$5:$C$644,$C$3,الإدخال!$F$5:$F$644,"معتذر"))</f>
        <v>0</v>
      </c>
      <c r="G10" s="156">
        <f>IF($B10="","",IFERROR(D10/COUNTIFS(الإدخال!$A$5:$A$644,$B10,الإدخال!$C$5:$C$644,$C$3,الإدخال!$F$5:$F$644,"&lt;&gt;"),""))</f>
        <v>1</v>
      </c>
      <c r="H10" s="157">
        <f>IF($B10="","",IFERROR(SUMIFS(الإدخال!$O$5:$O$644,الإدخال!$A$5:$A$644,$B10,الإدخال!$C$5:$C$644,$C$3)/SUMIFS(الإدخال!$P$5:$P$644,الإدخال!$A$5:$A$644,$B10,الإدخال!$C$5:$C$644,$C$3)/100,""))</f>
        <v>0.66</v>
      </c>
      <c r="I10" s="25"/>
      <c r="J10" s="24"/>
      <c r="K10" s="24"/>
      <c r="L10" s="24"/>
      <c r="M10" s="24"/>
    </row>
    <row r="11" spans="1:13">
      <c r="A11" s="24"/>
      <c r="B11" s="122">
        <f>IF(ROWS($B$10:B11)&gt;الإعدادات!$C$5,"",ROWS($B$10:B11))</f>
        <v>2</v>
      </c>
      <c r="C11" s="123" t="str">
        <f>IF(OR($B11="",الإعدادات!$C$4=""),"",الإعدادات!$C$4+($B11-1)*7)</f>
        <v/>
      </c>
      <c r="D11" s="124">
        <f>IF($B11="","",SUMIFS(الإدخال!$N$5:$N$644,الإدخال!$A$5:$A$644,$B11,الإدخال!$C$5:$C$644,$C$3))</f>
        <v>6</v>
      </c>
      <c r="E11" s="124">
        <f>IF($B11="","",COUNTIFS(الإدخال!$A$5:$A$644,$B11,الإدخال!$C$5:$C$644,$C$3,الإدخال!$F$5:$F$644,"غائب"))</f>
        <v>0</v>
      </c>
      <c r="F11" s="124">
        <f>IF($B11="","",COUNTIFS(الإدخال!$A$5:$A$644,$B11,الإدخال!$C$5:$C$644,$C$3,الإدخال!$F$5:$F$644,"معتذر"))</f>
        <v>0</v>
      </c>
      <c r="G11" s="125">
        <f>IF($B11="","",IFERROR(D11/COUNTIFS(الإدخال!$A$5:$A$644,$B11,الإدخال!$C$5:$C$644,$C$3,الإدخال!$F$5:$F$644,"&lt;&gt;"),""))</f>
        <v>1</v>
      </c>
      <c r="H11" s="126">
        <f>IF($B11="","",IFERROR(SUMIFS(الإدخال!$O$5:$O$644,الإدخال!$A$5:$A$644,$B11,الإدخال!$C$5:$C$644,$C$3)/SUMIFS(الإدخال!$P$5:$P$644,الإدخال!$A$5:$A$644,$B11,الإدخال!$C$5:$C$644,$C$3)/100,""))</f>
        <v>0.91333333333333333</v>
      </c>
      <c r="I11" s="25"/>
      <c r="J11" s="24"/>
      <c r="K11" s="24"/>
      <c r="L11" s="24"/>
      <c r="M11" s="24"/>
    </row>
    <row r="12" spans="1:13">
      <c r="A12" s="24"/>
      <c r="B12" s="122">
        <f>IF(ROWS($B$10:B12)&gt;الإعدادات!$C$5,"",ROWS($B$10:B12))</f>
        <v>3</v>
      </c>
      <c r="C12" s="123" t="str">
        <f>IF(OR($B12="",الإعدادات!$C$4=""),"",الإعدادات!$C$4+($B12-1)*7)</f>
        <v/>
      </c>
      <c r="D12" s="124">
        <f>IF($B12="","",SUMIFS(الإدخال!$N$5:$N$644,الإدخال!$A$5:$A$644,$B12,الإدخال!$C$5:$C$644,$C$3))</f>
        <v>0</v>
      </c>
      <c r="E12" s="124">
        <f>IF($B12="","",COUNTIFS(الإدخال!$A$5:$A$644,$B12,الإدخال!$C$5:$C$644,$C$3,الإدخال!$F$5:$F$644,"غائب"))</f>
        <v>0</v>
      </c>
      <c r="F12" s="124">
        <f>IF($B12="","",COUNTIFS(الإدخال!$A$5:$A$644,$B12,الإدخال!$C$5:$C$644,$C$3,الإدخال!$F$5:$F$644,"معتذر"))</f>
        <v>0</v>
      </c>
      <c r="G12" s="125" t="str">
        <f>IF($B12="","",IFERROR(D12/COUNTIFS(الإدخال!$A$5:$A$644,$B12,الإدخال!$C$5:$C$644,$C$3,الإدخال!$F$5:$F$644,"&lt;&gt;"),""))</f>
        <v/>
      </c>
      <c r="H12" s="126" t="str">
        <f>IF($B12="","",IFERROR(SUMIFS(الإدخال!$O$5:$O$644,الإدخال!$A$5:$A$644,$B12,الإدخال!$C$5:$C$644,$C$3)/SUMIFS(الإدخال!$P$5:$P$644,الإدخال!$A$5:$A$644,$B12,الإدخال!$C$5:$C$644,$C$3)/100,""))</f>
        <v/>
      </c>
      <c r="I12" s="25"/>
      <c r="J12" s="24"/>
      <c r="K12" s="24"/>
      <c r="L12" s="24"/>
      <c r="M12" s="24"/>
    </row>
    <row r="13" spans="1:13">
      <c r="A13" s="24"/>
      <c r="B13" s="122">
        <f>IF(ROWS($B$10:B13)&gt;الإعدادات!$C$5,"",ROWS($B$10:B13))</f>
        <v>4</v>
      </c>
      <c r="C13" s="123" t="str">
        <f>IF(OR($B13="",الإعدادات!$C$4=""),"",الإعدادات!$C$4+($B13-1)*7)</f>
        <v/>
      </c>
      <c r="D13" s="124">
        <f>IF($B13="","",SUMIFS(الإدخال!$N$5:$N$644,الإدخال!$A$5:$A$644,$B13,الإدخال!$C$5:$C$644,$C$3))</f>
        <v>0</v>
      </c>
      <c r="E13" s="124">
        <f>IF($B13="","",COUNTIFS(الإدخال!$A$5:$A$644,$B13,الإدخال!$C$5:$C$644,$C$3,الإدخال!$F$5:$F$644,"غائب"))</f>
        <v>0</v>
      </c>
      <c r="F13" s="124">
        <f>IF($B13="","",COUNTIFS(الإدخال!$A$5:$A$644,$B13,الإدخال!$C$5:$C$644,$C$3,الإدخال!$F$5:$F$644,"معتذر"))</f>
        <v>0</v>
      </c>
      <c r="G13" s="125" t="str">
        <f>IF($B13="","",IFERROR(D13/COUNTIFS(الإدخال!$A$5:$A$644,$B13,الإدخال!$C$5:$C$644,$C$3,الإدخال!$F$5:$F$644,"&lt;&gt;"),""))</f>
        <v/>
      </c>
      <c r="H13" s="126" t="str">
        <f>IF($B13="","",IFERROR(SUMIFS(الإدخال!$O$5:$O$644,الإدخال!$A$5:$A$644,$B13,الإدخال!$C$5:$C$644,$C$3)/SUMIFS(الإدخال!$P$5:$P$644,الإدخال!$A$5:$A$644,$B13,الإدخال!$C$5:$C$644,$C$3)/100,""))</f>
        <v/>
      </c>
      <c r="I13" s="25"/>
      <c r="J13" s="24"/>
      <c r="K13" s="24"/>
      <c r="L13" s="24"/>
      <c r="M13" s="24"/>
    </row>
    <row r="14" spans="1:13">
      <c r="A14" s="24"/>
      <c r="B14" s="122">
        <f>IF(ROWS($B$10:B14)&gt;الإعدادات!$C$5,"",ROWS($B$10:B14))</f>
        <v>5</v>
      </c>
      <c r="C14" s="123" t="str">
        <f>IF(OR($B14="",الإعدادات!$C$4=""),"",الإعدادات!$C$4+($B14-1)*7)</f>
        <v/>
      </c>
      <c r="D14" s="124">
        <f>IF($B14="","",SUMIFS(الإدخال!$N$5:$N$644,الإدخال!$A$5:$A$644,$B14,الإدخال!$C$5:$C$644,$C$3))</f>
        <v>0</v>
      </c>
      <c r="E14" s="124">
        <f>IF($B14="","",COUNTIFS(الإدخال!$A$5:$A$644,$B14,الإدخال!$C$5:$C$644,$C$3,الإدخال!$F$5:$F$644,"غائب"))</f>
        <v>0</v>
      </c>
      <c r="F14" s="124">
        <f>IF($B14="","",COUNTIFS(الإدخال!$A$5:$A$644,$B14,الإدخال!$C$5:$C$644,$C$3,الإدخال!$F$5:$F$644,"معتذر"))</f>
        <v>0</v>
      </c>
      <c r="G14" s="125" t="str">
        <f>IF($B14="","",IFERROR(D14/COUNTIFS(الإدخال!$A$5:$A$644,$B14,الإدخال!$C$5:$C$644,$C$3,الإدخال!$F$5:$F$644,"&lt;&gt;"),""))</f>
        <v/>
      </c>
      <c r="H14" s="126" t="str">
        <f>IF($B14="","",IFERROR(SUMIFS(الإدخال!$O$5:$O$644,الإدخال!$A$5:$A$644,$B14,الإدخال!$C$5:$C$644,$C$3)/SUMIFS(الإدخال!$P$5:$P$644,الإدخال!$A$5:$A$644,$B14,الإدخال!$C$5:$C$644,$C$3)/100,""))</f>
        <v/>
      </c>
      <c r="I14" s="25"/>
      <c r="J14" s="24"/>
      <c r="K14" s="24"/>
      <c r="L14" s="24"/>
      <c r="M14" s="24"/>
    </row>
    <row r="15" spans="1:13">
      <c r="A15" s="24"/>
      <c r="B15" s="122">
        <f>IF(ROWS($B$10:B15)&gt;الإعدادات!$C$5,"",ROWS($B$10:B15))</f>
        <v>6</v>
      </c>
      <c r="C15" s="123" t="str">
        <f>IF(OR($B15="",الإعدادات!$C$4=""),"",الإعدادات!$C$4+($B15-1)*7)</f>
        <v/>
      </c>
      <c r="D15" s="124">
        <f>IF($B15="","",SUMIFS(الإدخال!$N$5:$N$644,الإدخال!$A$5:$A$644,$B15,الإدخال!$C$5:$C$644,$C$3))</f>
        <v>0</v>
      </c>
      <c r="E15" s="124">
        <f>IF($B15="","",COUNTIFS(الإدخال!$A$5:$A$644,$B15,الإدخال!$C$5:$C$644,$C$3,الإدخال!$F$5:$F$644,"غائب"))</f>
        <v>0</v>
      </c>
      <c r="F15" s="124">
        <f>IF($B15="","",COUNTIFS(الإدخال!$A$5:$A$644,$B15,الإدخال!$C$5:$C$644,$C$3,الإدخال!$F$5:$F$644,"معتذر"))</f>
        <v>0</v>
      </c>
      <c r="G15" s="125" t="str">
        <f>IF($B15="","",IFERROR(D15/COUNTIFS(الإدخال!$A$5:$A$644,$B15,الإدخال!$C$5:$C$644,$C$3,الإدخال!$F$5:$F$644,"&lt;&gt;"),""))</f>
        <v/>
      </c>
      <c r="H15" s="126" t="str">
        <f>IF($B15="","",IFERROR(SUMIFS(الإدخال!$O$5:$O$644,الإدخال!$A$5:$A$644,$B15,الإدخال!$C$5:$C$644,$C$3)/SUMIFS(الإدخال!$P$5:$P$644,الإدخال!$A$5:$A$644,$B15,الإدخال!$C$5:$C$644,$C$3)/100,""))</f>
        <v/>
      </c>
      <c r="I15" s="25"/>
      <c r="J15" s="24"/>
      <c r="K15" s="24"/>
      <c r="L15" s="24"/>
      <c r="M15" s="24"/>
    </row>
    <row r="16" spans="1:13">
      <c r="A16" s="24"/>
      <c r="B16" s="122">
        <f>IF(ROWS($B$10:B16)&gt;الإعدادات!$C$5,"",ROWS($B$10:B16))</f>
        <v>7</v>
      </c>
      <c r="C16" s="123" t="str">
        <f>IF(OR($B16="",الإعدادات!$C$4=""),"",الإعدادات!$C$4+($B16-1)*7)</f>
        <v/>
      </c>
      <c r="D16" s="124">
        <f>IF($B16="","",SUMIFS(الإدخال!$N$5:$N$644,الإدخال!$A$5:$A$644,$B16,الإدخال!$C$5:$C$644,$C$3))</f>
        <v>0</v>
      </c>
      <c r="E16" s="124">
        <f>IF($B16="","",COUNTIFS(الإدخال!$A$5:$A$644,$B16,الإدخال!$C$5:$C$644,$C$3,الإدخال!$F$5:$F$644,"غائب"))</f>
        <v>0</v>
      </c>
      <c r="F16" s="124">
        <f>IF($B16="","",COUNTIFS(الإدخال!$A$5:$A$644,$B16,الإدخال!$C$5:$C$644,$C$3,الإدخال!$F$5:$F$644,"معتذر"))</f>
        <v>0</v>
      </c>
      <c r="G16" s="125" t="str">
        <f>IF($B16="","",IFERROR(D16/COUNTIFS(الإدخال!$A$5:$A$644,$B16,الإدخال!$C$5:$C$644,$C$3,الإدخال!$F$5:$F$644,"&lt;&gt;"),""))</f>
        <v/>
      </c>
      <c r="H16" s="126" t="str">
        <f>IF($B16="","",IFERROR(SUMIFS(الإدخال!$O$5:$O$644,الإدخال!$A$5:$A$644,$B16,الإدخال!$C$5:$C$644,$C$3)/SUMIFS(الإدخال!$P$5:$P$644,الإدخال!$A$5:$A$644,$B16,الإدخال!$C$5:$C$644,$C$3)/100,""))</f>
        <v/>
      </c>
      <c r="I16" s="25"/>
      <c r="J16" s="24"/>
      <c r="K16" s="24"/>
      <c r="L16" s="24"/>
      <c r="M16" s="24"/>
    </row>
    <row r="17" spans="1:13">
      <c r="A17" s="24"/>
      <c r="B17" s="122">
        <f>IF(ROWS($B$10:B17)&gt;الإعدادات!$C$5,"",ROWS($B$10:B17))</f>
        <v>8</v>
      </c>
      <c r="C17" s="123" t="str">
        <f>IF(OR($B17="",الإعدادات!$C$4=""),"",الإعدادات!$C$4+($B17-1)*7)</f>
        <v/>
      </c>
      <c r="D17" s="124">
        <f>IF($B17="","",SUMIFS(الإدخال!$N$5:$N$644,الإدخال!$A$5:$A$644,$B17,الإدخال!$C$5:$C$644,$C$3))</f>
        <v>0</v>
      </c>
      <c r="E17" s="124">
        <f>IF($B17="","",COUNTIFS(الإدخال!$A$5:$A$644,$B17,الإدخال!$C$5:$C$644,$C$3,الإدخال!$F$5:$F$644,"غائب"))</f>
        <v>0</v>
      </c>
      <c r="F17" s="124">
        <f>IF($B17="","",COUNTIFS(الإدخال!$A$5:$A$644,$B17,الإدخال!$C$5:$C$644,$C$3,الإدخال!$F$5:$F$644,"معتذر"))</f>
        <v>0</v>
      </c>
      <c r="G17" s="125" t="str">
        <f>IF($B17="","",IFERROR(D17/COUNTIFS(الإدخال!$A$5:$A$644,$B17,الإدخال!$C$5:$C$644,$C$3,الإدخال!$F$5:$F$644,"&lt;&gt;"),""))</f>
        <v/>
      </c>
      <c r="H17" s="126" t="str">
        <f>IF($B17="","",IFERROR(SUMIFS(الإدخال!$O$5:$O$644,الإدخال!$A$5:$A$644,$B17,الإدخال!$C$5:$C$644,$C$3)/SUMIFS(الإدخال!$P$5:$P$644,الإدخال!$A$5:$A$644,$B17,الإدخال!$C$5:$C$644,$C$3)/100,""))</f>
        <v/>
      </c>
      <c r="I17" s="25"/>
      <c r="J17" s="24"/>
      <c r="K17" s="24"/>
      <c r="L17" s="24"/>
      <c r="M17" s="24"/>
    </row>
    <row r="18" spans="1:13">
      <c r="A18" s="24"/>
      <c r="B18" s="122">
        <f>IF(ROWS($B$10:B18)&gt;الإعدادات!$C$5,"",ROWS($B$10:B18))</f>
        <v>9</v>
      </c>
      <c r="C18" s="123" t="str">
        <f>IF(OR($B18="",الإعدادات!$C$4=""),"",الإعدادات!$C$4+($B18-1)*7)</f>
        <v/>
      </c>
      <c r="D18" s="124">
        <f>IF($B18="","",SUMIFS(الإدخال!$N$5:$N$644,الإدخال!$A$5:$A$644,$B18,الإدخال!$C$5:$C$644,$C$3))</f>
        <v>0</v>
      </c>
      <c r="E18" s="124">
        <f>IF($B18="","",COUNTIFS(الإدخال!$A$5:$A$644,$B18,الإدخال!$C$5:$C$644,$C$3,الإدخال!$F$5:$F$644,"غائب"))</f>
        <v>0</v>
      </c>
      <c r="F18" s="124">
        <f>IF($B18="","",COUNTIFS(الإدخال!$A$5:$A$644,$B18,الإدخال!$C$5:$C$644,$C$3,الإدخال!$F$5:$F$644,"معتذر"))</f>
        <v>0</v>
      </c>
      <c r="G18" s="125" t="str">
        <f>IF($B18="","",IFERROR(D18/COUNTIFS(الإدخال!$A$5:$A$644,$B18,الإدخال!$C$5:$C$644,$C$3,الإدخال!$F$5:$F$644,"&lt;&gt;"),""))</f>
        <v/>
      </c>
      <c r="H18" s="126" t="str">
        <f>IF($B18="","",IFERROR(SUMIFS(الإدخال!$O$5:$O$644,الإدخال!$A$5:$A$644,$B18,الإدخال!$C$5:$C$644,$C$3)/SUMIFS(الإدخال!$P$5:$P$644,الإدخال!$A$5:$A$644,$B18,الإدخال!$C$5:$C$644,$C$3)/100,""))</f>
        <v/>
      </c>
      <c r="I18" s="25"/>
      <c r="J18" s="24"/>
      <c r="K18" s="24"/>
      <c r="L18" s="24"/>
      <c r="M18" s="24"/>
    </row>
    <row r="19" spans="1:13">
      <c r="A19" s="24"/>
      <c r="B19" s="122">
        <f>IF(ROWS($B$10:B19)&gt;الإعدادات!$C$5,"",ROWS($B$10:B19))</f>
        <v>10</v>
      </c>
      <c r="C19" s="123" t="str">
        <f>IF(OR($B19="",الإعدادات!$C$4=""),"",الإعدادات!$C$4+($B19-1)*7)</f>
        <v/>
      </c>
      <c r="D19" s="124">
        <f>IF($B19="","",SUMIFS(الإدخال!$N$5:$N$644,الإدخال!$A$5:$A$644,$B19,الإدخال!$C$5:$C$644,$C$3))</f>
        <v>0</v>
      </c>
      <c r="E19" s="124">
        <f>IF($B19="","",COUNTIFS(الإدخال!$A$5:$A$644,$B19,الإدخال!$C$5:$C$644,$C$3,الإدخال!$F$5:$F$644,"غائب"))</f>
        <v>0</v>
      </c>
      <c r="F19" s="124">
        <f>IF($B19="","",COUNTIFS(الإدخال!$A$5:$A$644,$B19,الإدخال!$C$5:$C$644,$C$3,الإدخال!$F$5:$F$644,"معتذر"))</f>
        <v>0</v>
      </c>
      <c r="G19" s="125" t="str">
        <f>IF($B19="","",IFERROR(D19/COUNTIFS(الإدخال!$A$5:$A$644,$B19,الإدخال!$C$5:$C$644,$C$3,الإدخال!$F$5:$F$644,"&lt;&gt;"),""))</f>
        <v/>
      </c>
      <c r="H19" s="126" t="str">
        <f>IF($B19="","",IFERROR(SUMIFS(الإدخال!$O$5:$O$644,الإدخال!$A$5:$A$644,$B19,الإدخال!$C$5:$C$644,$C$3)/SUMIFS(الإدخال!$P$5:$P$644,الإدخال!$A$5:$A$644,$B19,الإدخال!$C$5:$C$644,$C$3)/100,""))</f>
        <v/>
      </c>
      <c r="I19" s="25"/>
      <c r="J19" s="24"/>
      <c r="K19" s="24"/>
      <c r="L19" s="24"/>
      <c r="M19" s="24"/>
    </row>
    <row r="20" spans="1:13">
      <c r="A20" s="24"/>
      <c r="B20" s="122">
        <f>IF(ROWS($B$10:B20)&gt;الإعدادات!$C$5,"",ROWS($B$10:B20))</f>
        <v>11</v>
      </c>
      <c r="C20" s="123" t="str">
        <f>IF(OR($B20="",الإعدادات!$C$4=""),"",الإعدادات!$C$4+($B20-1)*7)</f>
        <v/>
      </c>
      <c r="D20" s="124">
        <f>IF($B20="","",SUMIFS(الإدخال!$N$5:$N$644,الإدخال!$A$5:$A$644,$B20,الإدخال!$C$5:$C$644,$C$3))</f>
        <v>0</v>
      </c>
      <c r="E20" s="124">
        <f>IF($B20="","",COUNTIFS(الإدخال!$A$5:$A$644,$B20,الإدخال!$C$5:$C$644,$C$3,الإدخال!$F$5:$F$644,"غائب"))</f>
        <v>0</v>
      </c>
      <c r="F20" s="124">
        <f>IF($B20="","",COUNTIFS(الإدخال!$A$5:$A$644,$B20,الإدخال!$C$5:$C$644,$C$3,الإدخال!$F$5:$F$644,"معتذر"))</f>
        <v>0</v>
      </c>
      <c r="G20" s="125" t="str">
        <f>IF($B20="","",IFERROR(D20/COUNTIFS(الإدخال!$A$5:$A$644,$B20,الإدخال!$C$5:$C$644,$C$3,الإدخال!$F$5:$F$644,"&lt;&gt;"),""))</f>
        <v/>
      </c>
      <c r="H20" s="126" t="str">
        <f>IF($B20="","",IFERROR(SUMIFS(الإدخال!$O$5:$O$644,الإدخال!$A$5:$A$644,$B20,الإدخال!$C$5:$C$644,$C$3)/SUMIFS(الإدخال!$P$5:$P$644,الإدخال!$A$5:$A$644,$B20,الإدخال!$C$5:$C$644,$C$3)/100,""))</f>
        <v/>
      </c>
      <c r="I20" s="25"/>
      <c r="J20" s="24"/>
      <c r="K20" s="24"/>
      <c r="L20" s="24"/>
      <c r="M20" s="24"/>
    </row>
    <row r="21" spans="1:13">
      <c r="A21" s="24"/>
      <c r="B21" s="122">
        <f>IF(ROWS($B$10:B21)&gt;الإعدادات!$C$5,"",ROWS($B$10:B21))</f>
        <v>12</v>
      </c>
      <c r="C21" s="123" t="str">
        <f>IF(OR($B21="",الإعدادات!$C$4=""),"",الإعدادات!$C$4+($B21-1)*7)</f>
        <v/>
      </c>
      <c r="D21" s="124">
        <f>IF($B21="","",SUMIFS(الإدخال!$N$5:$N$644,الإدخال!$A$5:$A$644,$B21,الإدخال!$C$5:$C$644,$C$3))</f>
        <v>0</v>
      </c>
      <c r="E21" s="124">
        <f>IF($B21="","",COUNTIFS(الإدخال!$A$5:$A$644,$B21,الإدخال!$C$5:$C$644,$C$3,الإدخال!$F$5:$F$644,"غائب"))</f>
        <v>0</v>
      </c>
      <c r="F21" s="124">
        <f>IF($B21="","",COUNTIFS(الإدخال!$A$5:$A$644,$B21,الإدخال!$C$5:$C$644,$C$3,الإدخال!$F$5:$F$644,"معتذر"))</f>
        <v>0</v>
      </c>
      <c r="G21" s="125" t="str">
        <f>IF($B21="","",IFERROR(D21/COUNTIFS(الإدخال!$A$5:$A$644,$B21,الإدخال!$C$5:$C$644,$C$3,الإدخال!$F$5:$F$644,"&lt;&gt;"),""))</f>
        <v/>
      </c>
      <c r="H21" s="126" t="str">
        <f>IF($B21="","",IFERROR(SUMIFS(الإدخال!$O$5:$O$644,الإدخال!$A$5:$A$644,$B21,الإدخال!$C$5:$C$644,$C$3)/SUMIFS(الإدخال!$P$5:$P$644,الإدخال!$A$5:$A$644,$B21,الإدخال!$C$5:$C$644,$C$3)/100,""))</f>
        <v/>
      </c>
      <c r="I21" s="25"/>
      <c r="J21" s="24"/>
      <c r="K21" s="24"/>
      <c r="L21" s="24"/>
      <c r="M21" s="24"/>
    </row>
    <row r="22" spans="1:13">
      <c r="A22" s="24"/>
      <c r="B22" s="122">
        <f>IF(ROWS($B$10:B22)&gt;الإعدادات!$C$5,"",ROWS($B$10:B22))</f>
        <v>13</v>
      </c>
      <c r="C22" s="123" t="str">
        <f>IF(OR($B22="",الإعدادات!$C$4=""),"",الإعدادات!$C$4+($B22-1)*7)</f>
        <v/>
      </c>
      <c r="D22" s="124">
        <f>IF($B22="","",SUMIFS(الإدخال!$N$5:$N$644,الإدخال!$A$5:$A$644,$B22,الإدخال!$C$5:$C$644,$C$3))</f>
        <v>0</v>
      </c>
      <c r="E22" s="124">
        <f>IF($B22="","",COUNTIFS(الإدخال!$A$5:$A$644,$B22,الإدخال!$C$5:$C$644,$C$3,الإدخال!$F$5:$F$644,"غائب"))</f>
        <v>0</v>
      </c>
      <c r="F22" s="124">
        <f>IF($B22="","",COUNTIFS(الإدخال!$A$5:$A$644,$B22,الإدخال!$C$5:$C$644,$C$3,الإدخال!$F$5:$F$644,"معتذر"))</f>
        <v>0</v>
      </c>
      <c r="G22" s="125" t="str">
        <f>IF($B22="","",IFERROR(D22/COUNTIFS(الإدخال!$A$5:$A$644,$B22,الإدخال!$C$5:$C$644,$C$3,الإدخال!$F$5:$F$644,"&lt;&gt;"),""))</f>
        <v/>
      </c>
      <c r="H22" s="126" t="str">
        <f>IF($B22="","",IFERROR(SUMIFS(الإدخال!$O$5:$O$644,الإدخال!$A$5:$A$644,$B22,الإدخال!$C$5:$C$644,$C$3)/SUMIFS(الإدخال!$P$5:$P$644,الإدخال!$A$5:$A$644,$B22,الإدخال!$C$5:$C$644,$C$3)/100,""))</f>
        <v/>
      </c>
      <c r="I22" s="25"/>
      <c r="J22" s="24"/>
      <c r="K22" s="24"/>
      <c r="L22" s="24"/>
      <c r="M22" s="24"/>
    </row>
    <row r="23" spans="1:13">
      <c r="A23" s="24"/>
      <c r="B23" s="122">
        <f>IF(ROWS($B$10:B23)&gt;الإعدادات!$C$5,"",ROWS($B$10:B23))</f>
        <v>14</v>
      </c>
      <c r="C23" s="123" t="str">
        <f>IF(OR($B23="",الإعدادات!$C$4=""),"",الإعدادات!$C$4+($B23-1)*7)</f>
        <v/>
      </c>
      <c r="D23" s="124">
        <f>IF($B23="","",SUMIFS(الإدخال!$N$5:$N$644,الإدخال!$A$5:$A$644,$B23,الإدخال!$C$5:$C$644,$C$3))</f>
        <v>0</v>
      </c>
      <c r="E23" s="124">
        <f>IF($B23="","",COUNTIFS(الإدخال!$A$5:$A$644,$B23,الإدخال!$C$5:$C$644,$C$3,الإدخال!$F$5:$F$644,"غائب"))</f>
        <v>0</v>
      </c>
      <c r="F23" s="124">
        <f>IF($B23="","",COUNTIFS(الإدخال!$A$5:$A$644,$B23,الإدخال!$C$5:$C$644,$C$3,الإدخال!$F$5:$F$644,"معتذر"))</f>
        <v>0</v>
      </c>
      <c r="G23" s="125" t="str">
        <f>IF($B23="","",IFERROR(D23/COUNTIFS(الإدخال!$A$5:$A$644,$B23,الإدخال!$C$5:$C$644,$C$3,الإدخال!$F$5:$F$644,"&lt;&gt;"),""))</f>
        <v/>
      </c>
      <c r="H23" s="126" t="str">
        <f>IF($B23="","",IFERROR(SUMIFS(الإدخال!$O$5:$O$644,الإدخال!$A$5:$A$644,$B23,الإدخال!$C$5:$C$644,$C$3)/SUMIFS(الإدخال!$P$5:$P$644,الإدخال!$A$5:$A$644,$B23,الإدخال!$C$5:$C$644,$C$3)/100,""))</f>
        <v/>
      </c>
      <c r="I23" s="25"/>
      <c r="J23" s="24"/>
      <c r="K23" s="24"/>
      <c r="L23" s="24"/>
      <c r="M23" s="24"/>
    </row>
    <row r="24" spans="1:13">
      <c r="A24" s="24"/>
      <c r="B24" s="122">
        <f>IF(ROWS($B$10:B24)&gt;الإعدادات!$C$5,"",ROWS($B$10:B24))</f>
        <v>15</v>
      </c>
      <c r="C24" s="123" t="str">
        <f>IF(OR($B24="",الإعدادات!$C$4=""),"",الإعدادات!$C$4+($B24-1)*7)</f>
        <v/>
      </c>
      <c r="D24" s="124">
        <f>IF($B24="","",SUMIFS(الإدخال!$N$5:$N$644,الإدخال!$A$5:$A$644,$B24,الإدخال!$C$5:$C$644,$C$3))</f>
        <v>0</v>
      </c>
      <c r="E24" s="124">
        <f>IF($B24="","",COUNTIFS(الإدخال!$A$5:$A$644,$B24,الإدخال!$C$5:$C$644,$C$3,الإدخال!$F$5:$F$644,"غائب"))</f>
        <v>0</v>
      </c>
      <c r="F24" s="124">
        <f>IF($B24="","",COUNTIFS(الإدخال!$A$5:$A$644,$B24,الإدخال!$C$5:$C$644,$C$3,الإدخال!$F$5:$F$644,"معتذر"))</f>
        <v>0</v>
      </c>
      <c r="G24" s="125" t="str">
        <f>IF($B24="","",IFERROR(D24/COUNTIFS(الإدخال!$A$5:$A$644,$B24,الإدخال!$C$5:$C$644,$C$3,الإدخال!$F$5:$F$644,"&lt;&gt;"),""))</f>
        <v/>
      </c>
      <c r="H24" s="126" t="str">
        <f>IF($B24="","",IFERROR(SUMIFS(الإدخال!$O$5:$O$644,الإدخال!$A$5:$A$644,$B24,الإدخال!$C$5:$C$644,$C$3)/SUMIFS(الإدخال!$P$5:$P$644,الإدخال!$A$5:$A$644,$B24,الإدخال!$C$5:$C$644,$C$3)/100,""))</f>
        <v/>
      </c>
      <c r="I24" s="25"/>
      <c r="J24" s="24"/>
      <c r="K24" s="24"/>
      <c r="L24" s="24"/>
      <c r="M24" s="24"/>
    </row>
    <row r="25" spans="1:13">
      <c r="A25" s="24"/>
      <c r="B25" s="122">
        <f>IF(ROWS($B$10:B25)&gt;الإعدادات!$C$5,"",ROWS($B$10:B25))</f>
        <v>16</v>
      </c>
      <c r="C25" s="123" t="str">
        <f>IF(OR($B25="",الإعدادات!$C$4=""),"",الإعدادات!$C$4+($B25-1)*7)</f>
        <v/>
      </c>
      <c r="D25" s="124">
        <f>IF($B25="","",SUMIFS(الإدخال!$N$5:$N$644,الإدخال!$A$5:$A$644,$B25,الإدخال!$C$5:$C$644,$C$3))</f>
        <v>0</v>
      </c>
      <c r="E25" s="124">
        <f>IF($B25="","",COUNTIFS(الإدخال!$A$5:$A$644,$B25,الإدخال!$C$5:$C$644,$C$3,الإدخال!$F$5:$F$644,"غائب"))</f>
        <v>0</v>
      </c>
      <c r="F25" s="124">
        <f>IF($B25="","",COUNTIFS(الإدخال!$A$5:$A$644,$B25,الإدخال!$C$5:$C$644,$C$3,الإدخال!$F$5:$F$644,"معتذر"))</f>
        <v>0</v>
      </c>
      <c r="G25" s="125" t="str">
        <f>IF($B25="","",IFERROR(D25/COUNTIFS(الإدخال!$A$5:$A$644,$B25,الإدخال!$C$5:$C$644,$C$3,الإدخال!$F$5:$F$644,"&lt;&gt;"),""))</f>
        <v/>
      </c>
      <c r="H25" s="126" t="str">
        <f>IF($B25="","",IFERROR(SUMIFS(الإدخال!$O$5:$O$644,الإدخال!$A$5:$A$644,$B25,الإدخال!$C$5:$C$644,$C$3)/SUMIFS(الإدخال!$P$5:$P$644,الإدخال!$A$5:$A$644,$B25,الإدخال!$C$5:$C$644,$C$3)/100,""))</f>
        <v/>
      </c>
      <c r="I25" s="25"/>
      <c r="J25" s="24"/>
      <c r="K25" s="24"/>
      <c r="L25" s="24"/>
      <c r="M25" s="24"/>
    </row>
    <row r="26" spans="1:13">
      <c r="A26" s="24"/>
      <c r="B26" s="118"/>
      <c r="C26" s="118"/>
      <c r="D26" s="118"/>
      <c r="E26" s="118"/>
      <c r="F26" s="118"/>
      <c r="G26" s="118"/>
      <c r="H26" s="118"/>
      <c r="I26" s="24"/>
      <c r="J26" s="24"/>
      <c r="K26" s="24"/>
      <c r="L26" s="24"/>
      <c r="M26" s="24"/>
    </row>
    <row r="27" spans="1:13" ht="15.95">
      <c r="A27" s="24"/>
      <c r="B27" s="21" t="s">
        <v>156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ht="30" customHeight="1">
      <c r="A28" s="24"/>
      <c r="B28" s="14" t="s">
        <v>57</v>
      </c>
      <c r="C28" s="14" t="s">
        <v>58</v>
      </c>
      <c r="D28" s="14" t="s">
        <v>6</v>
      </c>
      <c r="E28" s="14" t="s">
        <v>119</v>
      </c>
      <c r="F28" s="14" t="s">
        <v>121</v>
      </c>
      <c r="G28" s="14" t="s">
        <v>122</v>
      </c>
      <c r="H28" s="14" t="s">
        <v>40</v>
      </c>
      <c r="I28" s="14" t="s">
        <v>38</v>
      </c>
      <c r="J28" s="14" t="s">
        <v>44</v>
      </c>
      <c r="K28" s="14" t="s">
        <v>61</v>
      </c>
      <c r="L28" s="14" t="s">
        <v>133</v>
      </c>
      <c r="M28" s="161" t="s">
        <v>157</v>
      </c>
    </row>
    <row r="29" spans="1:13">
      <c r="A29" s="24"/>
      <c r="B29" s="158" cm="1">
        <f t="array" ref="B29">IF($M29="","",INDEX(الطلاب!$A$5:$A$44,$M29))</f>
        <v>1</v>
      </c>
      <c r="C29" s="159" t="str" cm="1">
        <f t="array" ref="C29">IF($M29="","",INDEX(الطلاب!$B$5:$B$44,$M29))</f>
        <v>غسان اليحيى</v>
      </c>
      <c r="D29" s="158" t="str" cm="1">
        <f t="array" ref="D29">IF($M29="","",INDEX(الطلاب!$C$5:$C$44,$M29))</f>
        <v>المقرأة الأولى</v>
      </c>
      <c r="E29" s="155">
        <f>IF($B29="","",SUMIFS(الإدخال!$N$5:$N$644,الإدخال!$D$5:$D$644,$B29))</f>
        <v>2</v>
      </c>
      <c r="F29" s="155">
        <f>IF($B29="","",COUNTIFS(الإدخال!$D$5:$D$644,$B29,الإدخال!$F$5:$F$644,"غائب"))</f>
        <v>0</v>
      </c>
      <c r="G29" s="155">
        <f>IF($B29="","",COUNTIFS(الإدخال!$D$5:$D$644,$B29,الإدخال!$F$5:$F$644,"معتذر"))</f>
        <v>0</v>
      </c>
      <c r="H29" s="156">
        <f>IF($B29="","",IFERROR(E29/COUNTIFS(الإدخال!$D$5:$D$644,$B29,الإدخال!$F$5:$F$644,"&lt;&gt;"),""))</f>
        <v>1</v>
      </c>
      <c r="I29" s="157">
        <f>IF($B29="","",IFERROR(SUMIFS(الإدخال!$O$5:$O$644,الإدخال!$D$5:$D$644,$B29)/SUMIFS(الإدخال!$P$5:$P$644,الإدخال!$D$5:$D$644,$B29)/100,""))</f>
        <v>0.89</v>
      </c>
      <c r="J29" s="158" t="str">
        <f>IF(I29="","",IF(I29&gt;=0.9,"ممتاز",IF(I29&gt;=0.8,"جيد جدًا",IF(I29&gt;=0.7,"جيد",IF(I29&gt;=0.6,"مقبول","يحتاج متابعة")))))</f>
        <v>جيد جدًا</v>
      </c>
      <c r="K29" s="155">
        <f>IF($B29="","",SUMIFS(الإدخال!$H$5:$H$644,الإدخال!$D$5:$D$644,$B29,الإدخال!$N$5:$N$644,1))</f>
        <v>7</v>
      </c>
      <c r="L29" s="158">
        <f>IF(ISNUMBER(I29),COUNTIFS($I$29:$I$68,"&gt;"&amp;I29)+1,"")</f>
        <v>2</v>
      </c>
      <c r="M29" s="160" cm="1">
        <f t="array" ref="M29">IFERROR(_xlfn.AGGREGATE(15,6,(ROW(الطلاب!$D$5:$D$44)-ROW(الطلاب!$D$5)+1)/(الطلاب!$D$5:$D$44=$C$3),ROWS(M$29:M29)),"")</f>
        <v>1</v>
      </c>
    </row>
    <row r="30" spans="1:13">
      <c r="A30" s="24"/>
      <c r="B30" s="130" cm="1">
        <f t="array" ref="B30">IF($M30="","",INDEX(الطلاب!$A$5:$A$44,$M30))</f>
        <v>2</v>
      </c>
      <c r="C30" s="131" t="str" cm="1">
        <f t="array" ref="C30">IF($M30="","",INDEX(الطلاب!$B$5:$B$44,$M30))</f>
        <v xml:space="preserve">صالح الشريف </v>
      </c>
      <c r="D30" s="130" t="str" cm="1">
        <f t="array" ref="D30">IF($M30="","",INDEX(الطلاب!$C$5:$C$44,$M30))</f>
        <v>المقرأة الأولى</v>
      </c>
      <c r="E30" s="124">
        <f>IF($B30="","",SUMIFS(الإدخال!$N$5:$N$644,الإدخال!$D$5:$D$644,$B30))</f>
        <v>2</v>
      </c>
      <c r="F30" s="124">
        <f>IF($B30="","",COUNTIFS(الإدخال!$D$5:$D$644,$B30,الإدخال!$F$5:$F$644,"غائب"))</f>
        <v>0</v>
      </c>
      <c r="G30" s="124">
        <f>IF($B30="","",COUNTIFS(الإدخال!$D$5:$D$644,$B30,الإدخال!$F$5:$F$644,"معتذر"))</f>
        <v>0</v>
      </c>
      <c r="H30" s="125">
        <f>IF($B30="","",IFERROR(E30/COUNTIFS(الإدخال!$D$5:$D$644,$B30,الإدخال!$F$5:$F$644,"&lt;&gt;"),""))</f>
        <v>1</v>
      </c>
      <c r="I30" s="126">
        <f>IF($B30="","",IFERROR(SUMIFS(الإدخال!$O$5:$O$644,الإدخال!$D$5:$D$644,$B30)/SUMIFS(الإدخال!$P$5:$P$644,الإدخال!$D$5:$D$644,$B30)/100,""))</f>
        <v>0.68500000000000005</v>
      </c>
      <c r="J30" s="130" t="str">
        <f t="shared" ref="J30:J68" si="0">IF(I30="","",IF(I30&gt;=0.9,"ممتاز",IF(I30&gt;=0.8,"جيد جدًا",IF(I30&gt;=0.7,"جيد",IF(I30&gt;=0.6,"مقبول","يحتاج متابعة")))))</f>
        <v>مقبول</v>
      </c>
      <c r="K30" s="124">
        <f>IF($B30="","",SUMIFS(الإدخال!$H$5:$H$644,الإدخال!$D$5:$D$644,$B30,الإدخال!$N$5:$N$644,1))</f>
        <v>1</v>
      </c>
      <c r="L30" s="130">
        <f t="shared" ref="L30:L68" si="1">IF(ISNUMBER(I30),COUNTIFS($I$29:$I$68,"&gt;"&amp;I30)+1,"")</f>
        <v>5</v>
      </c>
      <c r="M30" s="132" cm="1">
        <f t="array" ref="M30">IFERROR(_xlfn.AGGREGATE(15,6,(ROW(الطلاب!$D$5:$D$44)-ROW(الطلاب!$D$5)+1)/(الطلاب!$D$5:$D$44=$C$3),ROWS(M$29:M30)),"")</f>
        <v>2</v>
      </c>
    </row>
    <row r="31" spans="1:13">
      <c r="A31" s="24"/>
      <c r="B31" s="130" cm="1">
        <f t="array" ref="B31">IF($M31="","",INDEX(الطلاب!$A$5:$A$44,$M31))</f>
        <v>3</v>
      </c>
      <c r="C31" s="131" t="str" cm="1">
        <f t="array" ref="C31">IF($M31="","",INDEX(الطلاب!$B$5:$B$44,$M31))</f>
        <v xml:space="preserve">فهد المشيقح </v>
      </c>
      <c r="D31" s="130" t="str" cm="1">
        <f t="array" ref="D31">IF($M31="","",INDEX(الطلاب!$C$5:$C$44,$M31))</f>
        <v>المقرأة الأولى</v>
      </c>
      <c r="E31" s="124">
        <f>IF($B31="","",SUMIFS(الإدخال!$N$5:$N$644,الإدخال!$D$5:$D$644,$B31))</f>
        <v>2</v>
      </c>
      <c r="F31" s="124">
        <f>IF($B31="","",COUNTIFS(الإدخال!$D$5:$D$644,$B31,الإدخال!$F$5:$F$644,"غائب"))</f>
        <v>0</v>
      </c>
      <c r="G31" s="124">
        <f>IF($B31="","",COUNTIFS(الإدخال!$D$5:$D$644,$B31,الإدخال!$F$5:$F$644,"معتذر"))</f>
        <v>0</v>
      </c>
      <c r="H31" s="125">
        <f>IF($B31="","",IFERROR(E31/COUNTIFS(الإدخال!$D$5:$D$644,$B31,الإدخال!$F$5:$F$644,"&lt;&gt;"),""))</f>
        <v>1</v>
      </c>
      <c r="I31" s="126">
        <f>IF($B31="","",IFERROR(SUMIFS(الإدخال!$O$5:$O$644,الإدخال!$D$5:$D$644,$B31)/SUMIFS(الإدخال!$P$5:$P$644,الإدخال!$D$5:$D$644,$B31)/100,""))</f>
        <v>0.97</v>
      </c>
      <c r="J31" s="130" t="str">
        <f t="shared" si="0"/>
        <v>ممتاز</v>
      </c>
      <c r="K31" s="124">
        <f>IF($B31="","",SUMIFS(الإدخال!$H$5:$H$644,الإدخال!$D$5:$D$644,$B31,الإدخال!$N$5:$N$644,1))</f>
        <v>5</v>
      </c>
      <c r="L31" s="130">
        <f t="shared" si="1"/>
        <v>1</v>
      </c>
      <c r="M31" s="132" cm="1">
        <f t="array" ref="M31">IFERROR(_xlfn.AGGREGATE(15,6,(ROW(الطلاب!$D$5:$D$44)-ROW(الطلاب!$D$5)+1)/(الطلاب!$D$5:$D$44=$C$3),ROWS(M$29:M31)),"")</f>
        <v>3</v>
      </c>
    </row>
    <row r="32" spans="1:13">
      <c r="A32" s="24"/>
      <c r="B32" s="130" cm="1">
        <f t="array" ref="B32">IF($M32="","",INDEX(الطلاب!$A$5:$A$44,$M32))</f>
        <v>4</v>
      </c>
      <c r="C32" s="131" t="str" cm="1">
        <f t="array" ref="C32">IF($M32="","",INDEX(الطلاب!$B$5:$B$44,$M32))</f>
        <v>عبدالله الحفير</v>
      </c>
      <c r="D32" s="130" t="str" cm="1">
        <f t="array" ref="D32">IF($M32="","",INDEX(الطلاب!$C$5:$C$44,$M32))</f>
        <v>المقرأة الأولى</v>
      </c>
      <c r="E32" s="124">
        <f>IF($B32="","",SUMIFS(الإدخال!$N$5:$N$644,الإدخال!$D$5:$D$644,$B32))</f>
        <v>2</v>
      </c>
      <c r="F32" s="124">
        <f>IF($B32="","",COUNTIFS(الإدخال!$D$5:$D$644,$B32,الإدخال!$F$5:$F$644,"غائب"))</f>
        <v>0</v>
      </c>
      <c r="G32" s="124">
        <f>IF($B32="","",COUNTIFS(الإدخال!$D$5:$D$644,$B32,الإدخال!$F$5:$F$644,"معتذر"))</f>
        <v>0</v>
      </c>
      <c r="H32" s="125">
        <f>IF($B32="","",IFERROR(E32/COUNTIFS(الإدخال!$D$5:$D$644,$B32,الإدخال!$F$5:$F$644,"&lt;&gt;"),""))</f>
        <v>1</v>
      </c>
      <c r="I32" s="126">
        <f>IF($B32="","",IFERROR(SUMIFS(الإدخال!$O$5:$O$644,الإدخال!$D$5:$D$644,$B32)/SUMIFS(الإدخال!$P$5:$P$644,الإدخال!$D$5:$D$644,$B32)/100,""))</f>
        <v>0.75</v>
      </c>
      <c r="J32" s="130" t="str">
        <f t="shared" si="0"/>
        <v>جيد</v>
      </c>
      <c r="K32" s="124">
        <f>IF($B32="","",SUMIFS(الإدخال!$H$5:$H$644,الإدخال!$D$5:$D$644,$B32,الإدخال!$N$5:$N$644,1))</f>
        <v>4</v>
      </c>
      <c r="L32" s="130">
        <f t="shared" si="1"/>
        <v>4</v>
      </c>
      <c r="M32" s="132" cm="1">
        <f t="array" ref="M32">IFERROR(_xlfn.AGGREGATE(15,6,(ROW(الطلاب!$D$5:$D$44)-ROW(الطلاب!$D$5)+1)/(الطلاب!$D$5:$D$44=$C$3),ROWS(M$29:M32)),"")</f>
        <v>4</v>
      </c>
    </row>
    <row r="33" spans="1:13">
      <c r="A33" s="24"/>
      <c r="B33" s="130" cm="1">
        <f t="array" ref="B33">IF($M33="","",INDEX(الطلاب!$A$5:$A$44,$M33))</f>
        <v>5</v>
      </c>
      <c r="C33" s="131" t="str" cm="1">
        <f t="array" ref="C33">IF($M33="","",INDEX(الطلاب!$B$5:$B$44,$M33))</f>
        <v>زياد الدخيل الله</v>
      </c>
      <c r="D33" s="130" t="str" cm="1">
        <f t="array" ref="D33">IF($M33="","",INDEX(الطلاب!$C$5:$C$44,$M33))</f>
        <v>المقرأة الأولى</v>
      </c>
      <c r="E33" s="124">
        <f>IF($B33="","",SUMIFS(الإدخال!$N$5:$N$644,الإدخال!$D$5:$D$644,$B33))</f>
        <v>2</v>
      </c>
      <c r="F33" s="124">
        <f>IF($B33="","",COUNTIFS(الإدخال!$D$5:$D$644,$B33,الإدخال!$F$5:$F$644,"غائب"))</f>
        <v>0</v>
      </c>
      <c r="G33" s="124">
        <f>IF($B33="","",COUNTIFS(الإدخال!$D$5:$D$644,$B33,الإدخال!$F$5:$F$644,"معتذر"))</f>
        <v>0</v>
      </c>
      <c r="H33" s="125">
        <f>IF($B33="","",IFERROR(E33/COUNTIFS(الإدخال!$D$5:$D$644,$B33,الإدخال!$F$5:$F$644,"&lt;&gt;"),""))</f>
        <v>1</v>
      </c>
      <c r="I33" s="126">
        <f>IF($B33="","",IFERROR(SUMIFS(الإدخال!$O$5:$O$644,الإدخال!$D$5:$D$644,$B33)/SUMIFS(الإدخال!$P$5:$P$644,الإدخال!$D$5:$D$644,$B33)/100,""))</f>
        <v>0.68500000000000005</v>
      </c>
      <c r="J33" s="130" t="str">
        <f t="shared" si="0"/>
        <v>مقبول</v>
      </c>
      <c r="K33" s="124">
        <f>IF($B33="","",SUMIFS(الإدخال!$H$5:$H$644,الإدخال!$D$5:$D$644,$B33,الإدخال!$N$5:$N$644,1))</f>
        <v>3</v>
      </c>
      <c r="L33" s="130">
        <f t="shared" si="1"/>
        <v>5</v>
      </c>
      <c r="M33" s="132" cm="1">
        <f t="array" ref="M33">IFERROR(_xlfn.AGGREGATE(15,6,(ROW(الطلاب!$D$5:$D$44)-ROW(الطلاب!$D$5)+1)/(الطلاب!$D$5:$D$44=$C$3),ROWS(M$29:M33)),"")</f>
        <v>5</v>
      </c>
    </row>
    <row r="34" spans="1:13">
      <c r="A34" s="24"/>
      <c r="B34" s="130" cm="1">
        <f t="array" ref="B34">IF($M34="","",INDEX(الطلاب!$A$5:$A$44,$M34))</f>
        <v>37</v>
      </c>
      <c r="C34" s="131" t="str" cm="1">
        <f t="array" ref="C34">IF($M34="","",INDEX(الطلاب!$B$5:$B$44,$M34))</f>
        <v xml:space="preserve">أسامة السعوي </v>
      </c>
      <c r="D34" s="130" t="str" cm="1">
        <f t="array" ref="D34">IF($M34="","",INDEX(الطلاب!$C$5:$C$44,$M34))</f>
        <v>المقرأة الأولى</v>
      </c>
      <c r="E34" s="124">
        <f>IF($B34="","",SUMIFS(الإدخال!$N$5:$N$644,الإدخال!$D$5:$D$644,$B34))</f>
        <v>1</v>
      </c>
      <c r="F34" s="124">
        <f>IF($B34="","",COUNTIFS(الإدخال!$D$5:$D$644,$B34,الإدخال!$F$5:$F$644,"غائب"))</f>
        <v>0</v>
      </c>
      <c r="G34" s="124">
        <f>IF($B34="","",COUNTIFS(الإدخال!$D$5:$D$644,$B34,الإدخال!$F$5:$F$644,"معتذر"))</f>
        <v>0</v>
      </c>
      <c r="H34" s="125">
        <f>IF($B34="","",IFERROR(E34/COUNTIFS(الإدخال!$D$5:$D$644,$B34,الإدخال!$F$5:$F$644,"&lt;&gt;"),""))</f>
        <v>1</v>
      </c>
      <c r="I34" s="126">
        <f>IF($B34="","",IFERROR(SUMIFS(الإدخال!$O$5:$O$644,الإدخال!$D$5:$D$644,$B34)/SUMIFS(الإدخال!$P$5:$P$644,الإدخال!$D$5:$D$644,$B34)/100,""))</f>
        <v>0.82</v>
      </c>
      <c r="J34" s="130" t="str">
        <f t="shared" si="0"/>
        <v>جيد جدًا</v>
      </c>
      <c r="K34" s="124">
        <f>IF($B34="","",SUMIFS(الإدخال!$H$5:$H$644,الإدخال!$D$5:$D$644,$B34,الإدخال!$N$5:$N$644,1))</f>
        <v>2</v>
      </c>
      <c r="L34" s="130">
        <f t="shared" si="1"/>
        <v>3</v>
      </c>
      <c r="M34" s="132" cm="1">
        <f t="array" ref="M34">IFERROR(_xlfn.AGGREGATE(15,6,(ROW(الطلاب!$D$5:$D$44)-ROW(الطلاب!$D$5)+1)/(الطلاب!$D$5:$D$44=$C$3),ROWS(M$29:M34)),"")</f>
        <v>37</v>
      </c>
    </row>
    <row r="35" spans="1:13">
      <c r="A35" s="24"/>
      <c r="B35" s="130" t="str" cm="1">
        <f t="array" ref="B35">IF($M35="","",INDEX(الطلاب!$A$5:$A$44,$M35))</f>
        <v/>
      </c>
      <c r="C35" s="131" t="str" cm="1">
        <f t="array" ref="C35">IF($M35="","",INDEX(الطلاب!$B$5:$B$44,$M35))</f>
        <v/>
      </c>
      <c r="D35" s="130" t="str" cm="1">
        <f t="array" ref="D35">IF($M35="","",INDEX(الطلاب!$C$5:$C$44,$M35))</f>
        <v/>
      </c>
      <c r="E35" s="124" t="str">
        <f>IF($B35="","",SUMIFS(الإدخال!$N$5:$N$644,الإدخال!$D$5:$D$644,$B35))</f>
        <v/>
      </c>
      <c r="F35" s="124" t="str">
        <f>IF($B35="","",COUNTIFS(الإدخال!$D$5:$D$644,$B35,الإدخال!$F$5:$F$644,"غائب"))</f>
        <v/>
      </c>
      <c r="G35" s="124" t="str">
        <f>IF($B35="","",COUNTIFS(الإدخال!$D$5:$D$644,$B35,الإدخال!$F$5:$F$644,"معتذر"))</f>
        <v/>
      </c>
      <c r="H35" s="125" t="str">
        <f>IF($B35="","",IFERROR(E35/COUNTIFS(الإدخال!$D$5:$D$644,$B35,الإدخال!$F$5:$F$644,"&lt;&gt;"),""))</f>
        <v/>
      </c>
      <c r="I35" s="126" t="str">
        <f>IF($B35="","",IFERROR(SUMIFS(الإدخال!$O$5:$O$644,الإدخال!$D$5:$D$644,$B35)/SUMIFS(الإدخال!$P$5:$P$644,الإدخال!$D$5:$D$644,$B35)/100,""))</f>
        <v/>
      </c>
      <c r="J35" s="130" t="str">
        <f t="shared" si="0"/>
        <v/>
      </c>
      <c r="K35" s="124" t="str">
        <f>IF($B35="","",SUMIFS(الإدخال!$H$5:$H$644,الإدخال!$D$5:$D$644,$B35,الإدخال!$N$5:$N$644,1))</f>
        <v/>
      </c>
      <c r="L35" s="130" t="str">
        <f t="shared" si="1"/>
        <v/>
      </c>
      <c r="M35" s="132" t="str" cm="1">
        <f t="array" ref="M35">IFERROR(_xlfn.AGGREGATE(15,6,(ROW(الطلاب!$D$5:$D$44)-ROW(الطلاب!$D$5)+1)/(الطلاب!$D$5:$D$44=$C$3),ROWS(M$29:M35)),"")</f>
        <v/>
      </c>
    </row>
    <row r="36" spans="1:13">
      <c r="A36" s="24"/>
      <c r="B36" s="130" t="str" cm="1">
        <f t="array" ref="B36">IF($M36="","",INDEX(الطلاب!$A$5:$A$44,$M36))</f>
        <v/>
      </c>
      <c r="C36" s="131" t="str" cm="1">
        <f t="array" ref="C36">IF($M36="","",INDEX(الطلاب!$B$5:$B$44,$M36))</f>
        <v/>
      </c>
      <c r="D36" s="130" t="str" cm="1">
        <f t="array" ref="D36">IF($M36="","",INDEX(الطلاب!$C$5:$C$44,$M36))</f>
        <v/>
      </c>
      <c r="E36" s="124" t="str">
        <f>IF($B36="","",SUMIFS(الإدخال!$N$5:$N$644,الإدخال!$D$5:$D$644,$B36))</f>
        <v/>
      </c>
      <c r="F36" s="124" t="str">
        <f>IF($B36="","",COUNTIFS(الإدخال!$D$5:$D$644,$B36,الإدخال!$F$5:$F$644,"غائب"))</f>
        <v/>
      </c>
      <c r="G36" s="124" t="str">
        <f>IF($B36="","",COUNTIFS(الإدخال!$D$5:$D$644,$B36,الإدخال!$F$5:$F$644,"معتذر"))</f>
        <v/>
      </c>
      <c r="H36" s="125" t="str">
        <f>IF($B36="","",IFERROR(E36/COUNTIFS(الإدخال!$D$5:$D$644,$B36,الإدخال!$F$5:$F$644,"&lt;&gt;"),""))</f>
        <v/>
      </c>
      <c r="I36" s="126" t="str">
        <f>IF($B36="","",IFERROR(SUMIFS(الإدخال!$O$5:$O$644,الإدخال!$D$5:$D$644,$B36)/SUMIFS(الإدخال!$P$5:$P$644,الإدخال!$D$5:$D$644,$B36)/100,""))</f>
        <v/>
      </c>
      <c r="J36" s="130" t="str">
        <f t="shared" si="0"/>
        <v/>
      </c>
      <c r="K36" s="124" t="str">
        <f>IF($B36="","",SUMIFS(الإدخال!$H$5:$H$644,الإدخال!$D$5:$D$644,$B36,الإدخال!$N$5:$N$644,1))</f>
        <v/>
      </c>
      <c r="L36" s="130" t="str">
        <f t="shared" si="1"/>
        <v/>
      </c>
      <c r="M36" s="132" t="str" cm="1">
        <f t="array" ref="M36">IFERROR(_xlfn.AGGREGATE(15,6,(ROW(الطلاب!$D$5:$D$44)-ROW(الطلاب!$D$5)+1)/(الطلاب!$D$5:$D$44=$C$3),ROWS(M$29:M36)),"")</f>
        <v/>
      </c>
    </row>
    <row r="37" spans="1:13">
      <c r="A37" s="24"/>
      <c r="B37" s="130" t="str" cm="1">
        <f t="array" ref="B37">IF($M37="","",INDEX(الطلاب!$A$5:$A$44,$M37))</f>
        <v/>
      </c>
      <c r="C37" s="131" t="str" cm="1">
        <f t="array" ref="C37">IF($M37="","",INDEX(الطلاب!$B$5:$B$44,$M37))</f>
        <v/>
      </c>
      <c r="D37" s="130" t="str" cm="1">
        <f t="array" ref="D37">IF($M37="","",INDEX(الطلاب!$C$5:$C$44,$M37))</f>
        <v/>
      </c>
      <c r="E37" s="124" t="str">
        <f>IF($B37="","",SUMIFS(الإدخال!$N$5:$N$644,الإدخال!$D$5:$D$644,$B37))</f>
        <v/>
      </c>
      <c r="F37" s="124" t="str">
        <f>IF($B37="","",COUNTIFS(الإدخال!$D$5:$D$644,$B37,الإدخال!$F$5:$F$644,"غائب"))</f>
        <v/>
      </c>
      <c r="G37" s="124" t="str">
        <f>IF($B37="","",COUNTIFS(الإدخال!$D$5:$D$644,$B37,الإدخال!$F$5:$F$644,"معتذر"))</f>
        <v/>
      </c>
      <c r="H37" s="125" t="str">
        <f>IF($B37="","",IFERROR(E37/COUNTIFS(الإدخال!$D$5:$D$644,$B37,الإدخال!$F$5:$F$644,"&lt;&gt;"),""))</f>
        <v/>
      </c>
      <c r="I37" s="126" t="str">
        <f>IF($B37="","",IFERROR(SUMIFS(الإدخال!$O$5:$O$644,الإدخال!$D$5:$D$644,$B37)/SUMIFS(الإدخال!$P$5:$P$644,الإدخال!$D$5:$D$644,$B37)/100,""))</f>
        <v/>
      </c>
      <c r="J37" s="130" t="str">
        <f t="shared" si="0"/>
        <v/>
      </c>
      <c r="K37" s="124" t="str">
        <f>IF($B37="","",SUMIFS(الإدخال!$H$5:$H$644,الإدخال!$D$5:$D$644,$B37,الإدخال!$N$5:$N$644,1))</f>
        <v/>
      </c>
      <c r="L37" s="130" t="str">
        <f t="shared" si="1"/>
        <v/>
      </c>
      <c r="M37" s="132" t="str" cm="1">
        <f t="array" ref="M37">IFERROR(_xlfn.AGGREGATE(15,6,(ROW(الطلاب!$D$5:$D$44)-ROW(الطلاب!$D$5)+1)/(الطلاب!$D$5:$D$44=$C$3),ROWS(M$29:M37)),"")</f>
        <v/>
      </c>
    </row>
    <row r="38" spans="1:13">
      <c r="A38" s="24"/>
      <c r="B38" s="130" t="str" cm="1">
        <f t="array" ref="B38">IF($M38="","",INDEX(الطلاب!$A$5:$A$44,$M38))</f>
        <v/>
      </c>
      <c r="C38" s="131" t="str" cm="1">
        <f t="array" ref="C38">IF($M38="","",INDEX(الطلاب!$B$5:$B$44,$M38))</f>
        <v/>
      </c>
      <c r="D38" s="130" t="str" cm="1">
        <f t="array" ref="D38">IF($M38="","",INDEX(الطلاب!$C$5:$C$44,$M38))</f>
        <v/>
      </c>
      <c r="E38" s="124" t="str">
        <f>IF($B38="","",SUMIFS(الإدخال!$N$5:$N$644,الإدخال!$D$5:$D$644,$B38))</f>
        <v/>
      </c>
      <c r="F38" s="124" t="str">
        <f>IF($B38="","",COUNTIFS(الإدخال!$D$5:$D$644,$B38,الإدخال!$F$5:$F$644,"غائب"))</f>
        <v/>
      </c>
      <c r="G38" s="124" t="str">
        <f>IF($B38="","",COUNTIFS(الإدخال!$D$5:$D$644,$B38,الإدخال!$F$5:$F$644,"معتذر"))</f>
        <v/>
      </c>
      <c r="H38" s="125" t="str">
        <f>IF($B38="","",IFERROR(E38/COUNTIFS(الإدخال!$D$5:$D$644,$B38,الإدخال!$F$5:$F$644,"&lt;&gt;"),""))</f>
        <v/>
      </c>
      <c r="I38" s="126" t="str">
        <f>IF($B38="","",IFERROR(SUMIFS(الإدخال!$O$5:$O$644,الإدخال!$D$5:$D$644,$B38)/SUMIFS(الإدخال!$P$5:$P$644,الإدخال!$D$5:$D$644,$B38)/100,""))</f>
        <v/>
      </c>
      <c r="J38" s="130" t="str">
        <f t="shared" si="0"/>
        <v/>
      </c>
      <c r="K38" s="124" t="str">
        <f>IF($B38="","",SUMIFS(الإدخال!$H$5:$H$644,الإدخال!$D$5:$D$644,$B38,الإدخال!$N$5:$N$644,1))</f>
        <v/>
      </c>
      <c r="L38" s="130" t="str">
        <f t="shared" si="1"/>
        <v/>
      </c>
      <c r="M38" s="132" t="str" cm="1">
        <f t="array" ref="M38">IFERROR(_xlfn.AGGREGATE(15,6,(ROW(الطلاب!$D$5:$D$44)-ROW(الطلاب!$D$5)+1)/(الطلاب!$D$5:$D$44=$C$3),ROWS(M$29:M38)),"")</f>
        <v/>
      </c>
    </row>
    <row r="39" spans="1:13">
      <c r="A39" s="24"/>
      <c r="B39" s="130" t="str" cm="1">
        <f t="array" ref="B39">IF($M39="","",INDEX(الطلاب!$A$5:$A$44,$M39))</f>
        <v/>
      </c>
      <c r="C39" s="131" t="str" cm="1">
        <f t="array" ref="C39">IF($M39="","",INDEX(الطلاب!$B$5:$B$44,$M39))</f>
        <v/>
      </c>
      <c r="D39" s="130" t="str" cm="1">
        <f t="array" ref="D39">IF($M39="","",INDEX(الطلاب!$C$5:$C$44,$M39))</f>
        <v/>
      </c>
      <c r="E39" s="124" t="str">
        <f>IF($B39="","",SUMIFS(الإدخال!$N$5:$N$644,الإدخال!$D$5:$D$644,$B39))</f>
        <v/>
      </c>
      <c r="F39" s="124" t="str">
        <f>IF($B39="","",COUNTIFS(الإدخال!$D$5:$D$644,$B39,الإدخال!$F$5:$F$644,"غائب"))</f>
        <v/>
      </c>
      <c r="G39" s="124" t="str">
        <f>IF($B39="","",COUNTIFS(الإدخال!$D$5:$D$644,$B39,الإدخال!$F$5:$F$644,"معتذر"))</f>
        <v/>
      </c>
      <c r="H39" s="125" t="str">
        <f>IF($B39="","",IFERROR(E39/COUNTIFS(الإدخال!$D$5:$D$644,$B39,الإدخال!$F$5:$F$644,"&lt;&gt;"),""))</f>
        <v/>
      </c>
      <c r="I39" s="126" t="str">
        <f>IF($B39="","",IFERROR(SUMIFS(الإدخال!$O$5:$O$644,الإدخال!$D$5:$D$644,$B39)/SUMIFS(الإدخال!$P$5:$P$644,الإدخال!$D$5:$D$644,$B39)/100,""))</f>
        <v/>
      </c>
      <c r="J39" s="130" t="str">
        <f t="shared" si="0"/>
        <v/>
      </c>
      <c r="K39" s="124" t="str">
        <f>IF($B39="","",SUMIFS(الإدخال!$H$5:$H$644,الإدخال!$D$5:$D$644,$B39,الإدخال!$N$5:$N$644,1))</f>
        <v/>
      </c>
      <c r="L39" s="130" t="str">
        <f t="shared" si="1"/>
        <v/>
      </c>
      <c r="M39" s="132" t="str" cm="1">
        <f t="array" ref="M39">IFERROR(_xlfn.AGGREGATE(15,6,(ROW(الطلاب!$D$5:$D$44)-ROW(الطلاب!$D$5)+1)/(الطلاب!$D$5:$D$44=$C$3),ROWS(M$29:M39)),"")</f>
        <v/>
      </c>
    </row>
    <row r="40" spans="1:13">
      <c r="A40" s="24"/>
      <c r="B40" s="130" t="str" cm="1">
        <f t="array" ref="B40">IF($M40="","",INDEX(الطلاب!$A$5:$A$44,$M40))</f>
        <v/>
      </c>
      <c r="C40" s="131" t="str" cm="1">
        <f t="array" ref="C40">IF($M40="","",INDEX(الطلاب!$B$5:$B$44,$M40))</f>
        <v/>
      </c>
      <c r="D40" s="130" t="str" cm="1">
        <f t="array" ref="D40">IF($M40="","",INDEX(الطلاب!$C$5:$C$44,$M40))</f>
        <v/>
      </c>
      <c r="E40" s="124" t="str">
        <f>IF($B40="","",SUMIFS(الإدخال!$N$5:$N$644,الإدخال!$D$5:$D$644,$B40))</f>
        <v/>
      </c>
      <c r="F40" s="124" t="str">
        <f>IF($B40="","",COUNTIFS(الإدخال!$D$5:$D$644,$B40,الإدخال!$F$5:$F$644,"غائب"))</f>
        <v/>
      </c>
      <c r="G40" s="124" t="str">
        <f>IF($B40="","",COUNTIFS(الإدخال!$D$5:$D$644,$B40,الإدخال!$F$5:$F$644,"معتذر"))</f>
        <v/>
      </c>
      <c r="H40" s="125" t="str">
        <f>IF($B40="","",IFERROR(E40/COUNTIFS(الإدخال!$D$5:$D$644,$B40,الإدخال!$F$5:$F$644,"&lt;&gt;"),""))</f>
        <v/>
      </c>
      <c r="I40" s="126" t="str">
        <f>IF($B40="","",IFERROR(SUMIFS(الإدخال!$O$5:$O$644,الإدخال!$D$5:$D$644,$B40)/SUMIFS(الإدخال!$P$5:$P$644,الإدخال!$D$5:$D$644,$B40)/100,""))</f>
        <v/>
      </c>
      <c r="J40" s="130" t="str">
        <f t="shared" si="0"/>
        <v/>
      </c>
      <c r="K40" s="124" t="str">
        <f>IF($B40="","",SUMIFS(الإدخال!$H$5:$H$644,الإدخال!$D$5:$D$644,$B40,الإدخال!$N$5:$N$644,1))</f>
        <v/>
      </c>
      <c r="L40" s="130" t="str">
        <f t="shared" si="1"/>
        <v/>
      </c>
      <c r="M40" s="132" t="str" cm="1">
        <f t="array" ref="M40">IFERROR(_xlfn.AGGREGATE(15,6,(ROW(الطلاب!$D$5:$D$44)-ROW(الطلاب!$D$5)+1)/(الطلاب!$D$5:$D$44=$C$3),ROWS(M$29:M40)),"")</f>
        <v/>
      </c>
    </row>
    <row r="41" spans="1:13">
      <c r="A41" s="24"/>
      <c r="B41" s="130" t="str" cm="1">
        <f t="array" ref="B41">IF($M41="","",INDEX(الطلاب!$A$5:$A$44,$M41))</f>
        <v/>
      </c>
      <c r="C41" s="131" t="str" cm="1">
        <f t="array" ref="C41">IF($M41="","",INDEX(الطلاب!$B$5:$B$44,$M41))</f>
        <v/>
      </c>
      <c r="D41" s="130" t="str" cm="1">
        <f t="array" ref="D41">IF($M41="","",INDEX(الطلاب!$C$5:$C$44,$M41))</f>
        <v/>
      </c>
      <c r="E41" s="124" t="str">
        <f>IF($B41="","",SUMIFS(الإدخال!$N$5:$N$644,الإدخال!$D$5:$D$644,$B41))</f>
        <v/>
      </c>
      <c r="F41" s="124" t="str">
        <f>IF($B41="","",COUNTIFS(الإدخال!$D$5:$D$644,$B41,الإدخال!$F$5:$F$644,"غائب"))</f>
        <v/>
      </c>
      <c r="G41" s="124" t="str">
        <f>IF($B41="","",COUNTIFS(الإدخال!$D$5:$D$644,$B41,الإدخال!$F$5:$F$644,"معتذر"))</f>
        <v/>
      </c>
      <c r="H41" s="125" t="str">
        <f>IF($B41="","",IFERROR(E41/COUNTIFS(الإدخال!$D$5:$D$644,$B41,الإدخال!$F$5:$F$644,"&lt;&gt;"),""))</f>
        <v/>
      </c>
      <c r="I41" s="126" t="str">
        <f>IF($B41="","",IFERROR(SUMIFS(الإدخال!$O$5:$O$644,الإدخال!$D$5:$D$644,$B41)/SUMIFS(الإدخال!$P$5:$P$644,الإدخال!$D$5:$D$644,$B41)/100,""))</f>
        <v/>
      </c>
      <c r="J41" s="130" t="str">
        <f t="shared" si="0"/>
        <v/>
      </c>
      <c r="K41" s="124" t="str">
        <f>IF($B41="","",SUMIFS(الإدخال!$H$5:$H$644,الإدخال!$D$5:$D$644,$B41,الإدخال!$N$5:$N$644,1))</f>
        <v/>
      </c>
      <c r="L41" s="130" t="str">
        <f t="shared" si="1"/>
        <v/>
      </c>
      <c r="M41" s="132" t="str" cm="1">
        <f t="array" ref="M41">IFERROR(_xlfn.AGGREGATE(15,6,(ROW(الطلاب!$D$5:$D$44)-ROW(الطلاب!$D$5)+1)/(الطلاب!$D$5:$D$44=$C$3),ROWS(M$29:M41)),"")</f>
        <v/>
      </c>
    </row>
    <row r="42" spans="1:13">
      <c r="A42" s="24"/>
      <c r="B42" s="130" t="str" cm="1">
        <f t="array" ref="B42">IF($M42="","",INDEX(الطلاب!$A$5:$A$44,$M42))</f>
        <v/>
      </c>
      <c r="C42" s="131" t="str" cm="1">
        <f t="array" ref="C42">IF($M42="","",INDEX(الطلاب!$B$5:$B$44,$M42))</f>
        <v/>
      </c>
      <c r="D42" s="130" t="str" cm="1">
        <f t="array" ref="D42">IF($M42="","",INDEX(الطلاب!$C$5:$C$44,$M42))</f>
        <v/>
      </c>
      <c r="E42" s="124" t="str">
        <f>IF($B42="","",SUMIFS(الإدخال!$N$5:$N$644,الإدخال!$D$5:$D$644,$B42))</f>
        <v/>
      </c>
      <c r="F42" s="124" t="str">
        <f>IF($B42="","",COUNTIFS(الإدخال!$D$5:$D$644,$B42,الإدخال!$F$5:$F$644,"غائب"))</f>
        <v/>
      </c>
      <c r="G42" s="124" t="str">
        <f>IF($B42="","",COUNTIFS(الإدخال!$D$5:$D$644,$B42,الإدخال!$F$5:$F$644,"معتذر"))</f>
        <v/>
      </c>
      <c r="H42" s="125" t="str">
        <f>IF($B42="","",IFERROR(E42/COUNTIFS(الإدخال!$D$5:$D$644,$B42,الإدخال!$F$5:$F$644,"&lt;&gt;"),""))</f>
        <v/>
      </c>
      <c r="I42" s="126" t="str">
        <f>IF($B42="","",IFERROR(SUMIFS(الإدخال!$O$5:$O$644,الإدخال!$D$5:$D$644,$B42)/SUMIFS(الإدخال!$P$5:$P$644,الإدخال!$D$5:$D$644,$B42)/100,""))</f>
        <v/>
      </c>
      <c r="J42" s="130" t="str">
        <f t="shared" si="0"/>
        <v/>
      </c>
      <c r="K42" s="124" t="str">
        <f>IF($B42="","",SUMIFS(الإدخال!$H$5:$H$644,الإدخال!$D$5:$D$644,$B42,الإدخال!$N$5:$N$644,1))</f>
        <v/>
      </c>
      <c r="L42" s="130" t="str">
        <f t="shared" si="1"/>
        <v/>
      </c>
      <c r="M42" s="132" t="str" cm="1">
        <f t="array" ref="M42">IFERROR(_xlfn.AGGREGATE(15,6,(ROW(الطلاب!$D$5:$D$44)-ROW(الطلاب!$D$5)+1)/(الطلاب!$D$5:$D$44=$C$3),ROWS(M$29:M42)),"")</f>
        <v/>
      </c>
    </row>
    <row r="43" spans="1:13">
      <c r="A43" s="24"/>
      <c r="B43" s="130" t="str" cm="1">
        <f t="array" ref="B43">IF($M43="","",INDEX(الطلاب!$A$5:$A$44,$M43))</f>
        <v/>
      </c>
      <c r="C43" s="131" t="str" cm="1">
        <f t="array" ref="C43">IF($M43="","",INDEX(الطلاب!$B$5:$B$44,$M43))</f>
        <v/>
      </c>
      <c r="D43" s="130" t="str" cm="1">
        <f t="array" ref="D43">IF($M43="","",INDEX(الطلاب!$C$5:$C$44,$M43))</f>
        <v/>
      </c>
      <c r="E43" s="124" t="str">
        <f>IF($B43="","",SUMIFS(الإدخال!$N$5:$N$644,الإدخال!$D$5:$D$644,$B43))</f>
        <v/>
      </c>
      <c r="F43" s="124" t="str">
        <f>IF($B43="","",COUNTIFS(الإدخال!$D$5:$D$644,$B43,الإدخال!$F$5:$F$644,"غائب"))</f>
        <v/>
      </c>
      <c r="G43" s="124" t="str">
        <f>IF($B43="","",COUNTIFS(الإدخال!$D$5:$D$644,$B43,الإدخال!$F$5:$F$644,"معتذر"))</f>
        <v/>
      </c>
      <c r="H43" s="125" t="str">
        <f>IF($B43="","",IFERROR(E43/COUNTIFS(الإدخال!$D$5:$D$644,$B43,الإدخال!$F$5:$F$644,"&lt;&gt;"),""))</f>
        <v/>
      </c>
      <c r="I43" s="126" t="str">
        <f>IF($B43="","",IFERROR(SUMIFS(الإدخال!$O$5:$O$644,الإدخال!$D$5:$D$644,$B43)/SUMIFS(الإدخال!$P$5:$P$644,الإدخال!$D$5:$D$644,$B43)/100,""))</f>
        <v/>
      </c>
      <c r="J43" s="130" t="str">
        <f t="shared" si="0"/>
        <v/>
      </c>
      <c r="K43" s="124" t="str">
        <f>IF($B43="","",SUMIFS(الإدخال!$H$5:$H$644,الإدخال!$D$5:$D$644,$B43,الإدخال!$N$5:$N$644,1))</f>
        <v/>
      </c>
      <c r="L43" s="130" t="str">
        <f t="shared" si="1"/>
        <v/>
      </c>
      <c r="M43" s="132" t="str" cm="1">
        <f t="array" ref="M43">IFERROR(_xlfn.AGGREGATE(15,6,(ROW(الطلاب!$D$5:$D$44)-ROW(الطلاب!$D$5)+1)/(الطلاب!$D$5:$D$44=$C$3),ROWS(M$29:M43)),"")</f>
        <v/>
      </c>
    </row>
    <row r="44" spans="1:13">
      <c r="A44" s="24"/>
      <c r="B44" s="130" t="str" cm="1">
        <f t="array" ref="B44">IF($M44="","",INDEX(الطلاب!$A$5:$A$44,$M44))</f>
        <v/>
      </c>
      <c r="C44" s="131" t="str" cm="1">
        <f t="array" ref="C44">IF($M44="","",INDEX(الطلاب!$B$5:$B$44,$M44))</f>
        <v/>
      </c>
      <c r="D44" s="130" t="str" cm="1">
        <f t="array" ref="D44">IF($M44="","",INDEX(الطلاب!$C$5:$C$44,$M44))</f>
        <v/>
      </c>
      <c r="E44" s="124" t="str">
        <f>IF($B44="","",SUMIFS(الإدخال!$N$5:$N$644,الإدخال!$D$5:$D$644,$B44))</f>
        <v/>
      </c>
      <c r="F44" s="124" t="str">
        <f>IF($B44="","",COUNTIFS(الإدخال!$D$5:$D$644,$B44,الإدخال!$F$5:$F$644,"غائب"))</f>
        <v/>
      </c>
      <c r="G44" s="124" t="str">
        <f>IF($B44="","",COUNTIFS(الإدخال!$D$5:$D$644,$B44,الإدخال!$F$5:$F$644,"معتذر"))</f>
        <v/>
      </c>
      <c r="H44" s="125" t="str">
        <f>IF($B44="","",IFERROR(E44/COUNTIFS(الإدخال!$D$5:$D$644,$B44,الإدخال!$F$5:$F$644,"&lt;&gt;"),""))</f>
        <v/>
      </c>
      <c r="I44" s="126" t="str">
        <f>IF($B44="","",IFERROR(SUMIFS(الإدخال!$O$5:$O$644,الإدخال!$D$5:$D$644,$B44)/SUMIFS(الإدخال!$P$5:$P$644,الإدخال!$D$5:$D$644,$B44)/100,""))</f>
        <v/>
      </c>
      <c r="J44" s="130" t="str">
        <f t="shared" si="0"/>
        <v/>
      </c>
      <c r="K44" s="124" t="str">
        <f>IF($B44="","",SUMIFS(الإدخال!$H$5:$H$644,الإدخال!$D$5:$D$644,$B44,الإدخال!$N$5:$N$644,1))</f>
        <v/>
      </c>
      <c r="L44" s="130" t="str">
        <f t="shared" si="1"/>
        <v/>
      </c>
      <c r="M44" s="132" t="str" cm="1">
        <f t="array" ref="M44">IFERROR(_xlfn.AGGREGATE(15,6,(ROW(الطلاب!$D$5:$D$44)-ROW(الطلاب!$D$5)+1)/(الطلاب!$D$5:$D$44=$C$3),ROWS(M$29:M44)),"")</f>
        <v/>
      </c>
    </row>
    <row r="45" spans="1:13">
      <c r="A45" s="24"/>
      <c r="B45" s="130" t="str" cm="1">
        <f t="array" ref="B45">IF($M45="","",INDEX(الطلاب!$A$5:$A$44,$M45))</f>
        <v/>
      </c>
      <c r="C45" s="131" t="str" cm="1">
        <f t="array" ref="C45">IF($M45="","",INDEX(الطلاب!$B$5:$B$44,$M45))</f>
        <v/>
      </c>
      <c r="D45" s="130" t="str" cm="1">
        <f t="array" ref="D45">IF($M45="","",INDEX(الطلاب!$C$5:$C$44,$M45))</f>
        <v/>
      </c>
      <c r="E45" s="124" t="str">
        <f>IF($B45="","",SUMIFS(الإدخال!$N$5:$N$644,الإدخال!$D$5:$D$644,$B45))</f>
        <v/>
      </c>
      <c r="F45" s="124" t="str">
        <f>IF($B45="","",COUNTIFS(الإدخال!$D$5:$D$644,$B45,الإدخال!$F$5:$F$644,"غائب"))</f>
        <v/>
      </c>
      <c r="G45" s="124" t="str">
        <f>IF($B45="","",COUNTIFS(الإدخال!$D$5:$D$644,$B45,الإدخال!$F$5:$F$644,"معتذر"))</f>
        <v/>
      </c>
      <c r="H45" s="125" t="str">
        <f>IF($B45="","",IFERROR(E45/COUNTIFS(الإدخال!$D$5:$D$644,$B45,الإدخال!$F$5:$F$644,"&lt;&gt;"),""))</f>
        <v/>
      </c>
      <c r="I45" s="126" t="str">
        <f>IF($B45="","",IFERROR(SUMIFS(الإدخال!$O$5:$O$644,الإدخال!$D$5:$D$644,$B45)/SUMIFS(الإدخال!$P$5:$P$644,الإدخال!$D$5:$D$644,$B45)/100,""))</f>
        <v/>
      </c>
      <c r="J45" s="130" t="str">
        <f t="shared" si="0"/>
        <v/>
      </c>
      <c r="K45" s="124" t="str">
        <f>IF($B45="","",SUMIFS(الإدخال!$H$5:$H$644,الإدخال!$D$5:$D$644,$B45,الإدخال!$N$5:$N$644,1))</f>
        <v/>
      </c>
      <c r="L45" s="130" t="str">
        <f t="shared" si="1"/>
        <v/>
      </c>
      <c r="M45" s="132" t="str" cm="1">
        <f t="array" ref="M45">IFERROR(_xlfn.AGGREGATE(15,6,(ROW(الطلاب!$D$5:$D$44)-ROW(الطلاب!$D$5)+1)/(الطلاب!$D$5:$D$44=$C$3),ROWS(M$29:M45)),"")</f>
        <v/>
      </c>
    </row>
    <row r="46" spans="1:13">
      <c r="A46" s="24"/>
      <c r="B46" s="130" t="str" cm="1">
        <f t="array" ref="B46">IF($M46="","",INDEX(الطلاب!$A$5:$A$44,$M46))</f>
        <v/>
      </c>
      <c r="C46" s="131" t="str" cm="1">
        <f t="array" ref="C46">IF($M46="","",INDEX(الطلاب!$B$5:$B$44,$M46))</f>
        <v/>
      </c>
      <c r="D46" s="130" t="str" cm="1">
        <f t="array" ref="D46">IF($M46="","",INDEX(الطلاب!$C$5:$C$44,$M46))</f>
        <v/>
      </c>
      <c r="E46" s="124" t="str">
        <f>IF($B46="","",SUMIFS(الإدخال!$N$5:$N$644,الإدخال!$D$5:$D$644,$B46))</f>
        <v/>
      </c>
      <c r="F46" s="124" t="str">
        <f>IF($B46="","",COUNTIFS(الإدخال!$D$5:$D$644,$B46,الإدخال!$F$5:$F$644,"غائب"))</f>
        <v/>
      </c>
      <c r="G46" s="124" t="str">
        <f>IF($B46="","",COUNTIFS(الإدخال!$D$5:$D$644,$B46,الإدخال!$F$5:$F$644,"معتذر"))</f>
        <v/>
      </c>
      <c r="H46" s="125" t="str">
        <f>IF($B46="","",IFERROR(E46/COUNTIFS(الإدخال!$D$5:$D$644,$B46,الإدخال!$F$5:$F$644,"&lt;&gt;"),""))</f>
        <v/>
      </c>
      <c r="I46" s="126" t="str">
        <f>IF($B46="","",IFERROR(SUMIFS(الإدخال!$O$5:$O$644,الإدخال!$D$5:$D$644,$B46)/SUMIFS(الإدخال!$P$5:$P$644,الإدخال!$D$5:$D$644,$B46)/100,""))</f>
        <v/>
      </c>
      <c r="J46" s="130" t="str">
        <f t="shared" si="0"/>
        <v/>
      </c>
      <c r="K46" s="124" t="str">
        <f>IF($B46="","",SUMIFS(الإدخال!$H$5:$H$644,الإدخال!$D$5:$D$644,$B46,الإدخال!$N$5:$N$644,1))</f>
        <v/>
      </c>
      <c r="L46" s="130" t="str">
        <f t="shared" si="1"/>
        <v/>
      </c>
      <c r="M46" s="132" t="str" cm="1">
        <f t="array" ref="M46">IFERROR(_xlfn.AGGREGATE(15,6,(ROW(الطلاب!$D$5:$D$44)-ROW(الطلاب!$D$5)+1)/(الطلاب!$D$5:$D$44=$C$3),ROWS(M$29:M46)),"")</f>
        <v/>
      </c>
    </row>
    <row r="47" spans="1:13">
      <c r="A47" s="24"/>
      <c r="B47" s="130" t="str" cm="1">
        <f t="array" ref="B47">IF($M47="","",INDEX(الطلاب!$A$5:$A$44,$M47))</f>
        <v/>
      </c>
      <c r="C47" s="131" t="str" cm="1">
        <f t="array" ref="C47">IF($M47="","",INDEX(الطلاب!$B$5:$B$44,$M47))</f>
        <v/>
      </c>
      <c r="D47" s="130" t="str" cm="1">
        <f t="array" ref="D47">IF($M47="","",INDEX(الطلاب!$C$5:$C$44,$M47))</f>
        <v/>
      </c>
      <c r="E47" s="124" t="str">
        <f>IF($B47="","",SUMIFS(الإدخال!$N$5:$N$644,الإدخال!$D$5:$D$644,$B47))</f>
        <v/>
      </c>
      <c r="F47" s="124" t="str">
        <f>IF($B47="","",COUNTIFS(الإدخال!$D$5:$D$644,$B47,الإدخال!$F$5:$F$644,"غائب"))</f>
        <v/>
      </c>
      <c r="G47" s="124" t="str">
        <f>IF($B47="","",COUNTIFS(الإدخال!$D$5:$D$644,$B47,الإدخال!$F$5:$F$644,"معتذر"))</f>
        <v/>
      </c>
      <c r="H47" s="125" t="str">
        <f>IF($B47="","",IFERROR(E47/COUNTIFS(الإدخال!$D$5:$D$644,$B47,الإدخال!$F$5:$F$644,"&lt;&gt;"),""))</f>
        <v/>
      </c>
      <c r="I47" s="126" t="str">
        <f>IF($B47="","",IFERROR(SUMIFS(الإدخال!$O$5:$O$644,الإدخال!$D$5:$D$644,$B47)/SUMIFS(الإدخال!$P$5:$P$644,الإدخال!$D$5:$D$644,$B47)/100,""))</f>
        <v/>
      </c>
      <c r="J47" s="130" t="str">
        <f t="shared" si="0"/>
        <v/>
      </c>
      <c r="K47" s="124" t="str">
        <f>IF($B47="","",SUMIFS(الإدخال!$H$5:$H$644,الإدخال!$D$5:$D$644,$B47,الإدخال!$N$5:$N$644,1))</f>
        <v/>
      </c>
      <c r="L47" s="130" t="str">
        <f t="shared" si="1"/>
        <v/>
      </c>
      <c r="M47" s="132" t="str" cm="1">
        <f t="array" ref="M47">IFERROR(_xlfn.AGGREGATE(15,6,(ROW(الطلاب!$D$5:$D$44)-ROW(الطلاب!$D$5)+1)/(الطلاب!$D$5:$D$44=$C$3),ROWS(M$29:M47)),"")</f>
        <v/>
      </c>
    </row>
    <row r="48" spans="1:13">
      <c r="A48" s="24"/>
      <c r="B48" s="130" t="str" cm="1">
        <f t="array" ref="B48">IF($M48="","",INDEX(الطلاب!$A$5:$A$44,$M48))</f>
        <v/>
      </c>
      <c r="C48" s="131" t="str" cm="1">
        <f t="array" ref="C48">IF($M48="","",INDEX(الطلاب!$B$5:$B$44,$M48))</f>
        <v/>
      </c>
      <c r="D48" s="130" t="str" cm="1">
        <f t="array" ref="D48">IF($M48="","",INDEX(الطلاب!$C$5:$C$44,$M48))</f>
        <v/>
      </c>
      <c r="E48" s="124" t="str">
        <f>IF($B48="","",SUMIFS(الإدخال!$N$5:$N$644,الإدخال!$D$5:$D$644,$B48))</f>
        <v/>
      </c>
      <c r="F48" s="124" t="str">
        <f>IF($B48="","",COUNTIFS(الإدخال!$D$5:$D$644,$B48,الإدخال!$F$5:$F$644,"غائب"))</f>
        <v/>
      </c>
      <c r="G48" s="124" t="str">
        <f>IF($B48="","",COUNTIFS(الإدخال!$D$5:$D$644,$B48,الإدخال!$F$5:$F$644,"معتذر"))</f>
        <v/>
      </c>
      <c r="H48" s="125" t="str">
        <f>IF($B48="","",IFERROR(E48/COUNTIFS(الإدخال!$D$5:$D$644,$B48,الإدخال!$F$5:$F$644,"&lt;&gt;"),""))</f>
        <v/>
      </c>
      <c r="I48" s="126" t="str">
        <f>IF($B48="","",IFERROR(SUMIFS(الإدخال!$O$5:$O$644,الإدخال!$D$5:$D$644,$B48)/SUMIFS(الإدخال!$P$5:$P$644,الإدخال!$D$5:$D$644,$B48)/100,""))</f>
        <v/>
      </c>
      <c r="J48" s="130" t="str">
        <f t="shared" si="0"/>
        <v/>
      </c>
      <c r="K48" s="124" t="str">
        <f>IF($B48="","",SUMIFS(الإدخال!$H$5:$H$644,الإدخال!$D$5:$D$644,$B48,الإدخال!$N$5:$N$644,1))</f>
        <v/>
      </c>
      <c r="L48" s="130" t="str">
        <f t="shared" si="1"/>
        <v/>
      </c>
      <c r="M48" s="132" t="str" cm="1">
        <f t="array" ref="M48">IFERROR(_xlfn.AGGREGATE(15,6,(ROW(الطلاب!$D$5:$D$44)-ROW(الطلاب!$D$5)+1)/(الطلاب!$D$5:$D$44=$C$3),ROWS(M$29:M48)),"")</f>
        <v/>
      </c>
    </row>
    <row r="49" spans="1:13">
      <c r="A49" s="24"/>
      <c r="B49" s="130" t="str" cm="1">
        <f t="array" ref="B49">IF($M49="","",INDEX(الطلاب!$A$5:$A$44,$M49))</f>
        <v/>
      </c>
      <c r="C49" s="131" t="str" cm="1">
        <f t="array" ref="C49">IF($M49="","",INDEX(الطلاب!$B$5:$B$44,$M49))</f>
        <v/>
      </c>
      <c r="D49" s="130" t="str" cm="1">
        <f t="array" ref="D49">IF($M49="","",INDEX(الطلاب!$C$5:$C$44,$M49))</f>
        <v/>
      </c>
      <c r="E49" s="124" t="str">
        <f>IF($B49="","",SUMIFS(الإدخال!$N$5:$N$644,الإدخال!$D$5:$D$644,$B49))</f>
        <v/>
      </c>
      <c r="F49" s="124" t="str">
        <f>IF($B49="","",COUNTIFS(الإدخال!$D$5:$D$644,$B49,الإدخال!$F$5:$F$644,"غائب"))</f>
        <v/>
      </c>
      <c r="G49" s="124" t="str">
        <f>IF($B49="","",COUNTIFS(الإدخال!$D$5:$D$644,$B49,الإدخال!$F$5:$F$644,"معتذر"))</f>
        <v/>
      </c>
      <c r="H49" s="125" t="str">
        <f>IF($B49="","",IFERROR(E49/COUNTIFS(الإدخال!$D$5:$D$644,$B49,الإدخال!$F$5:$F$644,"&lt;&gt;"),""))</f>
        <v/>
      </c>
      <c r="I49" s="126" t="str">
        <f>IF($B49="","",IFERROR(SUMIFS(الإدخال!$O$5:$O$644,الإدخال!$D$5:$D$644,$B49)/SUMIFS(الإدخال!$P$5:$P$644,الإدخال!$D$5:$D$644,$B49)/100,""))</f>
        <v/>
      </c>
      <c r="J49" s="130" t="str">
        <f t="shared" si="0"/>
        <v/>
      </c>
      <c r="K49" s="124" t="str">
        <f>IF($B49="","",SUMIFS(الإدخال!$H$5:$H$644,الإدخال!$D$5:$D$644,$B49,الإدخال!$N$5:$N$644,1))</f>
        <v/>
      </c>
      <c r="L49" s="130" t="str">
        <f t="shared" si="1"/>
        <v/>
      </c>
      <c r="M49" s="132" t="str" cm="1">
        <f t="array" ref="M49">IFERROR(_xlfn.AGGREGATE(15,6,(ROW(الطلاب!$D$5:$D$44)-ROW(الطلاب!$D$5)+1)/(الطلاب!$D$5:$D$44=$C$3),ROWS(M$29:M49)),"")</f>
        <v/>
      </c>
    </row>
    <row r="50" spans="1:13">
      <c r="A50" s="24"/>
      <c r="B50" s="130" t="str" cm="1">
        <f t="array" ref="B50">IF($M50="","",INDEX(الطلاب!$A$5:$A$44,$M50))</f>
        <v/>
      </c>
      <c r="C50" s="131" t="str" cm="1">
        <f t="array" ref="C50">IF($M50="","",INDEX(الطلاب!$B$5:$B$44,$M50))</f>
        <v/>
      </c>
      <c r="D50" s="130" t="str" cm="1">
        <f t="array" ref="D50">IF($M50="","",INDEX(الطلاب!$C$5:$C$44,$M50))</f>
        <v/>
      </c>
      <c r="E50" s="124" t="str">
        <f>IF($B50="","",SUMIFS(الإدخال!$N$5:$N$644,الإدخال!$D$5:$D$644,$B50))</f>
        <v/>
      </c>
      <c r="F50" s="124" t="str">
        <f>IF($B50="","",COUNTIFS(الإدخال!$D$5:$D$644,$B50,الإدخال!$F$5:$F$644,"غائب"))</f>
        <v/>
      </c>
      <c r="G50" s="124" t="str">
        <f>IF($B50="","",COUNTIFS(الإدخال!$D$5:$D$644,$B50,الإدخال!$F$5:$F$644,"معتذر"))</f>
        <v/>
      </c>
      <c r="H50" s="125" t="str">
        <f>IF($B50="","",IFERROR(E50/COUNTIFS(الإدخال!$D$5:$D$644,$B50,الإدخال!$F$5:$F$644,"&lt;&gt;"),""))</f>
        <v/>
      </c>
      <c r="I50" s="126" t="str">
        <f>IF($B50="","",IFERROR(SUMIFS(الإدخال!$O$5:$O$644,الإدخال!$D$5:$D$644,$B50)/SUMIFS(الإدخال!$P$5:$P$644,الإدخال!$D$5:$D$644,$B50)/100,""))</f>
        <v/>
      </c>
      <c r="J50" s="130" t="str">
        <f t="shared" si="0"/>
        <v/>
      </c>
      <c r="K50" s="124" t="str">
        <f>IF($B50="","",SUMIFS(الإدخال!$H$5:$H$644,الإدخال!$D$5:$D$644,$B50,الإدخال!$N$5:$N$644,1))</f>
        <v/>
      </c>
      <c r="L50" s="130" t="str">
        <f t="shared" si="1"/>
        <v/>
      </c>
      <c r="M50" s="132" t="str" cm="1">
        <f t="array" ref="M50">IFERROR(_xlfn.AGGREGATE(15,6,(ROW(الطلاب!$D$5:$D$44)-ROW(الطلاب!$D$5)+1)/(الطلاب!$D$5:$D$44=$C$3),ROWS(M$29:M50)),"")</f>
        <v/>
      </c>
    </row>
    <row r="51" spans="1:13">
      <c r="A51" s="24"/>
      <c r="B51" s="130" t="str" cm="1">
        <f t="array" ref="B51">IF($M51="","",INDEX(الطلاب!$A$5:$A$44,$M51))</f>
        <v/>
      </c>
      <c r="C51" s="131" t="str" cm="1">
        <f t="array" ref="C51">IF($M51="","",INDEX(الطلاب!$B$5:$B$44,$M51))</f>
        <v/>
      </c>
      <c r="D51" s="130" t="str" cm="1">
        <f t="array" ref="D51">IF($M51="","",INDEX(الطلاب!$C$5:$C$44,$M51))</f>
        <v/>
      </c>
      <c r="E51" s="124" t="str">
        <f>IF($B51="","",SUMIFS(الإدخال!$N$5:$N$644,الإدخال!$D$5:$D$644,$B51))</f>
        <v/>
      </c>
      <c r="F51" s="124" t="str">
        <f>IF($B51="","",COUNTIFS(الإدخال!$D$5:$D$644,$B51,الإدخال!$F$5:$F$644,"غائب"))</f>
        <v/>
      </c>
      <c r="G51" s="124" t="str">
        <f>IF($B51="","",COUNTIFS(الإدخال!$D$5:$D$644,$B51,الإدخال!$F$5:$F$644,"معتذر"))</f>
        <v/>
      </c>
      <c r="H51" s="125" t="str">
        <f>IF($B51="","",IFERROR(E51/COUNTIFS(الإدخال!$D$5:$D$644,$B51,الإدخال!$F$5:$F$644,"&lt;&gt;"),""))</f>
        <v/>
      </c>
      <c r="I51" s="126" t="str">
        <f>IF($B51="","",IFERROR(SUMIFS(الإدخال!$O$5:$O$644,الإدخال!$D$5:$D$644,$B51)/SUMIFS(الإدخال!$P$5:$P$644,الإدخال!$D$5:$D$644,$B51)/100,""))</f>
        <v/>
      </c>
      <c r="J51" s="130" t="str">
        <f t="shared" si="0"/>
        <v/>
      </c>
      <c r="K51" s="124" t="str">
        <f>IF($B51="","",SUMIFS(الإدخال!$H$5:$H$644,الإدخال!$D$5:$D$644,$B51,الإدخال!$N$5:$N$644,1))</f>
        <v/>
      </c>
      <c r="L51" s="130" t="str">
        <f t="shared" si="1"/>
        <v/>
      </c>
      <c r="M51" s="132" t="str" cm="1">
        <f t="array" ref="M51">IFERROR(_xlfn.AGGREGATE(15,6,(ROW(الطلاب!$D$5:$D$44)-ROW(الطلاب!$D$5)+1)/(الطلاب!$D$5:$D$44=$C$3),ROWS(M$29:M51)),"")</f>
        <v/>
      </c>
    </row>
    <row r="52" spans="1:13">
      <c r="A52" s="24"/>
      <c r="B52" s="130" t="str" cm="1">
        <f t="array" ref="B52">IF($M52="","",INDEX(الطلاب!$A$5:$A$44,$M52))</f>
        <v/>
      </c>
      <c r="C52" s="131" t="str" cm="1">
        <f t="array" ref="C52">IF($M52="","",INDEX(الطلاب!$B$5:$B$44,$M52))</f>
        <v/>
      </c>
      <c r="D52" s="130" t="str" cm="1">
        <f t="array" ref="D52">IF($M52="","",INDEX(الطلاب!$C$5:$C$44,$M52))</f>
        <v/>
      </c>
      <c r="E52" s="124" t="str">
        <f>IF($B52="","",SUMIFS(الإدخال!$N$5:$N$644,الإدخال!$D$5:$D$644,$B52))</f>
        <v/>
      </c>
      <c r="F52" s="124" t="str">
        <f>IF($B52="","",COUNTIFS(الإدخال!$D$5:$D$644,$B52,الإدخال!$F$5:$F$644,"غائب"))</f>
        <v/>
      </c>
      <c r="G52" s="124" t="str">
        <f>IF($B52="","",COUNTIFS(الإدخال!$D$5:$D$644,$B52,الإدخال!$F$5:$F$644,"معتذر"))</f>
        <v/>
      </c>
      <c r="H52" s="125" t="str">
        <f>IF($B52="","",IFERROR(E52/COUNTIFS(الإدخال!$D$5:$D$644,$B52,الإدخال!$F$5:$F$644,"&lt;&gt;"),""))</f>
        <v/>
      </c>
      <c r="I52" s="126" t="str">
        <f>IF($B52="","",IFERROR(SUMIFS(الإدخال!$O$5:$O$644,الإدخال!$D$5:$D$644,$B52)/SUMIFS(الإدخال!$P$5:$P$644,الإدخال!$D$5:$D$644,$B52)/100,""))</f>
        <v/>
      </c>
      <c r="J52" s="130" t="str">
        <f t="shared" si="0"/>
        <v/>
      </c>
      <c r="K52" s="124" t="str">
        <f>IF($B52="","",SUMIFS(الإدخال!$H$5:$H$644,الإدخال!$D$5:$D$644,$B52,الإدخال!$N$5:$N$644,1))</f>
        <v/>
      </c>
      <c r="L52" s="130" t="str">
        <f t="shared" si="1"/>
        <v/>
      </c>
      <c r="M52" s="132" t="str" cm="1">
        <f t="array" ref="M52">IFERROR(_xlfn.AGGREGATE(15,6,(ROW(الطلاب!$D$5:$D$44)-ROW(الطلاب!$D$5)+1)/(الطلاب!$D$5:$D$44=$C$3),ROWS(M$29:M52)),"")</f>
        <v/>
      </c>
    </row>
    <row r="53" spans="1:13">
      <c r="A53" s="24"/>
      <c r="B53" s="130" t="str" cm="1">
        <f t="array" ref="B53">IF($M53="","",INDEX(الطلاب!$A$5:$A$44,$M53))</f>
        <v/>
      </c>
      <c r="C53" s="131" t="str" cm="1">
        <f t="array" ref="C53">IF($M53="","",INDEX(الطلاب!$B$5:$B$44,$M53))</f>
        <v/>
      </c>
      <c r="D53" s="130" t="str" cm="1">
        <f t="array" ref="D53">IF($M53="","",INDEX(الطلاب!$C$5:$C$44,$M53))</f>
        <v/>
      </c>
      <c r="E53" s="124" t="str">
        <f>IF($B53="","",SUMIFS(الإدخال!$N$5:$N$644,الإدخال!$D$5:$D$644,$B53))</f>
        <v/>
      </c>
      <c r="F53" s="124" t="str">
        <f>IF($B53="","",COUNTIFS(الإدخال!$D$5:$D$644,$B53,الإدخال!$F$5:$F$644,"غائب"))</f>
        <v/>
      </c>
      <c r="G53" s="124" t="str">
        <f>IF($B53="","",COUNTIFS(الإدخال!$D$5:$D$644,$B53,الإدخال!$F$5:$F$644,"معتذر"))</f>
        <v/>
      </c>
      <c r="H53" s="125" t="str">
        <f>IF($B53="","",IFERROR(E53/COUNTIFS(الإدخال!$D$5:$D$644,$B53,الإدخال!$F$5:$F$644,"&lt;&gt;"),""))</f>
        <v/>
      </c>
      <c r="I53" s="126" t="str">
        <f>IF($B53="","",IFERROR(SUMIFS(الإدخال!$O$5:$O$644,الإدخال!$D$5:$D$644,$B53)/SUMIFS(الإدخال!$P$5:$P$644,الإدخال!$D$5:$D$644,$B53)/100,""))</f>
        <v/>
      </c>
      <c r="J53" s="130" t="str">
        <f t="shared" si="0"/>
        <v/>
      </c>
      <c r="K53" s="124" t="str">
        <f>IF($B53="","",SUMIFS(الإدخال!$H$5:$H$644,الإدخال!$D$5:$D$644,$B53,الإدخال!$N$5:$N$644,1))</f>
        <v/>
      </c>
      <c r="L53" s="130" t="str">
        <f t="shared" si="1"/>
        <v/>
      </c>
      <c r="M53" s="132" t="str" cm="1">
        <f t="array" ref="M53">IFERROR(_xlfn.AGGREGATE(15,6,(ROW(الطلاب!$D$5:$D$44)-ROW(الطلاب!$D$5)+1)/(الطلاب!$D$5:$D$44=$C$3),ROWS(M$29:M53)),"")</f>
        <v/>
      </c>
    </row>
    <row r="54" spans="1:13">
      <c r="A54" s="24"/>
      <c r="B54" s="130" t="str" cm="1">
        <f t="array" ref="B54">IF($M54="","",INDEX(الطلاب!$A$5:$A$44,$M54))</f>
        <v/>
      </c>
      <c r="C54" s="131" t="str" cm="1">
        <f t="array" ref="C54">IF($M54="","",INDEX(الطلاب!$B$5:$B$44,$M54))</f>
        <v/>
      </c>
      <c r="D54" s="130" t="str" cm="1">
        <f t="array" ref="D54">IF($M54="","",INDEX(الطلاب!$C$5:$C$44,$M54))</f>
        <v/>
      </c>
      <c r="E54" s="124" t="str">
        <f>IF($B54="","",SUMIFS(الإدخال!$N$5:$N$644,الإدخال!$D$5:$D$644,$B54))</f>
        <v/>
      </c>
      <c r="F54" s="124" t="str">
        <f>IF($B54="","",COUNTIFS(الإدخال!$D$5:$D$644,$B54,الإدخال!$F$5:$F$644,"غائب"))</f>
        <v/>
      </c>
      <c r="G54" s="124" t="str">
        <f>IF($B54="","",COUNTIFS(الإدخال!$D$5:$D$644,$B54,الإدخال!$F$5:$F$644,"معتذر"))</f>
        <v/>
      </c>
      <c r="H54" s="125" t="str">
        <f>IF($B54="","",IFERROR(E54/COUNTIFS(الإدخال!$D$5:$D$644,$B54,الإدخال!$F$5:$F$644,"&lt;&gt;"),""))</f>
        <v/>
      </c>
      <c r="I54" s="126" t="str">
        <f>IF($B54="","",IFERROR(SUMIFS(الإدخال!$O$5:$O$644,الإدخال!$D$5:$D$644,$B54)/SUMIFS(الإدخال!$P$5:$P$644,الإدخال!$D$5:$D$644,$B54)/100,""))</f>
        <v/>
      </c>
      <c r="J54" s="130" t="str">
        <f t="shared" si="0"/>
        <v/>
      </c>
      <c r="K54" s="124" t="str">
        <f>IF($B54="","",SUMIFS(الإدخال!$H$5:$H$644,الإدخال!$D$5:$D$644,$B54,الإدخال!$N$5:$N$644,1))</f>
        <v/>
      </c>
      <c r="L54" s="130" t="str">
        <f t="shared" si="1"/>
        <v/>
      </c>
      <c r="M54" s="132" t="str" cm="1">
        <f t="array" ref="M54">IFERROR(_xlfn.AGGREGATE(15,6,(ROW(الطلاب!$D$5:$D$44)-ROW(الطلاب!$D$5)+1)/(الطلاب!$D$5:$D$44=$C$3),ROWS(M$29:M54)),"")</f>
        <v/>
      </c>
    </row>
    <row r="55" spans="1:13">
      <c r="A55" s="24"/>
      <c r="B55" s="130" t="str" cm="1">
        <f t="array" ref="B55">IF($M55="","",INDEX(الطلاب!$A$5:$A$44,$M55))</f>
        <v/>
      </c>
      <c r="C55" s="131" t="str" cm="1">
        <f t="array" ref="C55">IF($M55="","",INDEX(الطلاب!$B$5:$B$44,$M55))</f>
        <v/>
      </c>
      <c r="D55" s="130" t="str" cm="1">
        <f t="array" ref="D55">IF($M55="","",INDEX(الطلاب!$C$5:$C$44,$M55))</f>
        <v/>
      </c>
      <c r="E55" s="124" t="str">
        <f>IF($B55="","",SUMIFS(الإدخال!$N$5:$N$644,الإدخال!$D$5:$D$644,$B55))</f>
        <v/>
      </c>
      <c r="F55" s="124" t="str">
        <f>IF($B55="","",COUNTIFS(الإدخال!$D$5:$D$644,$B55,الإدخال!$F$5:$F$644,"غائب"))</f>
        <v/>
      </c>
      <c r="G55" s="124" t="str">
        <f>IF($B55="","",COUNTIFS(الإدخال!$D$5:$D$644,$B55,الإدخال!$F$5:$F$644,"معتذر"))</f>
        <v/>
      </c>
      <c r="H55" s="125" t="str">
        <f>IF($B55="","",IFERROR(E55/COUNTIFS(الإدخال!$D$5:$D$644,$B55,الإدخال!$F$5:$F$644,"&lt;&gt;"),""))</f>
        <v/>
      </c>
      <c r="I55" s="126" t="str">
        <f>IF($B55="","",IFERROR(SUMIFS(الإدخال!$O$5:$O$644,الإدخال!$D$5:$D$644,$B55)/SUMIFS(الإدخال!$P$5:$P$644,الإدخال!$D$5:$D$644,$B55)/100,""))</f>
        <v/>
      </c>
      <c r="J55" s="130" t="str">
        <f t="shared" si="0"/>
        <v/>
      </c>
      <c r="K55" s="124" t="str">
        <f>IF($B55="","",SUMIFS(الإدخال!$H$5:$H$644,الإدخال!$D$5:$D$644,$B55,الإدخال!$N$5:$N$644,1))</f>
        <v/>
      </c>
      <c r="L55" s="130" t="str">
        <f t="shared" si="1"/>
        <v/>
      </c>
      <c r="M55" s="132" t="str" cm="1">
        <f t="array" ref="M55">IFERROR(_xlfn.AGGREGATE(15,6,(ROW(الطلاب!$D$5:$D$44)-ROW(الطلاب!$D$5)+1)/(الطلاب!$D$5:$D$44=$C$3),ROWS(M$29:M55)),"")</f>
        <v/>
      </c>
    </row>
    <row r="56" spans="1:13">
      <c r="A56" s="24"/>
      <c r="B56" s="130" t="str" cm="1">
        <f t="array" ref="B56">IF($M56="","",INDEX(الطلاب!$A$5:$A$44,$M56))</f>
        <v/>
      </c>
      <c r="C56" s="131" t="str" cm="1">
        <f t="array" ref="C56">IF($M56="","",INDEX(الطلاب!$B$5:$B$44,$M56))</f>
        <v/>
      </c>
      <c r="D56" s="130" t="str" cm="1">
        <f t="array" ref="D56">IF($M56="","",INDEX(الطلاب!$C$5:$C$44,$M56))</f>
        <v/>
      </c>
      <c r="E56" s="124" t="str">
        <f>IF($B56="","",SUMIFS(الإدخال!$N$5:$N$644,الإدخال!$D$5:$D$644,$B56))</f>
        <v/>
      </c>
      <c r="F56" s="124" t="str">
        <f>IF($B56="","",COUNTIFS(الإدخال!$D$5:$D$644,$B56,الإدخال!$F$5:$F$644,"غائب"))</f>
        <v/>
      </c>
      <c r="G56" s="124" t="str">
        <f>IF($B56="","",COUNTIFS(الإدخال!$D$5:$D$644,$B56,الإدخال!$F$5:$F$644,"معتذر"))</f>
        <v/>
      </c>
      <c r="H56" s="125" t="str">
        <f>IF($B56="","",IFERROR(E56/COUNTIFS(الإدخال!$D$5:$D$644,$B56,الإدخال!$F$5:$F$644,"&lt;&gt;"),""))</f>
        <v/>
      </c>
      <c r="I56" s="126" t="str">
        <f>IF($B56="","",IFERROR(SUMIFS(الإدخال!$O$5:$O$644,الإدخال!$D$5:$D$644,$B56)/SUMIFS(الإدخال!$P$5:$P$644,الإدخال!$D$5:$D$644,$B56)/100,""))</f>
        <v/>
      </c>
      <c r="J56" s="130" t="str">
        <f t="shared" si="0"/>
        <v/>
      </c>
      <c r="K56" s="124" t="str">
        <f>IF($B56="","",SUMIFS(الإدخال!$H$5:$H$644,الإدخال!$D$5:$D$644,$B56,الإدخال!$N$5:$N$644,1))</f>
        <v/>
      </c>
      <c r="L56" s="130" t="str">
        <f t="shared" si="1"/>
        <v/>
      </c>
      <c r="M56" s="132" t="str" cm="1">
        <f t="array" ref="M56">IFERROR(_xlfn.AGGREGATE(15,6,(ROW(الطلاب!$D$5:$D$44)-ROW(الطلاب!$D$5)+1)/(الطلاب!$D$5:$D$44=$C$3),ROWS(M$29:M56)),"")</f>
        <v/>
      </c>
    </row>
    <row r="57" spans="1:13">
      <c r="A57" s="24"/>
      <c r="B57" s="130" t="str" cm="1">
        <f t="array" ref="B57">IF($M57="","",INDEX(الطلاب!$A$5:$A$44,$M57))</f>
        <v/>
      </c>
      <c r="C57" s="131" t="str" cm="1">
        <f t="array" ref="C57">IF($M57="","",INDEX(الطلاب!$B$5:$B$44,$M57))</f>
        <v/>
      </c>
      <c r="D57" s="130" t="str" cm="1">
        <f t="array" ref="D57">IF($M57="","",INDEX(الطلاب!$C$5:$C$44,$M57))</f>
        <v/>
      </c>
      <c r="E57" s="124" t="str">
        <f>IF($B57="","",SUMIFS(الإدخال!$N$5:$N$644,الإدخال!$D$5:$D$644,$B57))</f>
        <v/>
      </c>
      <c r="F57" s="124" t="str">
        <f>IF($B57="","",COUNTIFS(الإدخال!$D$5:$D$644,$B57,الإدخال!$F$5:$F$644,"غائب"))</f>
        <v/>
      </c>
      <c r="G57" s="124" t="str">
        <f>IF($B57="","",COUNTIFS(الإدخال!$D$5:$D$644,$B57,الإدخال!$F$5:$F$644,"معتذر"))</f>
        <v/>
      </c>
      <c r="H57" s="125" t="str">
        <f>IF($B57="","",IFERROR(E57/COUNTIFS(الإدخال!$D$5:$D$644,$B57,الإدخال!$F$5:$F$644,"&lt;&gt;"),""))</f>
        <v/>
      </c>
      <c r="I57" s="126" t="str">
        <f>IF($B57="","",IFERROR(SUMIFS(الإدخال!$O$5:$O$644,الإدخال!$D$5:$D$644,$B57)/SUMIFS(الإدخال!$P$5:$P$644,الإدخال!$D$5:$D$644,$B57)/100,""))</f>
        <v/>
      </c>
      <c r="J57" s="130" t="str">
        <f t="shared" si="0"/>
        <v/>
      </c>
      <c r="K57" s="124" t="str">
        <f>IF($B57="","",SUMIFS(الإدخال!$H$5:$H$644,الإدخال!$D$5:$D$644,$B57,الإدخال!$N$5:$N$644,1))</f>
        <v/>
      </c>
      <c r="L57" s="130" t="str">
        <f t="shared" si="1"/>
        <v/>
      </c>
      <c r="M57" s="132" t="str" cm="1">
        <f t="array" ref="M57">IFERROR(_xlfn.AGGREGATE(15,6,(ROW(الطلاب!$D$5:$D$44)-ROW(الطلاب!$D$5)+1)/(الطلاب!$D$5:$D$44=$C$3),ROWS(M$29:M57)),"")</f>
        <v/>
      </c>
    </row>
    <row r="58" spans="1:13">
      <c r="A58" s="24"/>
      <c r="B58" s="130" t="str" cm="1">
        <f t="array" ref="B58">IF($M58="","",INDEX(الطلاب!$A$5:$A$44,$M58))</f>
        <v/>
      </c>
      <c r="C58" s="131" t="str" cm="1">
        <f t="array" ref="C58">IF($M58="","",INDEX(الطلاب!$B$5:$B$44,$M58))</f>
        <v/>
      </c>
      <c r="D58" s="130" t="str" cm="1">
        <f t="array" ref="D58">IF($M58="","",INDEX(الطلاب!$C$5:$C$44,$M58))</f>
        <v/>
      </c>
      <c r="E58" s="124" t="str">
        <f>IF($B58="","",SUMIFS(الإدخال!$N$5:$N$644,الإدخال!$D$5:$D$644,$B58))</f>
        <v/>
      </c>
      <c r="F58" s="124" t="str">
        <f>IF($B58="","",COUNTIFS(الإدخال!$D$5:$D$644,$B58,الإدخال!$F$5:$F$644,"غائب"))</f>
        <v/>
      </c>
      <c r="G58" s="124" t="str">
        <f>IF($B58="","",COUNTIFS(الإدخال!$D$5:$D$644,$B58,الإدخال!$F$5:$F$644,"معتذر"))</f>
        <v/>
      </c>
      <c r="H58" s="125" t="str">
        <f>IF($B58="","",IFERROR(E58/COUNTIFS(الإدخال!$D$5:$D$644,$B58,الإدخال!$F$5:$F$644,"&lt;&gt;"),""))</f>
        <v/>
      </c>
      <c r="I58" s="126" t="str">
        <f>IF($B58="","",IFERROR(SUMIFS(الإدخال!$O$5:$O$644,الإدخال!$D$5:$D$644,$B58)/SUMIFS(الإدخال!$P$5:$P$644,الإدخال!$D$5:$D$644,$B58)/100,""))</f>
        <v/>
      </c>
      <c r="J58" s="130" t="str">
        <f t="shared" si="0"/>
        <v/>
      </c>
      <c r="K58" s="124" t="str">
        <f>IF($B58="","",SUMIFS(الإدخال!$H$5:$H$644,الإدخال!$D$5:$D$644,$B58,الإدخال!$N$5:$N$644,1))</f>
        <v/>
      </c>
      <c r="L58" s="130" t="str">
        <f t="shared" si="1"/>
        <v/>
      </c>
      <c r="M58" s="132" t="str" cm="1">
        <f t="array" ref="M58">IFERROR(_xlfn.AGGREGATE(15,6,(ROW(الطلاب!$D$5:$D$44)-ROW(الطلاب!$D$5)+1)/(الطلاب!$D$5:$D$44=$C$3),ROWS(M$29:M58)),"")</f>
        <v/>
      </c>
    </row>
    <row r="59" spans="1:13">
      <c r="A59" s="24"/>
      <c r="B59" s="130" t="str" cm="1">
        <f t="array" ref="B59">IF($M59="","",INDEX(الطلاب!$A$5:$A$44,$M59))</f>
        <v/>
      </c>
      <c r="C59" s="131" t="str" cm="1">
        <f t="array" ref="C59">IF($M59="","",INDEX(الطلاب!$B$5:$B$44,$M59))</f>
        <v/>
      </c>
      <c r="D59" s="130" t="str" cm="1">
        <f t="array" ref="D59">IF($M59="","",INDEX(الطلاب!$C$5:$C$44,$M59))</f>
        <v/>
      </c>
      <c r="E59" s="124" t="str">
        <f>IF($B59="","",SUMIFS(الإدخال!$N$5:$N$644,الإدخال!$D$5:$D$644,$B59))</f>
        <v/>
      </c>
      <c r="F59" s="124" t="str">
        <f>IF($B59="","",COUNTIFS(الإدخال!$D$5:$D$644,$B59,الإدخال!$F$5:$F$644,"غائب"))</f>
        <v/>
      </c>
      <c r="G59" s="124" t="str">
        <f>IF($B59="","",COUNTIFS(الإدخال!$D$5:$D$644,$B59,الإدخال!$F$5:$F$644,"معتذر"))</f>
        <v/>
      </c>
      <c r="H59" s="125" t="str">
        <f>IF($B59="","",IFERROR(E59/COUNTIFS(الإدخال!$D$5:$D$644,$B59,الإدخال!$F$5:$F$644,"&lt;&gt;"),""))</f>
        <v/>
      </c>
      <c r="I59" s="126" t="str">
        <f>IF($B59="","",IFERROR(SUMIFS(الإدخال!$O$5:$O$644,الإدخال!$D$5:$D$644,$B59)/SUMIFS(الإدخال!$P$5:$P$644,الإدخال!$D$5:$D$644,$B59)/100,""))</f>
        <v/>
      </c>
      <c r="J59" s="130" t="str">
        <f t="shared" si="0"/>
        <v/>
      </c>
      <c r="K59" s="124" t="str">
        <f>IF($B59="","",SUMIFS(الإدخال!$H$5:$H$644,الإدخال!$D$5:$D$644,$B59,الإدخال!$N$5:$N$644,1))</f>
        <v/>
      </c>
      <c r="L59" s="130" t="str">
        <f t="shared" si="1"/>
        <v/>
      </c>
      <c r="M59" s="132" t="str" cm="1">
        <f t="array" ref="M59">IFERROR(_xlfn.AGGREGATE(15,6,(ROW(الطلاب!$D$5:$D$44)-ROW(الطلاب!$D$5)+1)/(الطلاب!$D$5:$D$44=$C$3),ROWS(M$29:M59)),"")</f>
        <v/>
      </c>
    </row>
    <row r="60" spans="1:13">
      <c r="A60" s="24"/>
      <c r="B60" s="130" t="str" cm="1">
        <f t="array" ref="B60">IF($M60="","",INDEX(الطلاب!$A$5:$A$44,$M60))</f>
        <v/>
      </c>
      <c r="C60" s="131" t="str" cm="1">
        <f t="array" ref="C60">IF($M60="","",INDEX(الطلاب!$B$5:$B$44,$M60))</f>
        <v/>
      </c>
      <c r="D60" s="130" t="str" cm="1">
        <f t="array" ref="D60">IF($M60="","",INDEX(الطلاب!$C$5:$C$44,$M60))</f>
        <v/>
      </c>
      <c r="E60" s="124" t="str">
        <f>IF($B60="","",SUMIFS(الإدخال!$N$5:$N$644,الإدخال!$D$5:$D$644,$B60))</f>
        <v/>
      </c>
      <c r="F60" s="124" t="str">
        <f>IF($B60="","",COUNTIFS(الإدخال!$D$5:$D$644,$B60,الإدخال!$F$5:$F$644,"غائب"))</f>
        <v/>
      </c>
      <c r="G60" s="124" t="str">
        <f>IF($B60="","",COUNTIFS(الإدخال!$D$5:$D$644,$B60,الإدخال!$F$5:$F$644,"معتذر"))</f>
        <v/>
      </c>
      <c r="H60" s="125" t="str">
        <f>IF($B60="","",IFERROR(E60/COUNTIFS(الإدخال!$D$5:$D$644,$B60,الإدخال!$F$5:$F$644,"&lt;&gt;"),""))</f>
        <v/>
      </c>
      <c r="I60" s="126" t="str">
        <f>IF($B60="","",IFERROR(SUMIFS(الإدخال!$O$5:$O$644,الإدخال!$D$5:$D$644,$B60)/SUMIFS(الإدخال!$P$5:$P$644,الإدخال!$D$5:$D$644,$B60)/100,""))</f>
        <v/>
      </c>
      <c r="J60" s="130" t="str">
        <f t="shared" si="0"/>
        <v/>
      </c>
      <c r="K60" s="124" t="str">
        <f>IF($B60="","",SUMIFS(الإدخال!$H$5:$H$644,الإدخال!$D$5:$D$644,$B60,الإدخال!$N$5:$N$644,1))</f>
        <v/>
      </c>
      <c r="L60" s="130" t="str">
        <f t="shared" si="1"/>
        <v/>
      </c>
      <c r="M60" s="132" t="str" cm="1">
        <f t="array" ref="M60">IFERROR(_xlfn.AGGREGATE(15,6,(ROW(الطلاب!$D$5:$D$44)-ROW(الطلاب!$D$5)+1)/(الطلاب!$D$5:$D$44=$C$3),ROWS(M$29:M60)),"")</f>
        <v/>
      </c>
    </row>
    <row r="61" spans="1:13">
      <c r="A61" s="24"/>
      <c r="B61" s="130" t="str" cm="1">
        <f t="array" ref="B61">IF($M61="","",INDEX(الطلاب!$A$5:$A$44,$M61))</f>
        <v/>
      </c>
      <c r="C61" s="131" t="str" cm="1">
        <f t="array" ref="C61">IF($M61="","",INDEX(الطلاب!$B$5:$B$44,$M61))</f>
        <v/>
      </c>
      <c r="D61" s="130" t="str" cm="1">
        <f t="array" ref="D61">IF($M61="","",INDEX(الطلاب!$C$5:$C$44,$M61))</f>
        <v/>
      </c>
      <c r="E61" s="124" t="str">
        <f>IF($B61="","",SUMIFS(الإدخال!$N$5:$N$644,الإدخال!$D$5:$D$644,$B61))</f>
        <v/>
      </c>
      <c r="F61" s="124" t="str">
        <f>IF($B61="","",COUNTIFS(الإدخال!$D$5:$D$644,$B61,الإدخال!$F$5:$F$644,"غائب"))</f>
        <v/>
      </c>
      <c r="G61" s="124" t="str">
        <f>IF($B61="","",COUNTIFS(الإدخال!$D$5:$D$644,$B61,الإدخال!$F$5:$F$644,"معتذر"))</f>
        <v/>
      </c>
      <c r="H61" s="125" t="str">
        <f>IF($B61="","",IFERROR(E61/COUNTIFS(الإدخال!$D$5:$D$644,$B61,الإدخال!$F$5:$F$644,"&lt;&gt;"),""))</f>
        <v/>
      </c>
      <c r="I61" s="126" t="str">
        <f>IF($B61="","",IFERROR(SUMIFS(الإدخال!$O$5:$O$644,الإدخال!$D$5:$D$644,$B61)/SUMIFS(الإدخال!$P$5:$P$644,الإدخال!$D$5:$D$644,$B61)/100,""))</f>
        <v/>
      </c>
      <c r="J61" s="130" t="str">
        <f t="shared" si="0"/>
        <v/>
      </c>
      <c r="K61" s="124" t="str">
        <f>IF($B61="","",SUMIFS(الإدخال!$H$5:$H$644,الإدخال!$D$5:$D$644,$B61,الإدخال!$N$5:$N$644,1))</f>
        <v/>
      </c>
      <c r="L61" s="130" t="str">
        <f t="shared" si="1"/>
        <v/>
      </c>
      <c r="M61" s="132" t="str" cm="1">
        <f t="array" ref="M61">IFERROR(_xlfn.AGGREGATE(15,6,(ROW(الطلاب!$D$5:$D$44)-ROW(الطلاب!$D$5)+1)/(الطلاب!$D$5:$D$44=$C$3),ROWS(M$29:M61)),"")</f>
        <v/>
      </c>
    </row>
    <row r="62" spans="1:13">
      <c r="A62" s="24"/>
      <c r="B62" s="130" t="str" cm="1">
        <f t="array" ref="B62">IF($M62="","",INDEX(الطلاب!$A$5:$A$44,$M62))</f>
        <v/>
      </c>
      <c r="C62" s="131" t="str" cm="1">
        <f t="array" ref="C62">IF($M62="","",INDEX(الطلاب!$B$5:$B$44,$M62))</f>
        <v/>
      </c>
      <c r="D62" s="130" t="str" cm="1">
        <f t="array" ref="D62">IF($M62="","",INDEX(الطلاب!$C$5:$C$44,$M62))</f>
        <v/>
      </c>
      <c r="E62" s="124" t="str">
        <f>IF($B62="","",SUMIFS(الإدخال!$N$5:$N$644,الإدخال!$D$5:$D$644,$B62))</f>
        <v/>
      </c>
      <c r="F62" s="124" t="str">
        <f>IF($B62="","",COUNTIFS(الإدخال!$D$5:$D$644,$B62,الإدخال!$F$5:$F$644,"غائب"))</f>
        <v/>
      </c>
      <c r="G62" s="124" t="str">
        <f>IF($B62="","",COUNTIFS(الإدخال!$D$5:$D$644,$B62,الإدخال!$F$5:$F$644,"معتذر"))</f>
        <v/>
      </c>
      <c r="H62" s="125" t="str">
        <f>IF($B62="","",IFERROR(E62/COUNTIFS(الإدخال!$D$5:$D$644,$B62,الإدخال!$F$5:$F$644,"&lt;&gt;"),""))</f>
        <v/>
      </c>
      <c r="I62" s="126" t="str">
        <f>IF($B62="","",IFERROR(SUMIFS(الإدخال!$O$5:$O$644,الإدخال!$D$5:$D$644,$B62)/SUMIFS(الإدخال!$P$5:$P$644,الإدخال!$D$5:$D$644,$B62)/100,""))</f>
        <v/>
      </c>
      <c r="J62" s="130" t="str">
        <f t="shared" si="0"/>
        <v/>
      </c>
      <c r="K62" s="124" t="str">
        <f>IF($B62="","",SUMIFS(الإدخال!$H$5:$H$644,الإدخال!$D$5:$D$644,$B62,الإدخال!$N$5:$N$644,1))</f>
        <v/>
      </c>
      <c r="L62" s="130" t="str">
        <f t="shared" si="1"/>
        <v/>
      </c>
      <c r="M62" s="132" t="str" cm="1">
        <f t="array" ref="M62">IFERROR(_xlfn.AGGREGATE(15,6,(ROW(الطلاب!$D$5:$D$44)-ROW(الطلاب!$D$5)+1)/(الطلاب!$D$5:$D$44=$C$3),ROWS(M$29:M62)),"")</f>
        <v/>
      </c>
    </row>
    <row r="63" spans="1:13">
      <c r="A63" s="24"/>
      <c r="B63" s="130" t="str" cm="1">
        <f t="array" ref="B63">IF($M63="","",INDEX(الطلاب!$A$5:$A$44,$M63))</f>
        <v/>
      </c>
      <c r="C63" s="131" t="str" cm="1">
        <f t="array" ref="C63">IF($M63="","",INDEX(الطلاب!$B$5:$B$44,$M63))</f>
        <v/>
      </c>
      <c r="D63" s="130" t="str" cm="1">
        <f t="array" ref="D63">IF($M63="","",INDEX(الطلاب!$C$5:$C$44,$M63))</f>
        <v/>
      </c>
      <c r="E63" s="124" t="str">
        <f>IF($B63="","",SUMIFS(الإدخال!$N$5:$N$644,الإدخال!$D$5:$D$644,$B63))</f>
        <v/>
      </c>
      <c r="F63" s="124" t="str">
        <f>IF($B63="","",COUNTIFS(الإدخال!$D$5:$D$644,$B63,الإدخال!$F$5:$F$644,"غائب"))</f>
        <v/>
      </c>
      <c r="G63" s="124" t="str">
        <f>IF($B63="","",COUNTIFS(الإدخال!$D$5:$D$644,$B63,الإدخال!$F$5:$F$644,"معتذر"))</f>
        <v/>
      </c>
      <c r="H63" s="125" t="str">
        <f>IF($B63="","",IFERROR(E63/COUNTIFS(الإدخال!$D$5:$D$644,$B63,الإدخال!$F$5:$F$644,"&lt;&gt;"),""))</f>
        <v/>
      </c>
      <c r="I63" s="126" t="str">
        <f>IF($B63="","",IFERROR(SUMIFS(الإدخال!$O$5:$O$644,الإدخال!$D$5:$D$644,$B63)/SUMIFS(الإدخال!$P$5:$P$644,الإدخال!$D$5:$D$644,$B63)/100,""))</f>
        <v/>
      </c>
      <c r="J63" s="130" t="str">
        <f t="shared" si="0"/>
        <v/>
      </c>
      <c r="K63" s="124" t="str">
        <f>IF($B63="","",SUMIFS(الإدخال!$H$5:$H$644,الإدخال!$D$5:$D$644,$B63,الإدخال!$N$5:$N$644,1))</f>
        <v/>
      </c>
      <c r="L63" s="130" t="str">
        <f t="shared" si="1"/>
        <v/>
      </c>
      <c r="M63" s="132" t="str" cm="1">
        <f t="array" ref="M63">IFERROR(_xlfn.AGGREGATE(15,6,(ROW(الطلاب!$D$5:$D$44)-ROW(الطلاب!$D$5)+1)/(الطلاب!$D$5:$D$44=$C$3),ROWS(M$29:M63)),"")</f>
        <v/>
      </c>
    </row>
    <row r="64" spans="1:13">
      <c r="A64" s="24"/>
      <c r="B64" s="130" t="str" cm="1">
        <f t="array" ref="B64">IF($M64="","",INDEX(الطلاب!$A$5:$A$44,$M64))</f>
        <v/>
      </c>
      <c r="C64" s="131" t="str" cm="1">
        <f t="array" ref="C64">IF($M64="","",INDEX(الطلاب!$B$5:$B$44,$M64))</f>
        <v/>
      </c>
      <c r="D64" s="130" t="str" cm="1">
        <f t="array" ref="D64">IF($M64="","",INDEX(الطلاب!$C$5:$C$44,$M64))</f>
        <v/>
      </c>
      <c r="E64" s="124" t="str">
        <f>IF($B64="","",SUMIFS(الإدخال!$N$5:$N$644,الإدخال!$D$5:$D$644,$B64))</f>
        <v/>
      </c>
      <c r="F64" s="124" t="str">
        <f>IF($B64="","",COUNTIFS(الإدخال!$D$5:$D$644,$B64,الإدخال!$F$5:$F$644,"غائب"))</f>
        <v/>
      </c>
      <c r="G64" s="124" t="str">
        <f>IF($B64="","",COUNTIFS(الإدخال!$D$5:$D$644,$B64,الإدخال!$F$5:$F$644,"معتذر"))</f>
        <v/>
      </c>
      <c r="H64" s="125" t="str">
        <f>IF($B64="","",IFERROR(E64/COUNTIFS(الإدخال!$D$5:$D$644,$B64,الإدخال!$F$5:$F$644,"&lt;&gt;"),""))</f>
        <v/>
      </c>
      <c r="I64" s="126" t="str">
        <f>IF($B64="","",IFERROR(SUMIFS(الإدخال!$O$5:$O$644,الإدخال!$D$5:$D$644,$B64)/SUMIFS(الإدخال!$P$5:$P$644,الإدخال!$D$5:$D$644,$B64)/100,""))</f>
        <v/>
      </c>
      <c r="J64" s="130" t="str">
        <f t="shared" si="0"/>
        <v/>
      </c>
      <c r="K64" s="124" t="str">
        <f>IF($B64="","",SUMIFS(الإدخال!$H$5:$H$644,الإدخال!$D$5:$D$644,$B64,الإدخال!$N$5:$N$644,1))</f>
        <v/>
      </c>
      <c r="L64" s="130" t="str">
        <f t="shared" si="1"/>
        <v/>
      </c>
      <c r="M64" s="132" t="str" cm="1">
        <f t="array" ref="M64">IFERROR(_xlfn.AGGREGATE(15,6,(ROW(الطلاب!$D$5:$D$44)-ROW(الطلاب!$D$5)+1)/(الطلاب!$D$5:$D$44=$C$3),ROWS(M$29:M64)),"")</f>
        <v/>
      </c>
    </row>
    <row r="65" spans="1:13">
      <c r="A65" s="24"/>
      <c r="B65" s="130" t="str" cm="1">
        <f t="array" ref="B65">IF($M65="","",INDEX(الطلاب!$A$5:$A$44,$M65))</f>
        <v/>
      </c>
      <c r="C65" s="131" t="str" cm="1">
        <f t="array" ref="C65">IF($M65="","",INDEX(الطلاب!$B$5:$B$44,$M65))</f>
        <v/>
      </c>
      <c r="D65" s="130" t="str" cm="1">
        <f t="array" ref="D65">IF($M65="","",INDEX(الطلاب!$C$5:$C$44,$M65))</f>
        <v/>
      </c>
      <c r="E65" s="124" t="str">
        <f>IF($B65="","",SUMIFS(الإدخال!$N$5:$N$644,الإدخال!$D$5:$D$644,$B65))</f>
        <v/>
      </c>
      <c r="F65" s="124" t="str">
        <f>IF($B65="","",COUNTIFS(الإدخال!$D$5:$D$644,$B65,الإدخال!$F$5:$F$644,"غائب"))</f>
        <v/>
      </c>
      <c r="G65" s="124" t="str">
        <f>IF($B65="","",COUNTIFS(الإدخال!$D$5:$D$644,$B65,الإدخال!$F$5:$F$644,"معتذر"))</f>
        <v/>
      </c>
      <c r="H65" s="125" t="str">
        <f>IF($B65="","",IFERROR(E65/COUNTIFS(الإدخال!$D$5:$D$644,$B65,الإدخال!$F$5:$F$644,"&lt;&gt;"),""))</f>
        <v/>
      </c>
      <c r="I65" s="126" t="str">
        <f>IF($B65="","",IFERROR(SUMIFS(الإدخال!$O$5:$O$644,الإدخال!$D$5:$D$644,$B65)/SUMIFS(الإدخال!$P$5:$P$644,الإدخال!$D$5:$D$644,$B65)/100,""))</f>
        <v/>
      </c>
      <c r="J65" s="130" t="str">
        <f t="shared" si="0"/>
        <v/>
      </c>
      <c r="K65" s="124" t="str">
        <f>IF($B65="","",SUMIFS(الإدخال!$H$5:$H$644,الإدخال!$D$5:$D$644,$B65,الإدخال!$N$5:$N$644,1))</f>
        <v/>
      </c>
      <c r="L65" s="130" t="str">
        <f t="shared" si="1"/>
        <v/>
      </c>
      <c r="M65" s="132" t="str" cm="1">
        <f t="array" ref="M65">IFERROR(_xlfn.AGGREGATE(15,6,(ROW(الطلاب!$D$5:$D$44)-ROW(الطلاب!$D$5)+1)/(الطلاب!$D$5:$D$44=$C$3),ROWS(M$29:M65)),"")</f>
        <v/>
      </c>
    </row>
    <row r="66" spans="1:13">
      <c r="A66" s="24"/>
      <c r="B66" s="130" t="str" cm="1">
        <f t="array" ref="B66">IF($M66="","",INDEX(الطلاب!$A$5:$A$44,$M66))</f>
        <v/>
      </c>
      <c r="C66" s="131" t="str" cm="1">
        <f t="array" ref="C66">IF($M66="","",INDEX(الطلاب!$B$5:$B$44,$M66))</f>
        <v/>
      </c>
      <c r="D66" s="130" t="str" cm="1">
        <f t="array" ref="D66">IF($M66="","",INDEX(الطلاب!$C$5:$C$44,$M66))</f>
        <v/>
      </c>
      <c r="E66" s="124" t="str">
        <f>IF($B66="","",SUMIFS(الإدخال!$N$5:$N$644,الإدخال!$D$5:$D$644,$B66))</f>
        <v/>
      </c>
      <c r="F66" s="124" t="str">
        <f>IF($B66="","",COUNTIFS(الإدخال!$D$5:$D$644,$B66,الإدخال!$F$5:$F$644,"غائب"))</f>
        <v/>
      </c>
      <c r="G66" s="124" t="str">
        <f>IF($B66="","",COUNTIFS(الإدخال!$D$5:$D$644,$B66,الإدخال!$F$5:$F$644,"معتذر"))</f>
        <v/>
      </c>
      <c r="H66" s="125" t="str">
        <f>IF($B66="","",IFERROR(E66/COUNTIFS(الإدخال!$D$5:$D$644,$B66,الإدخال!$F$5:$F$644,"&lt;&gt;"),""))</f>
        <v/>
      </c>
      <c r="I66" s="126" t="str">
        <f>IF($B66="","",IFERROR(SUMIFS(الإدخال!$O$5:$O$644,الإدخال!$D$5:$D$644,$B66)/SUMIFS(الإدخال!$P$5:$P$644,الإدخال!$D$5:$D$644,$B66)/100,""))</f>
        <v/>
      </c>
      <c r="J66" s="130" t="str">
        <f t="shared" si="0"/>
        <v/>
      </c>
      <c r="K66" s="124" t="str">
        <f>IF($B66="","",SUMIFS(الإدخال!$H$5:$H$644,الإدخال!$D$5:$D$644,$B66,الإدخال!$N$5:$N$644,1))</f>
        <v/>
      </c>
      <c r="L66" s="130" t="str">
        <f t="shared" si="1"/>
        <v/>
      </c>
      <c r="M66" s="132" t="str" cm="1">
        <f t="array" ref="M66">IFERROR(_xlfn.AGGREGATE(15,6,(ROW(الطلاب!$D$5:$D$44)-ROW(الطلاب!$D$5)+1)/(الطلاب!$D$5:$D$44=$C$3),ROWS(M$29:M66)),"")</f>
        <v/>
      </c>
    </row>
    <row r="67" spans="1:13">
      <c r="A67" s="24"/>
      <c r="B67" s="130" t="str" cm="1">
        <f t="array" ref="B67">IF($M67="","",INDEX(الطلاب!$A$5:$A$44,$M67))</f>
        <v/>
      </c>
      <c r="C67" s="131" t="str" cm="1">
        <f t="array" ref="C67">IF($M67="","",INDEX(الطلاب!$B$5:$B$44,$M67))</f>
        <v/>
      </c>
      <c r="D67" s="130" t="str" cm="1">
        <f t="array" ref="D67">IF($M67="","",INDEX(الطلاب!$C$5:$C$44,$M67))</f>
        <v/>
      </c>
      <c r="E67" s="124" t="str">
        <f>IF($B67="","",SUMIFS(الإدخال!$N$5:$N$644,الإدخال!$D$5:$D$644,$B67))</f>
        <v/>
      </c>
      <c r="F67" s="124" t="str">
        <f>IF($B67="","",COUNTIFS(الإدخال!$D$5:$D$644,$B67,الإدخال!$F$5:$F$644,"غائب"))</f>
        <v/>
      </c>
      <c r="G67" s="124" t="str">
        <f>IF($B67="","",COUNTIFS(الإدخال!$D$5:$D$644,$B67,الإدخال!$F$5:$F$644,"معتذر"))</f>
        <v/>
      </c>
      <c r="H67" s="125" t="str">
        <f>IF($B67="","",IFERROR(E67/COUNTIFS(الإدخال!$D$5:$D$644,$B67,الإدخال!$F$5:$F$644,"&lt;&gt;"),""))</f>
        <v/>
      </c>
      <c r="I67" s="126" t="str">
        <f>IF($B67="","",IFERROR(SUMIFS(الإدخال!$O$5:$O$644,الإدخال!$D$5:$D$644,$B67)/SUMIFS(الإدخال!$P$5:$P$644,الإدخال!$D$5:$D$644,$B67)/100,""))</f>
        <v/>
      </c>
      <c r="J67" s="130" t="str">
        <f t="shared" si="0"/>
        <v/>
      </c>
      <c r="K67" s="124" t="str">
        <f>IF($B67="","",SUMIFS(الإدخال!$H$5:$H$644,الإدخال!$D$5:$D$644,$B67,الإدخال!$N$5:$N$644,1))</f>
        <v/>
      </c>
      <c r="L67" s="130" t="str">
        <f t="shared" si="1"/>
        <v/>
      </c>
      <c r="M67" s="132" t="str" cm="1">
        <f t="array" ref="M67">IFERROR(_xlfn.AGGREGATE(15,6,(ROW(الطلاب!$D$5:$D$44)-ROW(الطلاب!$D$5)+1)/(الطلاب!$D$5:$D$44=$C$3),ROWS(M$29:M67)),"")</f>
        <v/>
      </c>
    </row>
    <row r="68" spans="1:13">
      <c r="A68" s="24"/>
      <c r="B68" s="127" t="str" cm="1">
        <f t="array" ref="B68">IF($M68="","",INDEX(الطلاب!$A$5:$A$44,$M68))</f>
        <v/>
      </c>
      <c r="C68" s="128" t="str" cm="1">
        <f t="array" ref="C68">IF($M68="","",INDEX(الطلاب!$B$5:$B$44,$M68))</f>
        <v/>
      </c>
      <c r="D68" s="127" t="str" cm="1">
        <f t="array" ref="D68">IF($M68="","",INDEX(الطلاب!$C$5:$C$44,$M68))</f>
        <v/>
      </c>
      <c r="E68" s="119" t="str">
        <f>IF($B68="","",SUMIFS(الإدخال!$N$5:$N$644,الإدخال!$D$5:$D$644,$B68))</f>
        <v/>
      </c>
      <c r="F68" s="119" t="str">
        <f>IF($B68="","",COUNTIFS(الإدخال!$D$5:$D$644,$B68,الإدخال!$F$5:$F$644,"غائب"))</f>
        <v/>
      </c>
      <c r="G68" s="119" t="str">
        <f>IF($B68="","",COUNTIFS(الإدخال!$D$5:$D$644,$B68,الإدخال!$F$5:$F$644,"معتذر"))</f>
        <v/>
      </c>
      <c r="H68" s="120" t="str">
        <f>IF($B68="","",IFERROR(E68/COUNTIFS(الإدخال!$D$5:$D$644,$B68,الإدخال!$F$5:$F$644,"&lt;&gt;"),""))</f>
        <v/>
      </c>
      <c r="I68" s="121" t="str">
        <f>IF($B68="","",IFERROR(SUMIFS(الإدخال!$O$5:$O$644,الإدخال!$D$5:$D$644,$B68)/SUMIFS(الإدخال!$P$5:$P$644,الإدخال!$D$5:$D$644,$B68)/100,""))</f>
        <v/>
      </c>
      <c r="J68" s="127" t="str">
        <f t="shared" si="0"/>
        <v/>
      </c>
      <c r="K68" s="119" t="str">
        <f>IF($B68="","",SUMIFS(الإدخال!$H$5:$H$644,الإدخال!$D$5:$D$644,$B68,الإدخال!$N$5:$N$644,1))</f>
        <v/>
      </c>
      <c r="L68" s="127" t="str">
        <f t="shared" si="1"/>
        <v/>
      </c>
      <c r="M68" s="129" t="str" cm="1">
        <f t="array" ref="M68">IFERROR(_xlfn.AGGREGATE(15,6,(ROW(الطلاب!$D$5:$D$44)-ROW(الطلاب!$D$5)+1)/(الطلاب!$D$5:$D$44=$C$3),ROWS(M$29:M68)),"")</f>
        <v/>
      </c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</sheetData>
  <sheetProtection algorithmName="SHA-512" hashValue="syytVyXecc64TW5BwTQ/6IF1YDVHzrgidarUr8ZHp7fahk/S5nkfRS2yuEo/Z0vZ8UTXnzbL62ouucaLlxTrww==" saltValue="ClmwYZ5ylB2JDUOwMfTy7g==" spinCount="100000" sheet="1" objects="1" scenarios="1"/>
  <mergeCells count="1">
    <mergeCell ref="C3:E3"/>
  </mergeCells>
  <conditionalFormatting sqref="B29:L68">
    <cfRule type="expression" dxfId="2" priority="1">
      <formula>AND($B29&lt;&gt;"",MOD(ROW(),2)=0)</formula>
    </cfRule>
  </conditionalFormatting>
  <conditionalFormatting sqref="J29:J68">
    <cfRule type="expression" dxfId="1" priority="2">
      <formula>$J29="يحتاج متابعة"</formula>
    </cfRule>
    <cfRule type="expression" dxfId="0" priority="3">
      <formula>$J29="ممتاز"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وسيم احمد</cp:lastModifiedBy>
  <cp:revision>1</cp:revision>
  <dcterms:created xsi:type="dcterms:W3CDTF">2026-10-12T19:03:45Z</dcterms:created>
  <dcterms:modified xsi:type="dcterms:W3CDTF">2026-10-28T03:48:01Z</dcterms:modified>
  <cp:category/>
  <cp:contentStatus/>
</cp:coreProperties>
</file>